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SSAYNE\DRIVE KRYPTEROS\BPCE\LIVRAISONS\PASS_ALM\CODE\"/>
    </mc:Choice>
  </mc:AlternateContent>
  <xr:revisionPtr revIDLastSave="0" documentId="13_ncr:1_{BF75E2E6-0649-4679-A692-84A61D5A8A7B}" xr6:coauthVersionLast="47" xr6:coauthVersionMax="47" xr10:uidLastSave="{00000000-0000-0000-0000-000000000000}"/>
  <bookViews>
    <workbookView xWindow="-108" yWindow="-108" windowWidth="23256" windowHeight="13896" activeTab="7" xr2:uid="{00000000-000D-0000-FFFF-FFFF00000000}"/>
  </bookViews>
  <sheets>
    <sheet name="MODE" sheetId="28" r:id="rId1"/>
    <sheet name="ALIM_MAIN" sheetId="29" state="hidden" r:id="rId2"/>
    <sheet name="MOTEUR_Param_General" sheetId="30" state="hidden" r:id="rId3"/>
    <sheet name="MOTEUR_Param_Sortie" sheetId="31" state="hidden" r:id="rId4"/>
    <sheet name="MOTEUR_Param_Autres" sheetId="32" state="hidden" r:id="rId5"/>
    <sheet name="MOTEUR_Global_Params" sheetId="34" state="hidden" r:id="rId6"/>
    <sheet name="ALIM_Params" sheetId="33" state="hidden" r:id="rId7"/>
    <sheet name="PARAMETRES" sheetId="10" r:id="rId8"/>
    <sheet name="CHOC TAUX" sheetId="1" r:id="rId9"/>
    <sheet name="STRESS PN" sheetId="9" r:id="rId10"/>
    <sheet name="AJOUT PN" sheetId="25" r:id="rId11"/>
    <sheet name="TEMPLATES" sheetId="26" state="hidden" r:id="rId12"/>
    <sheet name="RETRO PN BPCE" sheetId="16" r:id="rId13"/>
    <sheet name="SC CALCULATEUR" sheetId="15" r:id="rId14"/>
    <sheet name="SC MODELES" sheetId="27" r:id="rId15"/>
    <sheet name="SCENARIO SURCOUCHE DAV" sheetId="23" r:id="rId16"/>
    <sheet name="Axes Stress" sheetId="22" r:id="rId17"/>
    <sheet name="Bootsrapped_curves" sheetId="6" r:id="rId18"/>
    <sheet name="Configuration" sheetId="2" r:id="rId19"/>
  </sheets>
  <functionGroups builtInGroupCount="19"/>
  <externalReferences>
    <externalReference r:id="rId20"/>
  </externalReferences>
  <definedNames>
    <definedName name="_ADD_PN_BASE_CALC">'AJOUT PN'!$F$13</definedName>
    <definedName name="_ADD_PN_BASSIN">'AJOUT PN'!$C$13</definedName>
    <definedName name="_ADD_PN_CONTRAT">'AJOUT PN'!$C$15</definedName>
    <definedName name="_ADD_PN_DEBLO">'AJOUT PN'!$F$18</definedName>
    <definedName name="_ADD_PN_DEVISE">'AJOUT PN'!$C$17</definedName>
    <definedName name="_ADD_PN_ETAB">'AJOUT PN'!$C$14</definedName>
    <definedName name="_ADD_PN_INDEX">'AJOUT PN'!$C$18</definedName>
    <definedName name="_ADD_PN_JRPN">'AJOUT PN'!$F$11</definedName>
    <definedName name="_ADD_PN_MARCHE">'AJOUT PN'!$C$19</definedName>
    <definedName name="_ADD_PN_MATUR">'AJOUT PN'!$C$16</definedName>
    <definedName name="_ADD_PN_PERIODE_CAPI">'AJOUT PN'!$F$17</definedName>
    <definedName name="_ADD_PN_PERIODE_FIXING">'AJOUT PN'!$F$16</definedName>
    <definedName name="_ADD_PN_PERIODE_INTERETS">'AJOUT PN'!$F$15</definedName>
    <definedName name="_ADD_PN_PERIODE_PROFIL">'AJOUT PN'!$F$14</definedName>
    <definedName name="_ADD_PN_PROFIL_EC">'AJOUT PN'!$F$12</definedName>
    <definedName name="_ADD_PN_SC">'AJOUT PN'!$C$10</definedName>
    <definedName name="_ADD_PN_TYPE">'AJOUT PN'!$C$12</definedName>
    <definedName name="_AJOUT_PN">'AJOUT PN'!$D$25</definedName>
    <definedName name="_ALL_ETAB">Configuration!$Y$5</definedName>
    <definedName name="_aplatissement_shock_items">'CHOC TAUX'!$C$12,'CHOC TAUX'!$C$13,'CHOC TAUX'!$F$12,'CHOC TAUX'!$F$13,'CHOC TAUX'!$F$14,'CHOC TAUX'!$F$15</definedName>
    <definedName name="_AVEC_FLUX_CALAGE" localSheetId="6">[1]Accueil!#REF!</definedName>
    <definedName name="_AVEC_FLUX_CALAGE">ALIM_MAIN!#REF!</definedName>
    <definedName name="_BASSINS">ALIM_MAIN!$C$9</definedName>
    <definedName name="_CHEMIN_COMPILS">ALIM_MAIN!$C$49</definedName>
    <definedName name="_CHOC_NAME_PARAM">PARAMETRES!$C$43</definedName>
    <definedName name="_codification_etab">Configuration!$AK$6</definedName>
    <definedName name="_col_sortie">MOTEUR_Param_Sortie!$B$6</definedName>
    <definedName name="_Comm">ALIM_MAIN!$C$27</definedName>
    <definedName name="_COMPIL_DECIMAL" localSheetId="5">MOTEUR_Global_Params!#REF!</definedName>
    <definedName name="_COMPIL_SEP">MOTEUR_Global_Params!$M$3</definedName>
    <definedName name="_COURBE_CHOC_TAUX">'CHOC TAUX'!$C$13</definedName>
    <definedName name="_COURBES_A_BOOSTRAPPER">Bootsrapped_curves!$A$2</definedName>
    <definedName name="_COURBES_AJUST">MOTEUR_Param_Autres!$E$8</definedName>
    <definedName name="_COURBES_RG">Configuration!$I$5</definedName>
    <definedName name="_DAR">PARAMETRES!$C$13</definedName>
    <definedName name="_DAR_ALIM">ALIM_MAIN!$C$31</definedName>
    <definedName name="_DAR_MOTEUR">MOTEUR_Param_General!$L$12</definedName>
    <definedName name="_DAR_ZERO">ALIM_MAIN!$I$53</definedName>
    <definedName name="_DAV_MULTI" localSheetId="6">[1]Accueil!#REF!</definedName>
    <definedName name="_DAV_MULTI">ALIM_MAIN!#REF!</definedName>
    <definedName name="_DEPART_DECALE_NTX">ALIM_MAIN!$F$53</definedName>
    <definedName name="_DET_ETAB" localSheetId="6">[1]Accueil!#REF!</definedName>
    <definedName name="_DET_ETAB">ALIM_MAIN!#REF!</definedName>
    <definedName name="_DEVISE_CHOC_TAUX">'CHOC TAUX'!$C$12</definedName>
    <definedName name="_Etab">MOTEUR_Param_General!$G$27</definedName>
    <definedName name="_ETABLISSEMENTS">PARAMETRES!$C$40</definedName>
    <definedName name="_euro_holidays">Configuration!$W$5</definedName>
    <definedName name="_FICHIER_INDEX_NMDS" localSheetId="6">[1]Accueil!#REF!</definedName>
    <definedName name="_FICHIER_INDEX_NMDS">ALIM_MAIN!#REF!</definedName>
    <definedName name="_FICHIER_MODELE_ECHEANCES">MOTEUR_Param_General!#REF!</definedName>
    <definedName name="_FILE_PATH_MODELE_ECH">MOTEUR_Param_General!#REF!</definedName>
    <definedName name="_xlnm._FilterDatabase" localSheetId="1" hidden="1">ALIM_MAIN!#REF!</definedName>
    <definedName name="_xlnm._FilterDatabase" localSheetId="16" hidden="1">'Axes Stress'!$A$1:$X$5220</definedName>
    <definedName name="_xlnm._FilterDatabase" localSheetId="17" hidden="1">Bootsrapped_curves!#REF!</definedName>
    <definedName name="_force_gap_liq">MOTEUR_Param_Autres!$C$21</definedName>
    <definedName name="_force_gaps_nmd">MOTEUR_Param_Autres!$C$22</definedName>
    <definedName name="_FREQ_REFIX_TLA">MOTEUR_Param_Autres!$C$34</definedName>
    <definedName name="_FUSIONNER_COMPILS">MOTEUR_Global_Params!$Q$3</definedName>
    <definedName name="_HORIZON">PARAMETRES!#REF!</definedName>
    <definedName name="_ind_sortie">MOTEUR_Param_Sortie!$F$6</definedName>
    <definedName name="_ind_sortie_eve">MOTEUR_Param_Sortie!$O$6</definedName>
    <definedName name="_INDIC_PN">'STRESS PN'!$C$10</definedName>
    <definedName name="_INDIC_T">'STRESS PN'!$C$11</definedName>
    <definedName name="_inf_cel">MOTEUR_Param_Autres!$D$50</definedName>
    <definedName name="_inf_tla">MOTEUR_Param_Autres!$C$50</definedName>
    <definedName name="_inf_tlb">MOTEUR_Param_Autres!$E$50</definedName>
    <definedName name="_INPUT_FOLDER">MOTEUR_Param_General!$F$29</definedName>
    <definedName name="_INPUT_PATH">MOTEUR_Param_General!$G$29</definedName>
    <definedName name="_LABEL_MODELE_DAV">'SCENARIO SURCOUCHE DAV'!$C$4</definedName>
    <definedName name="_LABEL_PATH_FICHIER_MODEL">'SC MODELES'!$C$11</definedName>
    <definedName name="_LIQ_FILE_PATH">PARAMETRES!$C$27</definedName>
    <definedName name="_LIST_BPCE_SC">OFFSET(OFFSET(_SC_BPCE_ALL,1,0),0,0,COUNTA(OFFSET(_SC_BPCE_ALL,1,0):OFFSET(_SC_BPCE_ALL,100000,0))+1,1)</definedName>
    <definedName name="_LIST_CHOC_TAUX">OFFSET(OFFSET(shocks_fst_cell,1,0),0,0,COUNTA(OFFSET(shocks_fst_cell,1,0):OFFSET(shocks_fst_cell,100000,0))+1,1)</definedName>
    <definedName name="_LIST_CHOCS_PN">"{=A3:A10&amp;B3:B10}"</definedName>
    <definedName name="_LIST_RA_RN" localSheetId="14">OFFSET(OFFSET([0]!_SC_RC_ST,1,0),0,0,COUNTA(OFFSET([0]!_SC_RC_ST,1,0):OFFSET([0]!_SC_RC_ST,100000,0))+1,1)</definedName>
    <definedName name="_LIST_RA_RN">OFFSET(OFFSET(_SC_RC_ST,1,0),0,0,COUNTA(OFFSET(_SC_RC_ST,1,0):OFFSET(_SC_RC_ST,100000,0))+1,1)</definedName>
    <definedName name="_LIST_TYPE_STRESS" localSheetId="14">get_type_stress("_INDIC_T")</definedName>
    <definedName name="_LIST_TYPE_STRESS">get_type_stress("_INDIC_T")</definedName>
    <definedName name="_LISTE_ETAB">MOTEUR_Global_Params!$B$2</definedName>
    <definedName name="_liste_etabs_visualisation_pn">'STRESS PN'!$L$9</definedName>
    <definedName name="_LISTE_SCENARIO">OFFSET(PARAMETRES!$C$49,0,0,COUNTA(PARAMETRES!$C$50:$C$1048576)-1,1)</definedName>
    <definedName name="_LISTE_SURCOUCHE_DAV">OFFSET(OFFSET(_table_src_dav,1,0),0,0,COUNTA(OFFSET(_table_src_dav,1,0):OFFSET(_table_src_dav,100000,0))+1,1)</definedName>
    <definedName name="_MAIN_SC_EVE">PARAMETRES!$C$15</definedName>
    <definedName name="_MAP_FILE" localSheetId="6">ALIM_Params!#REF!</definedName>
    <definedName name="_MAPPER_RAY">ALIM_MAIN!$C$39</definedName>
    <definedName name="_MATURITE_CHOC_TAUX">'CHOC TAUX'!$C$14</definedName>
    <definedName name="_MissingMapping" localSheetId="6">[1]Accueil!#REF!</definedName>
    <definedName name="_MissingMapping">ALIM_MAIN!#REF!</definedName>
    <definedName name="_MODE" localSheetId="6">[1]Accueil!#REF!</definedName>
    <definedName name="_MODE">ALIM_MAIN!#REF!</definedName>
    <definedName name="_MODE_IHM">MODE!$G$12</definedName>
    <definedName name="_MODELE_DAV">'SCENARIO SURCOUCHE DAV'!$D$4</definedName>
    <definedName name="_MODELE_NMD">ALIM_MAIN!$C$17</definedName>
    <definedName name="_MODELE_NMD_LABEL">ALIM_MAIN!$B$17</definedName>
    <definedName name="_MODELE_PEL">ALIM_MAIN!$C$19</definedName>
    <definedName name="_MODELE_PEL_LABEL">ALIM_MAIN!$B$19</definedName>
    <definedName name="_MODELE_SRC_DAV">'SCENARIO SURCOUCHE DAV'!$D$9</definedName>
    <definedName name="_MOIS_DEB_PN">'STRESS PN'!$F$9</definedName>
    <definedName name="_MOIS_FIN_PN">'STRESS PN'!$F$10</definedName>
    <definedName name="_MOIS_INTERTRIMESTRIEL">ALIM_MAIN!$C$47</definedName>
    <definedName name="_MULTI_BASSIN_PATH">ALIM_MAIN!$B$11</definedName>
    <definedName name="_MULTIBASSIN_SOURCES_PATH">ALIM_MAIN!$C$11</definedName>
    <definedName name="_NAME_SC_BPCE">PARAMETRES!$C$46</definedName>
    <definedName name="_NAME_SC_PN">'STRESS PN'!$C$9</definedName>
    <definedName name="_NAME_SC_SCR_DAV">PARAMETRES!$C$47</definedName>
    <definedName name="_NAME_SC_TAUX">'CHOC TAUX'!$C$9</definedName>
    <definedName name="_nb_mois_pn">MOTEUR_Param_Autres!$B$39</definedName>
    <definedName name="_NB_MOIS_PROJ">MOTEUR_Param_General!$O$12</definedName>
    <definedName name="_NOM_SC_BPCE">'RETRO PN BPCE'!$D$7</definedName>
    <definedName name="_NOM_SC_MODE">L9C4</definedName>
    <definedName name="_NOM_SC_MODELE">'SC MODELES'!$D$9</definedName>
    <definedName name="_NOM_SC_REC_ST">'SC CALCULATEUR'!$D$9</definedName>
    <definedName name="_NomEtab" localSheetId="6">[1]Accueil!#REF!</definedName>
    <definedName name="_NomEtab">ALIM_MAIN!#REF!</definedName>
    <definedName name="_onglet_choc_taux_audit">PARAMETRES!$F$11</definedName>
    <definedName name="_onglet_choc_taux_form">'CHOC TAUX'!$C$9:$C$18,'CHOC TAUX'!$F$12:$F$15</definedName>
    <definedName name="_onglet_choc_taux_table_chocs">'CHOC TAUX'!$B$30:$N$1048576</definedName>
    <definedName name="_onglet_presentation_audit">PARAMETRES!$E$6,PARAMETRES!$E$7,PARAMETRES!$E$8</definedName>
    <definedName name="_onglet_presentation_input_forms">PARAMETRES!$C$21:$I$35</definedName>
    <definedName name="_onglet_presentation_scenario_form">PARAMETRES!$C$39:$F$44</definedName>
    <definedName name="_onglet_presentation_table">PARAMETRES!$C$50:$F$1048576</definedName>
    <definedName name="_onglet_stress_pn_audit">'STRESS PN'!$F$28,'STRESS PN'!$F$27,'STRESS PN'!#REF!</definedName>
    <definedName name="_onglet_stress_pn_form">'STRESS PN'!$C$9:$C$22</definedName>
    <definedName name="_onglet_stress_pn_table">'STRESS PN'!$B$33:$P$1048576</definedName>
    <definedName name="_only_ajust">MOTEUR_Param_Autres!$J$10</definedName>
    <definedName name="_OTHER_ITEMS_CHOC_TAUX">'CHOC TAUX'!$F$12:$F$15</definedName>
    <definedName name="_OUTPUT_LABEL">ALIM_MAIN!$B$25</definedName>
    <definedName name="_output_path">PARAMETRES!$C$35</definedName>
    <definedName name="_OUTPUT_PATH_ALIM">ALIM_MAIN!$C$25</definedName>
    <definedName name="_PARAM1_AJOUT_PN">'AJOUT PN'!$C$10:$C$19</definedName>
    <definedName name="_PARAM1_PN">'STRESS PN'!$C$9:$C$21</definedName>
    <definedName name="_PARAM2_AJOUT_PN">'AJOUT PN'!$F$10:$F$18</definedName>
    <definedName name="_PARAM2_PN">'STRESS PN'!$F$9:$F$12</definedName>
    <definedName name="_PATH_AJUST_PN_BPCE">'RETRO PN BPCE'!$D$11</definedName>
    <definedName name="_PATH_CALL_PN_BPCE">'RETRO PN BPCE'!#REF!</definedName>
    <definedName name="_PATH_FICHIER_MODEL">'SC MODELES'!$D$11</definedName>
    <definedName name="_PATH_SC_PN_BPCE">'RETRO PN BPCE'!$D$9</definedName>
    <definedName name="_PathSauv">MOTEUR_Param_General!$L$22</definedName>
    <definedName name="_PathSauv_Lab">MOTEUR_Param_General!$K$22</definedName>
    <definedName name="_PCRT1">'CHOC TAUX'!$D$17</definedName>
    <definedName name="_PERIM_NTX">ALIM_MAIN!$C$53</definedName>
    <definedName name="_personnel_shocks_items">'CHOC TAUX'!$C$9,'CHOC TAUX'!$F$12,'CHOC TAUX'!$F$13,'CHOC TAUX'!$F$15,'CHOC TAUX'!$F$14,'CHOC TAUX'!$C$12,'CHOC TAUX'!$C$13,'CHOC TAUX'!$C$15,'CHOC TAUX'!$C$16</definedName>
    <definedName name="_PN_A_ACTIVER">Configuration!$AH$5</definedName>
    <definedName name="_PN_NAME_PARAM">PARAMETRES!$C$44</definedName>
    <definedName name="_PRCT2">'CHOC TAUX'!$G$14:$G$15</definedName>
    <definedName name="_progressif_shock_items">'CHOC TAUX'!$C$12:$C$18</definedName>
    <definedName name="_RANGE_TAB_SC">'CHOC TAUX'!$30:$1048576</definedName>
    <definedName name="_RANGE_TAB_SC2">PARAMETRES!$50:$1048576</definedName>
    <definedName name="_RANGE_TAB_SC3">'STRESS PN'!$33:$1048576</definedName>
    <definedName name="_RANGE_TAB_SC4">'RETRO PN BPCE'!$18:$1048576</definedName>
    <definedName name="_RANGE_TAB_SC5">'SC CALCULATEUR'!$17:$1048576</definedName>
    <definedName name="_RANGE_TAB_SC7">'SCENARIO SURCOUCHE DAV'!$C$13:$D$1048576</definedName>
    <definedName name="_RANGE_TAB_SC8">'SC MODELES'!$18:$1048576</definedName>
    <definedName name="_RATE_INPUT">ALIM_MAIN!$C$13</definedName>
    <definedName name="_RATE_INPUT_LABEL">ALIM_MAIN!$B$13</definedName>
    <definedName name="_reg_inf">MOTEUR_Param_Autres!$D$53</definedName>
    <definedName name="_reg_tf">MOTEUR_Param_Autres!$C$53</definedName>
    <definedName name="_REP_SOURCE">MOTEUR_Param_General!$K$17</definedName>
    <definedName name="_SC_AJ_PN">'AJOUT PN'!$C$9</definedName>
    <definedName name="_SC_BASELINE_TAUX">PARAMETRES!$C$41</definedName>
    <definedName name="_SC_BASELINE_VISUALISATION">'CHOC TAUX'!$M$12</definedName>
    <definedName name="_SC_BPCE_ALL">'RETRO PN BPCE'!$D$17</definedName>
    <definedName name="_SC_MOD">'SC MODELES'!$C$17</definedName>
    <definedName name="_SC_MODELE_LIST">PARAMETRES!$C$42</definedName>
    <definedName name="_SC_NAME_PARAM">PARAMETRES!$C$39</definedName>
    <definedName name="_SC_RA_RN">'SC CALCULATEUR'!$17:$114</definedName>
    <definedName name="_SC_RC_ST">'SC CALCULATEUR'!$C$16</definedName>
    <definedName name="_SC_RECALC_ST">PARAMETRES!$C$45</definedName>
    <definedName name="_SC_REF_NMD">ALIM_MAIN!$C$33</definedName>
    <definedName name="_sc_ref_par_default">Configuration!$AE$5</definedName>
    <definedName name="_SC_REF_STOCK">PARAMETRES!#REF!</definedName>
    <definedName name="_SC_SRC_DAV">'SCENARIO SURCOUCHE DAV'!$D$8</definedName>
    <definedName name="_SC_TYPE_PN_ECH">PARAMETRES!#REF!</definedName>
    <definedName name="_SC_TYPE_PN_NMD">PARAMETRES!#REF!</definedName>
    <definedName name="_SCENARI_PATH">PARAMETRES!$C$21</definedName>
    <definedName name="_simple_shock_items">'CHOC TAUX'!$C$12:$C$17</definedName>
    <definedName name="_SOURCE_PATH">MOTEUR_Param_General!$L$17</definedName>
    <definedName name="_sources_dir_path">PARAMETRES!$C$19</definedName>
    <definedName name="_spread_ajust">MOTEUR_Param_Autres!$B$8</definedName>
    <definedName name="_Spread_C3M">MOTEUR_Param_Autres!$C$13</definedName>
    <definedName name="_Spread_E3M">MOTEUR_Param_Autres!$C$9</definedName>
    <definedName name="_Spread_G3M">MOTEUR_Param_Autres!$C$12</definedName>
    <definedName name="_Spread_J3M">MOTEUR_Param_Autres!$C$11</definedName>
    <definedName name="_Spread_U3M">MOTEUR_Param_Autres!$C$10</definedName>
    <definedName name="_Spread_Z3M">MOTEUR_Param_Autres!$C$14</definedName>
    <definedName name="_STRESS_ENCOURS">Configuration!$Q$30</definedName>
    <definedName name="_STRESS_PN_BASE_CALC">OFFSET('Axes Stress'!$U$2,0,0,COUNTA('Axes Stress'!$U:$U)-1,1)</definedName>
    <definedName name="_STRESS_PN_BASSIN">OFFSET('Axes Stress'!$K$2,0,0,COUNTA('Axes Stress'!$K:$K)-1,1)</definedName>
    <definedName name="_STRESS_PN_CONTRAT">OFFSET('Axes Stress'!$C$2,0,0,COUNTA('Axes Stress'!$C:$C)-1,1)</definedName>
    <definedName name="_STRESS_PN_CONTRAT_ECH">OFFSET('Axes Stress'!$V$2,0,0,COUNTA('Axes Stress'!$V:$V)-1,1)</definedName>
    <definedName name="_STRESS_PN_CONTRAT_NMD">OFFSET('Axes Stress'!$W$2,0,0,COUNTA('Axes Stress'!$W:$W)-1,1)</definedName>
    <definedName name="_STRESS_PN_DEVISE" comment="=OFFSET(Sheet1!$A$1,0,0,COUNTA(Sheet1!$A:$A),1)">OFFSET('Axes Stress'!$A$2,0,0,COUNTA('Axes Stress'!$A:$A)-1,1)</definedName>
    <definedName name="_STRESS_PN_DEVISE2">OFFSET('Axes Stress'!$A$3,0,0,COUNTA('Axes Stress'!$A:$A)-1,1)</definedName>
    <definedName name="_STRESS_PN_ETAB">OFFSET('Axes Stress'!$J$2,0,0,COUNTA('Axes Stress'!$J:$J)-1,1)</definedName>
    <definedName name="_STRESS_PN_ETAB2">OFFSET('Axes Stress'!$X$2,0,0,COUNTA('Axes Stress'!$X:$X)-1,1)</definedName>
    <definedName name="_STRESS_PN_INDEX">OFFSET('Axes Stress'!$B$2,0,0,COUNTA('Axes Stress'!$B:$B)-1,1)</definedName>
    <definedName name="_STRESS_PN_INDEX2">OFFSET('Axes Stress'!$B$3,0,0,COUNTA('Axes Stress'!$B:$B)-1,1)</definedName>
    <definedName name="_STRESS_PN_INDIC1">OFFSET('Axes Stress'!#REF!,0,0,COUNTA('Axes Stress'!#REF!)-1,1)</definedName>
    <definedName name="_STRESS_PN_INDIC2">OFFSET('Axes Stress'!#REF!,0,0,COUNTA('Axes Stress'!#REF!)-1,1)</definedName>
    <definedName name="_STRESS_PN_JRPN">OFFSET('Axes Stress'!$O$2,0,0,COUNTA('Axes Stress'!$O:$O)-1,1)</definedName>
    <definedName name="_STRESS_PN_MARCHE">OFFSET('Axes Stress'!$M$2,0,0,COUNTA('Axes Stress'!$M:$M)-1,1)</definedName>
    <definedName name="_STRESS_PN_MATUR">OFFSET('Axes Stress'!$L$2,0,0,COUNTA('Axes Stress'!$L:$L)-1,1)</definedName>
    <definedName name="_STRESS_PN_METIER">OFFSET('Axes Stress'!$F$2,0,0,COUNTA('Axes Stress'!$F:$F)-1,1)</definedName>
    <definedName name="_STRESS_PN_PERIMETRE">OFFSET('Axes Stress'!$E$2,0,0,COUNTA('Axes Stress'!$E:$E)-1,1)</definedName>
    <definedName name="_STRESS_PN_PERIODE_CAPI">OFFSET('Axes Stress'!$R$2,0,0,COUNTA('Axes Stress'!$R:$R)-1,1)</definedName>
    <definedName name="_STRESS_PN_PERIODE_FIXING">OFFSET('Axes Stress'!$T$2,0,0,COUNTA('Axes Stress'!$T:$T)-1,1)</definedName>
    <definedName name="_STRESS_PN_PERIODE_INTERETS">OFFSET('Axes Stress'!$Q$2,0,0,COUNTA('Axes Stress'!$Q:$Q)-1,1)</definedName>
    <definedName name="_STRESS_PN_PERIODE_PROFIL">OFFSET('Axes Stress'!$S$2,0,0,COUNTA('Axes Stress'!$S:$S)-1,1)</definedName>
    <definedName name="_STRESS_PN_POSTE">OFFSET('Axes Stress'!$D$2,0,0,COUNTA('Axes Stress'!$D:$D)-1,1)</definedName>
    <definedName name="_STRESS_PN_PROFIL_EC">OFFSET('Axes Stress'!$P$2,0,0,COUNTA('Axes Stress'!$P:$P)-1,1)</definedName>
    <definedName name="_STRESS_PN_SOUS_METIER">OFFSET('Axes Stress'!$G$2,0,0,COUNTA('Axes Stress'!$G:$G)-1,1)</definedName>
    <definedName name="_STRESS_PN_SOUS_ZONE">OFFSET('Axes Stress'!$I$2,0,0,COUNTA('Axes Stress'!$I:$I)-1,1)</definedName>
    <definedName name="_STRESS_PN_TYPE">OFFSET('Axes Stress'!$N$2,0,0,COUNTA('Axes Stress'!$N:$N)-1,1)</definedName>
    <definedName name="_STRESS_PN_ZONE_GEO">OFFSET('Axes Stress'!$H$2,0,0,COUNTA('Axes Stress'!$H:$H)-1,1)</definedName>
    <definedName name="_TAB_ADD_PN">'AJOUT PN'!$B$26:$CH$1048576</definedName>
    <definedName name="_table_des_scénario">PARAMETRES!$C$49</definedName>
    <definedName name="_table_src_dav">'SCENARIO SURCOUCHE DAV'!$C$12</definedName>
    <definedName name="_Taux_PEL">MOTEUR_Param_Autres!#REF!</definedName>
    <definedName name="_Taux_RA">MOTEUR_Param_Autres!#REF!</definedName>
    <definedName name="_Taux_RA_PEL">MOTEUR_Param_Autres!#REF!</definedName>
    <definedName name="_TCI_FILE_PATH">PARAMETRES!$C$31</definedName>
    <definedName name="_TEMPLATE_ECH_DEFAULT">TEMPLATES!$K$2:$Q$5</definedName>
    <definedName name="_TEMPLATE_ECH_IND">TEMPLATES!$AB$2:$AB$5</definedName>
    <definedName name="_TEMPLATE_NMD_DEFAULT">TEMPLATES!$K$8:$Q$10</definedName>
    <definedName name="_TEMPLATE_NMD_IND">TEMPLATES!$AB$8:$AB$10</definedName>
    <definedName name="_TEMPLATE_PN_ECH">TEMPLATES!$A$2:$CJ$5</definedName>
    <definedName name="_TEMPLATE_PN_NMD">TEMPLATES!$A$8:$CJ$10</definedName>
    <definedName name="_tf_cel">MOTEUR_Param_Autres!$D$49</definedName>
    <definedName name="_tf_tla">MOTEUR_Param_Autres!$C$49</definedName>
    <definedName name="_tf_tlb">MOTEUR_Param_Autres!$E$49</definedName>
    <definedName name="_TLA_IsRetraitement">MOTEUR_Param_Autres!$C$32</definedName>
    <definedName name="_TLA_NextRefix">MOTEUR_Param_Autres!$C$33</definedName>
    <definedName name="_TX_FILE_PATH">PARAMETRES!$C$25</definedName>
    <definedName name="_TX_PATH">PARAMETRES!#REF!</definedName>
    <definedName name="_TYPE_CHOC_TAUX">'CHOC TAUX'!$F$9</definedName>
    <definedName name="_TYPE_COURBE">Configuration!$J$5</definedName>
    <definedName name="_type_eve">MOTEUR_Param_Sortie!$R$5</definedName>
    <definedName name="_TYPE_MODELE">'SC MODELES'!$D$10</definedName>
    <definedName name="_TYPE_PN_AJ_PN">'AJOUT PN'!$C$12</definedName>
    <definedName name="_TYPE_PN_ECH">Configuration!$Q$19:$Q$22</definedName>
    <definedName name="_TYPE_PN_NMD">Configuration!$Q$25:$Q$27</definedName>
    <definedName name="_TYPE_SC_REC_ST">'SC CALCULATEUR'!$D$10</definedName>
    <definedName name="_TYPE_SC_ST">Configuration!$A$6:$A$8</definedName>
    <definedName name="_TYPE_SIMUL">ALIM_MAIN!$C$45</definedName>
    <definedName name="_type_source">ALIM_MAIN!$C$43</definedName>
    <definedName name="_type_sources">Configuration!$E$6</definedName>
    <definedName name="_TYPE_STRESS">'STRESS PN'!$F$11</definedName>
    <definedName name="_type_stress_pn_param">Configuration!$Q$14:$Q$16</definedName>
    <definedName name="_VAL_CHOC_S1">'CHOC TAUX'!$F$14</definedName>
    <definedName name="_VAL_CHOC_S2">'CHOC TAUX'!$F$15</definedName>
    <definedName name="_version" localSheetId="6">ALIM_Params!#REF!</definedName>
    <definedName name="_ZC_EVE_FILE_PATH">PARAMETRES!$C$29</definedName>
    <definedName name="addpn_fst_cell">'AJOUT PN'!$B$25</definedName>
    <definedName name="ded">L9C4</definedName>
    <definedName name="DET_IG">ALIM_MAIN!$C$41</definedName>
    <definedName name="global_fait_le">PARAMETRES!$E$6</definedName>
    <definedName name="global_heure_debut">PARAMETRES!$E$7</definedName>
    <definedName name="global_heure_fin">PARAMETRES!$E$8</definedName>
    <definedName name="LIQ_INPUT">ALIM_MAIN!$C$15</definedName>
    <definedName name="LIQ_INPUT_LABEL">ALIM_MAIN!$B$15</definedName>
    <definedName name="liste_ech">'Axes Stress'!$V$1</definedName>
    <definedName name="liste_nmd">'Axes Stress'!$W$1</definedName>
    <definedName name="lol" localSheetId="14">validationList()</definedName>
    <definedName name="lol">validationList()</definedName>
    <definedName name="MATUR">OFFSET('Axes Stress'!$L$2,0,0,COUNTA('Axes Stress'!$L:$L),1)</definedName>
    <definedName name="pn_fait_le">'STRESS PN'!$F$26</definedName>
    <definedName name="pn_heure_debut">'STRESS PN'!$F$27</definedName>
    <definedName name="pn_heure_fin">'STRESS PN'!$F$28</definedName>
    <definedName name="shocks_fst_cell">'CHOC TAUX'!$B$29</definedName>
    <definedName name="stress_pn_fst_cell">'STRESS PN'!$B$32</definedName>
    <definedName name="table_hors_rarn_pel">Configuration!$AC$5</definedName>
    <definedName name="tx_fait_le">'CHOC TAUX'!$G$23</definedName>
    <definedName name="tx_heure_debut">'CHOC TAUX'!$G$24</definedName>
    <definedName name="tx_heure_fin">'CHOC TAUX'!$G$25</definedName>
  </definedNames>
  <calcPr calcId="181029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5" i="10" l="1"/>
  <c r="G12" i="9" l="1"/>
  <c r="F29" i="9" l="1"/>
  <c r="G26" i="1"/>
  <c r="Q22" i="1"/>
  <c r="Q28" i="1"/>
  <c r="E9" i="10"/>
  <c r="P44" i="10" l="1"/>
  <c r="P43" i="10"/>
  <c r="P21" i="10" l="1"/>
  <c r="V10" i="9" l="1"/>
  <c r="V11" i="9"/>
  <c r="V12" i="9"/>
  <c r="V13" i="9"/>
  <c r="V14" i="9"/>
  <c r="V21" i="9"/>
  <c r="V9" i="9"/>
  <c r="Q12" i="1" l="1"/>
  <c r="Q10" i="1"/>
  <c r="Q20" i="1" l="1"/>
  <c r="Q19" i="1" l="1"/>
  <c r="Q18" i="1" l="1"/>
  <c r="Q15" i="1"/>
  <c r="Q16" i="1"/>
  <c r="Q14" i="1"/>
  <c r="Q17" i="1"/>
  <c r="Q13" i="1"/>
  <c r="Q8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G27" authorId="0" shapeId="0" xr:uid="{786F4746-1757-42E6-9C2E-10EFBCD230F0}">
      <text>
        <r>
          <rPr>
            <b/>
            <sz val="9"/>
            <color indexed="81"/>
            <rFont val="Tahoma"/>
            <family val="2"/>
          </rPr>
          <t>Hossayne:</t>
        </r>
        <r>
          <rPr>
            <sz val="9"/>
            <color indexed="81"/>
            <rFont val="Tahoma"/>
            <family val="2"/>
          </rPr>
          <t xml:space="preserve">
Séparées par des virgules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G7" authorId="0" shapeId="0" xr:uid="{53E8C44E-2652-40B8-9084-FD677B93D63B}">
      <text>
        <r>
          <rPr>
            <sz val="9"/>
            <color indexed="81"/>
            <rFont val="Tahoma"/>
            <family val="2"/>
          </rPr>
          <t xml:space="preserve">
ENCOURS FIN DE MOIS</t>
        </r>
      </text>
    </comment>
    <comment ref="G8" authorId="0" shapeId="0" xr:uid="{26D385CE-E752-451F-8CC3-637D4C30D0E9}">
      <text>
        <r>
          <rPr>
            <sz val="9"/>
            <color indexed="81"/>
            <rFont val="Tahoma"/>
            <family val="2"/>
          </rPr>
          <t xml:space="preserve">
ENCOURS MOYEN</t>
        </r>
      </text>
    </comment>
    <comment ref="P8" authorId="0" shapeId="0" xr:uid="{2662927C-32AA-49DD-8214-EB500FF0E4FE}">
      <text>
        <r>
          <rPr>
            <sz val="9"/>
            <color indexed="81"/>
            <rFont val="Tahoma"/>
            <family val="2"/>
          </rPr>
          <t xml:space="preserve">
ECONOMIC VALUE OF EQUITY ENCOURS MOYEN</t>
        </r>
      </text>
    </comment>
    <comment ref="G9" authorId="0" shapeId="0" xr:uid="{52C5A177-A5D6-4514-A503-9966E3AE8B43}">
      <text>
        <r>
          <rPr>
            <sz val="9"/>
            <color indexed="81"/>
            <rFont val="Tahoma"/>
            <family val="2"/>
          </rPr>
          <t xml:space="preserve">
MNI</t>
        </r>
      </text>
    </comment>
    <comment ref="P9" authorId="0" shapeId="0" xr:uid="{48576C70-790A-45D1-B48E-43274918FE09}">
      <text>
        <r>
          <rPr>
            <sz val="9"/>
            <color indexed="81"/>
            <rFont val="Tahoma"/>
            <family val="2"/>
          </rPr>
          <t xml:space="preserve">
FLUX DE CAPITAL ENCOURS MOYEN</t>
        </r>
      </text>
    </comment>
    <comment ref="G10" authorId="0" shapeId="0" xr:uid="{3C80E7B3-E504-4047-8C3F-9BECEE570BC3}">
      <text>
        <r>
          <rPr>
            <sz val="9"/>
            <color indexed="81"/>
            <rFont val="Tahoma"/>
            <family val="2"/>
          </rPr>
          <t xml:space="preserve">
GAP DE LIQUIDITE ENCOURS FIN DE MOIS</t>
        </r>
      </text>
    </comment>
    <comment ref="P10" authorId="0" shapeId="0" xr:uid="{BC5CD8CF-CE72-4C5C-B820-296C62BA5E7C}">
      <text>
        <r>
          <rPr>
            <sz val="9"/>
            <color indexed="81"/>
            <rFont val="Tahoma"/>
            <family val="2"/>
          </rPr>
          <t xml:space="preserve">
FLUX D'INTERET ENCOURS MOYEN
(MNI GAP REG)</t>
        </r>
      </text>
    </comment>
    <comment ref="G11" authorId="0" shapeId="0" xr:uid="{077E23D7-BEC0-43F1-B08C-98586DE28766}">
      <text>
        <r>
          <rPr>
            <sz val="9"/>
            <color indexed="81"/>
            <rFont val="Tahoma"/>
            <family val="2"/>
          </rPr>
          <t xml:space="preserve">
GAP DE LIQUIDITE ENCOURS MOYEN</t>
        </r>
      </text>
    </comment>
    <comment ref="P11" authorId="0" shapeId="0" xr:uid="{1C31B939-5506-4754-BFB0-BF1B45C95D7A}">
      <text>
        <r>
          <rPr>
            <sz val="9"/>
            <color indexed="81"/>
            <rFont val="Tahoma"/>
            <family val="2"/>
          </rPr>
          <t xml:space="preserve">
FLUX DE CAPITAL ENCOURS MOYEN</t>
        </r>
      </text>
    </comment>
    <comment ref="G12" authorId="0" shapeId="0" xr:uid="{A5C9E0B4-D4EF-4BB5-AE1A-A59D5922D1AE}">
      <text>
        <r>
          <rPr>
            <sz val="9"/>
            <color indexed="81"/>
            <rFont val="Tahoma"/>
            <family val="2"/>
          </rPr>
          <t xml:space="preserve">
GAP DE TAUX FIXE ENCOURS FIN DE MOIS</t>
        </r>
      </text>
    </comment>
    <comment ref="P12" authorId="0" shapeId="0" xr:uid="{2C9A827B-B90A-4E09-8D2D-79E83992C82B}">
      <text>
        <r>
          <rPr>
            <sz val="9"/>
            <color indexed="81"/>
            <rFont val="Tahoma"/>
            <family val="2"/>
          </rPr>
          <t xml:space="preserve">
FLUX D'INTERET ENCOURS MOYEN
(MNI GAP REG)</t>
        </r>
      </text>
    </comment>
    <comment ref="G13" authorId="0" shapeId="0" xr:uid="{85114494-3049-42EE-B6A9-5F8120F7FCFD}">
      <text>
        <r>
          <rPr>
            <sz val="9"/>
            <color indexed="81"/>
            <rFont val="Tahoma"/>
            <family val="2"/>
          </rPr>
          <t xml:space="preserve">
GAP DE TAUX FIXE ENCOURS MOYEN</t>
        </r>
      </text>
    </comment>
    <comment ref="P13" authorId="0" shapeId="0" xr:uid="{4567017B-EA9B-40DB-9073-3976AB95460F}">
      <text>
        <r>
          <rPr>
            <sz val="9"/>
            <color indexed="81"/>
            <rFont val="Tahoma"/>
            <family val="2"/>
          </rPr>
          <t xml:space="preserve">
GAP DE LIQUIDITE ENCOURS MOYEN</t>
        </r>
      </text>
    </comment>
    <comment ref="G14" authorId="0" shapeId="0" xr:uid="{2511AB41-0FED-4AF4-A050-FD82FA4C34E7}">
      <text>
        <r>
          <rPr>
            <sz val="9"/>
            <color indexed="81"/>
            <rFont val="Tahoma"/>
            <family val="2"/>
          </rPr>
          <t xml:space="preserve">
GAP INFLATION ENCOURS FIN DE MOIS</t>
        </r>
      </text>
    </comment>
    <comment ref="P14" authorId="0" shapeId="0" xr:uid="{694726DA-5FFE-456A-B79A-80380F02FF9A}">
      <text>
        <r>
          <rPr>
            <sz val="9"/>
            <color indexed="81"/>
            <rFont val="Tahoma"/>
            <family val="2"/>
          </rPr>
          <t xml:space="preserve">
GAP DE TAUX FIXE ENCOURS MOYEN</t>
        </r>
      </text>
    </comment>
    <comment ref="G15" authorId="0" shapeId="0" xr:uid="{FED55027-98E6-4C13-BA33-B70673316567}">
      <text>
        <r>
          <rPr>
            <sz val="9"/>
            <color indexed="81"/>
            <rFont val="Tahoma"/>
            <family val="2"/>
          </rPr>
          <t xml:space="preserve">
GAP INFLATION ENCOURS MOYEN</t>
        </r>
      </text>
    </comment>
    <comment ref="P15" authorId="0" shapeId="0" xr:uid="{1E5B2C06-E572-47C0-92F7-A8E7BBF17D86}">
      <text>
        <r>
          <rPr>
            <sz val="9"/>
            <color indexed="81"/>
            <rFont val="Tahoma"/>
            <family val="2"/>
          </rPr>
          <t xml:space="preserve">
GAP INFLATION ENCOURS MOYEN</t>
        </r>
      </text>
    </comment>
    <comment ref="G16" authorId="0" shapeId="0" xr:uid="{61E86075-1CF5-4729-BFC4-F10283B59817}">
      <text>
        <r>
          <rPr>
            <sz val="9"/>
            <color indexed="81"/>
            <rFont val="Tahoma"/>
            <family val="2"/>
          </rPr>
          <t xml:space="preserve">
GAP REGLEMENTAIRE ENCOURS FIN DE MOIS</t>
        </r>
      </text>
    </comment>
    <comment ref="P16" authorId="0" shapeId="0" xr:uid="{DCB3464A-0A38-4A5A-A3C3-18102DB3B770}">
      <text>
        <r>
          <rPr>
            <sz val="9"/>
            <color indexed="81"/>
            <rFont val="Tahoma"/>
            <family val="2"/>
          </rPr>
          <t xml:space="preserve">
GAP REGLEMENTAIRE ENCOURS MOYEN</t>
        </r>
      </text>
    </comment>
    <comment ref="G17" authorId="0" shapeId="0" xr:uid="{590D99EE-2EB4-46E5-82D2-A74306F0916B}">
      <text>
        <r>
          <rPr>
            <sz val="9"/>
            <color indexed="81"/>
            <rFont val="Tahoma"/>
            <family val="2"/>
          </rPr>
          <t xml:space="preserve">
GAP REGLEMENTAIRE ENCOURS MOYEN</t>
        </r>
      </text>
    </comment>
    <comment ref="P17" authorId="0" shapeId="0" xr:uid="{CA77096A-C8B8-4359-8FBF-F930C3F4298C}">
      <text>
        <r>
          <rPr>
            <sz val="9"/>
            <color indexed="81"/>
            <rFont val="Tahoma"/>
            <family val="2"/>
          </rPr>
          <t xml:space="preserve">
MNI CALCULE SUR LE GAP REG  M0</t>
        </r>
      </text>
    </comment>
    <comment ref="G20" authorId="0" shapeId="0" xr:uid="{539B3C33-B78E-477D-A7D9-BA1870A42548}">
      <text>
        <r>
          <rPr>
            <sz val="9"/>
            <color indexed="81"/>
            <rFont val="Tahoma"/>
            <family val="2"/>
          </rPr>
          <t>VOLUME DE PN EFFECTIF CREE</t>
        </r>
      </text>
    </comment>
    <comment ref="G21" authorId="0" shapeId="0" xr:uid="{1AA6908A-A500-4209-8825-FC1900097AD1}">
      <text>
        <r>
          <rPr>
            <sz val="9"/>
            <color indexed="81"/>
            <rFont val="Tahoma"/>
            <family val="2"/>
          </rPr>
          <t>TAUX CLIENT</t>
        </r>
      </text>
    </comment>
    <comment ref="G23" authorId="0" shapeId="0" xr:uid="{28877ED6-A2DF-42BB-ADC1-1B9D00350EF9}">
      <text>
        <r>
          <rPr>
            <sz val="9"/>
            <color indexed="81"/>
            <rFont val="Tahoma"/>
            <family val="2"/>
          </rPr>
          <t>MNI TAUX SCENARIO</t>
        </r>
      </text>
    </comment>
    <comment ref="G24" authorId="0" shapeId="0" xr:uid="{22CFA697-FE4F-4E0C-B702-76E1D96CA468}">
      <text>
        <r>
          <rPr>
            <sz val="9"/>
            <color indexed="81"/>
            <rFont val="Tahoma"/>
            <family val="2"/>
          </rPr>
          <t>MNI MARGE CO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HOSSAYNE</author>
  </authors>
  <commentList>
    <comment ref="B17" authorId="0" shapeId="0" xr:uid="{616D4BF1-B528-4542-A0FE-EBE164C61B2D}">
      <text>
        <r>
          <rPr>
            <b/>
            <sz val="9"/>
            <color indexed="81"/>
            <rFont val="Tahoma"/>
            <family val="2"/>
          </rPr>
          <t>Paramétrage non applicable à l'EVE, qui possède un paramétrage autonome dans l'onglet Param_EVE fixé en central</t>
        </r>
      </text>
    </comment>
    <comment ref="B27" authorId="0" shapeId="0" xr:uid="{5FE937C2-B584-471D-BF3F-41E1C6DCC136}">
      <text>
        <r>
          <rPr>
            <b/>
            <sz val="9"/>
            <color indexed="81"/>
            <rFont val="Tahoma"/>
            <family val="2"/>
          </rPr>
          <t>Paramétrage non applicable à l'EVE, qui possède un paramétrage autonome dans l'onglet Param_EVE fixé en central</t>
        </r>
      </text>
    </comment>
  </commentList>
</comments>
</file>

<file path=xl/sharedStrings.xml><?xml version="1.0" encoding="utf-8"?>
<sst xmlns="http://schemas.openxmlformats.org/spreadsheetml/2006/main" count="10209" uniqueCount="6696">
  <si>
    <t>Maturité</t>
  </si>
  <si>
    <t>Progressif</t>
  </si>
  <si>
    <t>EURIBOR</t>
  </si>
  <si>
    <t>EUREONIA1D</t>
  </si>
  <si>
    <t>EUREURIB10M</t>
  </si>
  <si>
    <t>EUREURIB10Y</t>
  </si>
  <si>
    <t>EUREURIB11M</t>
  </si>
  <si>
    <t>EUREURIB12Y</t>
  </si>
  <si>
    <t>EUREURIB15Y</t>
  </si>
  <si>
    <t>EUREURIB1M</t>
  </si>
  <si>
    <t>EUREURIB1Y</t>
  </si>
  <si>
    <t>EUREURIB20Y</t>
  </si>
  <si>
    <t>EUREURIB25Y</t>
  </si>
  <si>
    <t>EUREURIB2M</t>
  </si>
  <si>
    <t>EUREURIB2Y</t>
  </si>
  <si>
    <t>EUREURIB30Y</t>
  </si>
  <si>
    <t>EUREURIB3M</t>
  </si>
  <si>
    <t>EUREURIB3Y</t>
  </si>
  <si>
    <t>EUREURIB4M</t>
  </si>
  <si>
    <t>EUREURIB4Y</t>
  </si>
  <si>
    <t>EUREURIB5M</t>
  </si>
  <si>
    <t>EUREURIB5Y</t>
  </si>
  <si>
    <t>EUREURIB6M</t>
  </si>
  <si>
    <t>EUREURIB6Y</t>
  </si>
  <si>
    <t>EUREURIB7M</t>
  </si>
  <si>
    <t>EUREURIB7Y</t>
  </si>
  <si>
    <t>EUREURIB8M</t>
  </si>
  <si>
    <t>EUREURIB8Y</t>
  </si>
  <si>
    <t>EUREURIB9M</t>
  </si>
  <si>
    <t>EUREURIB9Y</t>
  </si>
  <si>
    <t>EURINFC</t>
  </si>
  <si>
    <t>EURINF</t>
  </si>
  <si>
    <t>EURLIVA</t>
  </si>
  <si>
    <t>iBCE</t>
  </si>
  <si>
    <t>CHFLIB10M</t>
  </si>
  <si>
    <t>CHFLIB10Y</t>
  </si>
  <si>
    <t>CHFLIB11M</t>
  </si>
  <si>
    <t>CHFLIB12Y</t>
  </si>
  <si>
    <t>CHFLIB15Y</t>
  </si>
  <si>
    <t>CHFLIB1D</t>
  </si>
  <si>
    <t>CHFLIB1M</t>
  </si>
  <si>
    <t>CHFLIB1Y</t>
  </si>
  <si>
    <t>CHFLIB20Y</t>
  </si>
  <si>
    <t>CHFLIB25Y</t>
  </si>
  <si>
    <t>CHFLIB2M</t>
  </si>
  <si>
    <t>CHFLIB2Y</t>
  </si>
  <si>
    <t>CHFLIB30Y</t>
  </si>
  <si>
    <t>CHFLIB3M</t>
  </si>
  <si>
    <t>CHFLIB3Y</t>
  </si>
  <si>
    <t>CHFLIB4M</t>
  </si>
  <si>
    <t>CHFLIB4Y</t>
  </si>
  <si>
    <t>CHFLIB5M</t>
  </si>
  <si>
    <t>CHFLIB5Y</t>
  </si>
  <si>
    <t>CHFLIB6M</t>
  </si>
  <si>
    <t>CHFLIB6Y</t>
  </si>
  <si>
    <t>CHFLIB7M</t>
  </si>
  <si>
    <t>CHFLIB7Y</t>
  </si>
  <si>
    <t>CHFLIB8M</t>
  </si>
  <si>
    <t>CHFLIB8Y</t>
  </si>
  <si>
    <t>CHFLIB9M</t>
  </si>
  <si>
    <t>CHFLIB9Y</t>
  </si>
  <si>
    <t>GBPLIB10M</t>
  </si>
  <si>
    <t>GBPLIB10Y</t>
  </si>
  <si>
    <t>GBPLIB11M</t>
  </si>
  <si>
    <t>GBPLIB12Y</t>
  </si>
  <si>
    <t>GBPLIB15Y</t>
  </si>
  <si>
    <t>GBPLIB1D</t>
  </si>
  <si>
    <t>GBPLIB1M</t>
  </si>
  <si>
    <t>GBPLIB1Y</t>
  </si>
  <si>
    <t>GBPLIB20Y</t>
  </si>
  <si>
    <t>GBPLIB25Y</t>
  </si>
  <si>
    <t>GBPLIB2M</t>
  </si>
  <si>
    <t>GBPLIB2Y</t>
  </si>
  <si>
    <t>GBPLIB30Y</t>
  </si>
  <si>
    <t>GBPLIB3M</t>
  </si>
  <si>
    <t>GBPLIB3Y</t>
  </si>
  <si>
    <t>GBPLIB4M</t>
  </si>
  <si>
    <t>GBPLIB4Y</t>
  </si>
  <si>
    <t>GBPLIB5M</t>
  </si>
  <si>
    <t>GBPLIB5Y</t>
  </si>
  <si>
    <t>GBPLIB6M</t>
  </si>
  <si>
    <t>GBPLIB6Y</t>
  </si>
  <si>
    <t>GBPLIB7M</t>
  </si>
  <si>
    <t>GBPLIB7Y</t>
  </si>
  <si>
    <t>GBPLIB8M</t>
  </si>
  <si>
    <t>GBPLIB8Y</t>
  </si>
  <si>
    <t>GBPLIB9M</t>
  </si>
  <si>
    <t>GBPLIB9Y</t>
  </si>
  <si>
    <t>JPYLIB10M</t>
  </si>
  <si>
    <t>JPYLIB10Y</t>
  </si>
  <si>
    <t>JPYLIB11M</t>
  </si>
  <si>
    <t>JPYLIB12Y</t>
  </si>
  <si>
    <t>JPYLIB15Y</t>
  </si>
  <si>
    <t>JPYLIB1D</t>
  </si>
  <si>
    <t>JPYLIB1M</t>
  </si>
  <si>
    <t>JPYLIB1Y</t>
  </si>
  <si>
    <t>JPYLIB20Y</t>
  </si>
  <si>
    <t>JPYLIB25Y</t>
  </si>
  <si>
    <t>JPYLIB2M</t>
  </si>
  <si>
    <t>JPYLIB2Y</t>
  </si>
  <si>
    <t>JPYLIB30Y</t>
  </si>
  <si>
    <t>JPYLIB3M</t>
  </si>
  <si>
    <t>JPYLIB3Y</t>
  </si>
  <si>
    <t>JPYLIB4M</t>
  </si>
  <si>
    <t>JPYLIB4Y</t>
  </si>
  <si>
    <t>JPYLIB5M</t>
  </si>
  <si>
    <t>JPYLIB5Y</t>
  </si>
  <si>
    <t>JPYLIB6M</t>
  </si>
  <si>
    <t>JPYLIB6Y</t>
  </si>
  <si>
    <t>JPYLIB7M</t>
  </si>
  <si>
    <t>JPYLIB7Y</t>
  </si>
  <si>
    <t>JPYLIB8M</t>
  </si>
  <si>
    <t>JPYLIB8Y</t>
  </si>
  <si>
    <t>JPYLIB9M</t>
  </si>
  <si>
    <t>JPYLIB9Y</t>
  </si>
  <si>
    <t>USDLIB10M</t>
  </si>
  <si>
    <t>USDLIB10Y</t>
  </si>
  <si>
    <t>USDLIB11M</t>
  </si>
  <si>
    <t>USDLIB12Y</t>
  </si>
  <si>
    <t>USDLIB15Y</t>
  </si>
  <si>
    <t>USDLIB1D</t>
  </si>
  <si>
    <t>USDLIB1M</t>
  </si>
  <si>
    <t>USDLIB1Y</t>
  </si>
  <si>
    <t>USDLIB20Y</t>
  </si>
  <si>
    <t>USDLIB25Y</t>
  </si>
  <si>
    <t>USDLIB2M</t>
  </si>
  <si>
    <t>USDLIB2Y</t>
  </si>
  <si>
    <t>USDLIB30Y</t>
  </si>
  <si>
    <t>USDLIB3M</t>
  </si>
  <si>
    <t>USDLIB3Y</t>
  </si>
  <si>
    <t>USDLIB4M</t>
  </si>
  <si>
    <t>USDLIB4Y</t>
  </si>
  <si>
    <t>USDLIB5M</t>
  </si>
  <si>
    <t>USDLIB5Y</t>
  </si>
  <si>
    <t>USDLIB6M</t>
  </si>
  <si>
    <t>USDLIB6Y</t>
  </si>
  <si>
    <t>USDLIB7M</t>
  </si>
  <si>
    <t>USDLIB7Y</t>
  </si>
  <si>
    <t>USDLIB8M</t>
  </si>
  <si>
    <t>USDLIB8Y</t>
  </si>
  <si>
    <t>USDLIB9M</t>
  </si>
  <si>
    <t>USDLIB9Y</t>
  </si>
  <si>
    <t>BTAN2Y</t>
  </si>
  <si>
    <t>BTAN3Y</t>
  </si>
  <si>
    <t>BTAN4Y</t>
  </si>
  <si>
    <t>BTAN5Y</t>
  </si>
  <si>
    <t>BTF1M</t>
  </si>
  <si>
    <t>BTF1Y</t>
  </si>
  <si>
    <t>BTF3M</t>
  </si>
  <si>
    <t>BTF6M</t>
  </si>
  <si>
    <t>BTF9M</t>
  </si>
  <si>
    <t>OAT10Y</t>
  </si>
  <si>
    <t>OAT15Y</t>
  </si>
  <si>
    <t>OAT20Y</t>
  </si>
  <si>
    <t>OAT30Y</t>
  </si>
  <si>
    <t>OAT6Y</t>
  </si>
  <si>
    <t>OAT7Y</t>
  </si>
  <si>
    <t>OAT8Y</t>
  </si>
  <si>
    <t>OAT9Y</t>
  </si>
  <si>
    <t>TAUX_PEL</t>
  </si>
  <si>
    <t>EUR</t>
  </si>
  <si>
    <t>3M</t>
  </si>
  <si>
    <t>Code Courbe</t>
  </si>
  <si>
    <t>1D</t>
  </si>
  <si>
    <t>1M</t>
  </si>
  <si>
    <t>USD</t>
  </si>
  <si>
    <t>2M</t>
  </si>
  <si>
    <t>GBP</t>
  </si>
  <si>
    <t>4M</t>
  </si>
  <si>
    <t>5M</t>
  </si>
  <si>
    <t>6M</t>
  </si>
  <si>
    <t>7M</t>
  </si>
  <si>
    <t>8M</t>
  </si>
  <si>
    <t>9M</t>
  </si>
  <si>
    <t>10M</t>
  </si>
  <si>
    <t>11M</t>
  </si>
  <si>
    <t>12M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</si>
  <si>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</si>
  <si>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</si>
  <si>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</si>
  <si>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</si>
  <si>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</si>
  <si>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</si>
  <si>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</si>
  <si>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</si>
  <si>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</si>
  <si>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</si>
  <si>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</si>
  <si>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</si>
  <si>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</si>
  <si>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30Y</t>
  </si>
  <si>
    <t>INF</t>
  </si>
  <si>
    <t>CHF</t>
  </si>
  <si>
    <t>JPY</t>
  </si>
  <si>
    <t>PEL</t>
  </si>
  <si>
    <t>Code devise</t>
  </si>
  <si>
    <t>ASK</t>
  </si>
  <si>
    <t>Constant</t>
  </si>
  <si>
    <t>OF</t>
  </si>
  <si>
    <t>TCI</t>
  </si>
  <si>
    <t>TAUX</t>
  </si>
  <si>
    <t>PN NMD</t>
  </si>
  <si>
    <t>PN ECH</t>
  </si>
  <si>
    <t>Type PN</t>
  </si>
  <si>
    <t>A-CPT-DEB</t>
  </si>
  <si>
    <t>P-CPT-CRD</t>
  </si>
  <si>
    <t>P-DAV-CORP</t>
  </si>
  <si>
    <t>P-DAV-PART</t>
  </si>
  <si>
    <t>P-LIV-A-CEP</t>
  </si>
  <si>
    <t>P-LIV-ORD</t>
  </si>
  <si>
    <t>A-CR-EQ-STD</t>
  </si>
  <si>
    <t>A-CR-HAB-STD</t>
  </si>
  <si>
    <t>A-CR-TRESO</t>
  </si>
  <si>
    <t>AHB-SW-A</t>
  </si>
  <si>
    <t>A-TITRE-PN</t>
  </si>
  <si>
    <t>P-CAT-PROG</t>
  </si>
  <si>
    <t>P-EMP-INTBQ</t>
  </si>
  <si>
    <t>PHB-SW-P</t>
  </si>
  <si>
    <t>A-PR-PERSO</t>
  </si>
  <si>
    <t>P-PEL</t>
  </si>
  <si>
    <t>TxSpPN(bps)</t>
  </si>
  <si>
    <t>TxProdCible(bps)</t>
  </si>
  <si>
    <t>Indicateur</t>
  </si>
  <si>
    <t>Encours</t>
  </si>
  <si>
    <t>MargeCo(bps)</t>
  </si>
  <si>
    <t>Pentification</t>
  </si>
  <si>
    <t>TLB</t>
  </si>
  <si>
    <t>CEL</t>
  </si>
  <si>
    <t>iBB</t>
  </si>
  <si>
    <t>@FORWARD</t>
  </si>
  <si>
    <t>EURTDAV</t>
  </si>
  <si>
    <t>P-TCN-FI</t>
  </si>
  <si>
    <t>P-TCN</t>
  </si>
  <si>
    <t>P-PEP-STD</t>
  </si>
  <si>
    <t>P-MISE-PENS</t>
  </si>
  <si>
    <t>P-LIV-PREF</t>
  </si>
  <si>
    <t>P-LIV-JEUNE</t>
  </si>
  <si>
    <t>P-LIV-EP</t>
  </si>
  <si>
    <t>P-LIV-DD-CEP</t>
  </si>
  <si>
    <t>P-LIV-DD-BP</t>
  </si>
  <si>
    <t>P-LIV-CONDI</t>
  </si>
  <si>
    <t>P-LIV-AUT</t>
  </si>
  <si>
    <t>P-LIV-ASSO</t>
  </si>
  <si>
    <t>P-LIV-A-BP</t>
  </si>
  <si>
    <t>P-EMP-CLI</t>
  </si>
  <si>
    <t>P-CAT-STD</t>
  </si>
  <si>
    <t>P-CAT-CORP</t>
  </si>
  <si>
    <t>A-PR-INTBQ</t>
  </si>
  <si>
    <t>A-OPC-MON</t>
  </si>
  <si>
    <t>A-OBLIG-6</t>
  </si>
  <si>
    <t>A-OBLIG-5</t>
  </si>
  <si>
    <t>A-OBLIG-4</t>
  </si>
  <si>
    <t>A-OBLIG-3</t>
  </si>
  <si>
    <t>A-OBLIG-2</t>
  </si>
  <si>
    <t>A-OBLIG-1</t>
  </si>
  <si>
    <t>A-LIVA-C-CEP</t>
  </si>
  <si>
    <t>A-LIVA-C-BP</t>
  </si>
  <si>
    <t>EUR Holidays</t>
  </si>
  <si>
    <t>Personnalisé</t>
  </si>
  <si>
    <t>ALL</t>
  </si>
  <si>
    <t>Cumulatif</t>
  </si>
  <si>
    <t>Remplacement</t>
  </si>
  <si>
    <t>NOM SCENARIO</t>
  </si>
  <si>
    <t>OPTIONS DU CHOC DE TAUX</t>
  </si>
  <si>
    <t>TYPE SCENARIO</t>
  </si>
  <si>
    <t>DEVISE</t>
  </si>
  <si>
    <t>COURBE</t>
  </si>
  <si>
    <t>MATURITE</t>
  </si>
  <si>
    <t>MOIS DEBUT</t>
  </si>
  <si>
    <t>MOIS FIN</t>
  </si>
  <si>
    <t>PAS CHOC</t>
  </si>
  <si>
    <t>SEUIL PIVOT 1</t>
  </si>
  <si>
    <t>SEUIL PIVOT 2</t>
  </si>
  <si>
    <t>VAL. CHOC SEUIL 1</t>
  </si>
  <si>
    <t>VAL. CHOC SEUIL 2</t>
  </si>
  <si>
    <t>VAL. CHOC</t>
  </si>
  <si>
    <t>CHOC GENERES</t>
  </si>
  <si>
    <t>DEBUT</t>
  </si>
  <si>
    <t>FIN</t>
  </si>
  <si>
    <t>DUREE</t>
  </si>
  <si>
    <t>TYPE PN</t>
  </si>
  <si>
    <t>INDICATEUR</t>
  </si>
  <si>
    <t>INDEX CALC</t>
  </si>
  <si>
    <t>CONTRAT</t>
  </si>
  <si>
    <t>TYPE DE STRESS</t>
  </si>
  <si>
    <t>VAL. STRESS</t>
  </si>
  <si>
    <t>OPTIONS STRESS DES PN</t>
  </si>
  <si>
    <t>TYPE PN ECH</t>
  </si>
  <si>
    <t>ECH</t>
  </si>
  <si>
    <t>ECH &amp; ECH%</t>
  </si>
  <si>
    <t>-</t>
  </si>
  <si>
    <t>TYPE PN NMD</t>
  </si>
  <si>
    <t>NMD</t>
  </si>
  <si>
    <t>ECH%</t>
  </si>
  <si>
    <t>NMD%</t>
  </si>
  <si>
    <t>DATE</t>
  </si>
  <si>
    <t>CODE COURBE</t>
  </si>
  <si>
    <t>EURTREAS10Y</t>
  </si>
  <si>
    <t>EURTREAS</t>
  </si>
  <si>
    <t>Additif</t>
  </si>
  <si>
    <t>Aplatissement</t>
  </si>
  <si>
    <t>NOM STRESS PN</t>
  </si>
  <si>
    <t>Type Stress PN TAUX</t>
  </si>
  <si>
    <t>Type Stress PN ENCOURS</t>
  </si>
  <si>
    <t xml:space="preserve"> </t>
  </si>
  <si>
    <t>ZEU</t>
  </si>
  <si>
    <t>(%)</t>
  </si>
  <si>
    <t>OUI</t>
  </si>
  <si>
    <t>NON</t>
  </si>
  <si>
    <t>POSTE</t>
  </si>
  <si>
    <t>CASDEN - A</t>
  </si>
  <si>
    <t>CENTRALISATION</t>
  </si>
  <si>
    <t>CENTRALISATION LEP</t>
  </si>
  <si>
    <t>CR AUTRES</t>
  </si>
  <si>
    <t>CR BAIL</t>
  </si>
  <si>
    <t>CR DOCUMENTAIRE</t>
  </si>
  <si>
    <t>CR EQUIPEMENTS</t>
  </si>
  <si>
    <t>CR EXPLOITATION</t>
  </si>
  <si>
    <t>CR IMMOBILIERS</t>
  </si>
  <si>
    <t>CR PERSONNEL</t>
  </si>
  <si>
    <t>CR TRESORERIE</t>
  </si>
  <si>
    <t>LITIGIEUX</t>
  </si>
  <si>
    <t>EMPLOI SUBORD</t>
  </si>
  <si>
    <t>IMMOBILISATIONS</t>
  </si>
  <si>
    <t>PARTICIPATIONS</t>
  </si>
  <si>
    <t>STRUCT A AUTRES</t>
  </si>
  <si>
    <t>STRUCT A GDW</t>
  </si>
  <si>
    <t>STRUCT A JV</t>
  </si>
  <si>
    <t>TITRES SUBORD</t>
  </si>
  <si>
    <t>AUTRES TITRES A</t>
  </si>
  <si>
    <t>BANQUE CENTRALE - A</t>
  </si>
  <si>
    <t>PRET DE TITRES</t>
  </si>
  <si>
    <t>PRETS INTERBC</t>
  </si>
  <si>
    <t>REVERSE REPO</t>
  </si>
  <si>
    <t>TITRES OBLIG</t>
  </si>
  <si>
    <t>TRESO A AUTRES</t>
  </si>
  <si>
    <t>BILANTIARISATION</t>
  </si>
  <si>
    <t>BON</t>
  </si>
  <si>
    <t>CASDEN - P</t>
  </si>
  <si>
    <t>CAT</t>
  </si>
  <si>
    <t>DAV</t>
  </si>
  <si>
    <t>EMPRUNT CLIENTELE</t>
  </si>
  <si>
    <t>LIV NON REG ASSO</t>
  </si>
  <si>
    <t>LIV NON REG AUT</t>
  </si>
  <si>
    <t>LIV NON REG CONDI</t>
  </si>
  <si>
    <t>LIV NON REG ER</t>
  </si>
  <si>
    <t>LIV NON REG JEUNES</t>
  </si>
  <si>
    <t>LIV NON REG ORD</t>
  </si>
  <si>
    <t>LIV NON REG PLPREF</t>
  </si>
  <si>
    <t>LIV NON REG PREF</t>
  </si>
  <si>
    <t>LIV NON REG PROMO</t>
  </si>
  <si>
    <t>LIV NON REG SOC</t>
  </si>
  <si>
    <t>LIV REG</t>
  </si>
  <si>
    <t>LIV REG LEP</t>
  </si>
  <si>
    <t>PEL CAT</t>
  </si>
  <si>
    <t>PEP</t>
  </si>
  <si>
    <t>REFI SPE CLI</t>
  </si>
  <si>
    <t>TCN</t>
  </si>
  <si>
    <t>AUTRES FP T1</t>
  </si>
  <si>
    <t>EMISSIONS SUBORD T2</t>
  </si>
  <si>
    <t>PARTS SOCIALES T1</t>
  </si>
  <si>
    <t>RESERVES T1</t>
  </si>
  <si>
    <t>STRUCT P AUTRES</t>
  </si>
  <si>
    <t>STRUCT P JV</t>
  </si>
  <si>
    <t>AUTRES TITRES P</t>
  </si>
  <si>
    <t>BANQUE CENTRALE - P</t>
  </si>
  <si>
    <t>EMISSIONS CD</t>
  </si>
  <si>
    <t>EMISSIONS ECP</t>
  </si>
  <si>
    <t>EMISSIONS SECUR</t>
  </si>
  <si>
    <t>EMISSIONS TSDD</t>
  </si>
  <si>
    <t>EMISSIONS UNSEC</t>
  </si>
  <si>
    <t>EMISSIONS USCP</t>
  </si>
  <si>
    <t>EMPRUNT DE TITRES</t>
  </si>
  <si>
    <t>EMPRUNTS INTERBC</t>
  </si>
  <si>
    <t>REPO</t>
  </si>
  <si>
    <t>TCN FI</t>
  </si>
  <si>
    <t>TRESO P AUTRES</t>
  </si>
  <si>
    <t>DERIVES - A</t>
  </si>
  <si>
    <t>DERIVES - P</t>
  </si>
  <si>
    <t>PERIMETRE</t>
  </si>
  <si>
    <t>AUTRES</t>
  </si>
  <si>
    <t>TITRES RL</t>
  </si>
  <si>
    <t>TITRES NON RL</t>
  </si>
  <si>
    <t>CONSO LQ NTX</t>
  </si>
  <si>
    <t>CONSO LQ BP CT</t>
  </si>
  <si>
    <t>CONSO LQ CEP CT</t>
  </si>
  <si>
    <t>RL</t>
  </si>
  <si>
    <t>PRETS HG</t>
  </si>
  <si>
    <t>CONSO LQ SEF</t>
  </si>
  <si>
    <t>FDR</t>
  </si>
  <si>
    <t>HB</t>
  </si>
  <si>
    <t>CONSO LQ BP MLT</t>
  </si>
  <si>
    <t>IC</t>
  </si>
  <si>
    <t>CONSO LQ CEP MLT</t>
  </si>
  <si>
    <t>CONSO LQ CFF</t>
  </si>
  <si>
    <t>CONSO LQ IOM</t>
  </si>
  <si>
    <t>CONSO LQ PAL</t>
  </si>
  <si>
    <t>REFI MLT</t>
  </si>
  <si>
    <t>REFI CT</t>
  </si>
  <si>
    <t>CHOIX</t>
  </si>
  <si>
    <t xml:space="preserve">                                         DEBUT</t>
  </si>
  <si>
    <t xml:space="preserve">                                         DATE</t>
  </si>
  <si>
    <t xml:space="preserve">                                         FIN</t>
  </si>
  <si>
    <t xml:space="preserve">                                         DUREE</t>
  </si>
  <si>
    <t xml:space="preserve">UNSECURED E1D </t>
  </si>
  <si>
    <t>UNSECURED E3M</t>
  </si>
  <si>
    <t>,</t>
  </si>
  <si>
    <t>REPERTOIRE AJUST</t>
  </si>
  <si>
    <t>REPERTOIRE SC</t>
  </si>
  <si>
    <t>SCENARIO</t>
  </si>
  <si>
    <t>BPCE</t>
  </si>
  <si>
    <t>CECAZ</t>
  </si>
  <si>
    <t>ETABLISSEMENT</t>
  </si>
  <si>
    <t>NTX</t>
  </si>
  <si>
    <t>SEF</t>
  </si>
  <si>
    <t>BP</t>
  </si>
  <si>
    <t>CEP</t>
  </si>
  <si>
    <t>PAL</t>
  </si>
  <si>
    <t>IOM</t>
  </si>
  <si>
    <t>BATILEASE</t>
  </si>
  <si>
    <t>BCI_IOM</t>
  </si>
  <si>
    <t>BCI_MR</t>
  </si>
  <si>
    <t>BCP_LUX</t>
  </si>
  <si>
    <t>BCP_PARIS</t>
  </si>
  <si>
    <t>BDAF_IOM</t>
  </si>
  <si>
    <t>BDL</t>
  </si>
  <si>
    <t>BDSPM_IOM</t>
  </si>
  <si>
    <t>BIC_BRED</t>
  </si>
  <si>
    <t>BIC_BRED_GEN</t>
  </si>
  <si>
    <t>BICEC_IOM</t>
  </si>
  <si>
    <t>BM_IOM</t>
  </si>
  <si>
    <t>BMF</t>
  </si>
  <si>
    <t>BMOI_IOM</t>
  </si>
  <si>
    <t>BNC_IOM</t>
  </si>
  <si>
    <t>BPACA</t>
  </si>
  <si>
    <t>BPALC</t>
  </si>
  <si>
    <t>BPALP</t>
  </si>
  <si>
    <t>BPALS</t>
  </si>
  <si>
    <t>BPATL</t>
  </si>
  <si>
    <t>BPAURA</t>
  </si>
  <si>
    <t>BPBFC</t>
  </si>
  <si>
    <t>BPCAZ</t>
  </si>
  <si>
    <t>BPCE_IOM</t>
  </si>
  <si>
    <t>BPLLY</t>
  </si>
  <si>
    <t>BPMED</t>
  </si>
  <si>
    <t>BPMFC</t>
  </si>
  <si>
    <t>BPNRD</t>
  </si>
  <si>
    <t>BPOCC</t>
  </si>
  <si>
    <t>BPOUE</t>
  </si>
  <si>
    <t>BPRVP</t>
  </si>
  <si>
    <t>BPSUD</t>
  </si>
  <si>
    <t>BPVLF</t>
  </si>
  <si>
    <t>BQ_EDEL</t>
  </si>
  <si>
    <t>BQ_FR_LAO</t>
  </si>
  <si>
    <t>BQSAV</t>
  </si>
  <si>
    <t>BR_IOM</t>
  </si>
  <si>
    <t>BRED</t>
  </si>
  <si>
    <t>BRED_COFI</t>
  </si>
  <si>
    <t>BRED_FIDJI</t>
  </si>
  <si>
    <t>BRED_GEST</t>
  </si>
  <si>
    <t>BRED_VANU</t>
  </si>
  <si>
    <t>BT_IOM</t>
  </si>
  <si>
    <t>BTK_IOM</t>
  </si>
  <si>
    <t>BTPB</t>
  </si>
  <si>
    <t>CAISSESO</t>
  </si>
  <si>
    <t>CCSO</t>
  </si>
  <si>
    <t>CEALS</t>
  </si>
  <si>
    <t>CEAPC</t>
  </si>
  <si>
    <t>CEAUL</t>
  </si>
  <si>
    <t>CEBFC</t>
  </si>
  <si>
    <t>CEBPL</t>
  </si>
  <si>
    <t>CEHDF</t>
  </si>
  <si>
    <t>CEIDF</t>
  </si>
  <si>
    <t>CELCA</t>
  </si>
  <si>
    <t>CELCE</t>
  </si>
  <si>
    <t>CELDA</t>
  </si>
  <si>
    <t>CELRO</t>
  </si>
  <si>
    <t>CEMIP</t>
  </si>
  <si>
    <t>CENFE</t>
  </si>
  <si>
    <t>CENOR</t>
  </si>
  <si>
    <t>CEPAC</t>
  </si>
  <si>
    <t>CEPIC</t>
  </si>
  <si>
    <t>CERHA</t>
  </si>
  <si>
    <t>CHAIX</t>
  </si>
  <si>
    <t>CONSO_BC</t>
  </si>
  <si>
    <t>CONSO_BC_BP</t>
  </si>
  <si>
    <t>CONSO_BC_CEP</t>
  </si>
  <si>
    <t>CONSO_BPACA</t>
  </si>
  <si>
    <t>CONSO_BPALC</t>
  </si>
  <si>
    <t>CONSO_BPATL</t>
  </si>
  <si>
    <t>CONSO_BPAURA</t>
  </si>
  <si>
    <t>CONSO_BPOATL</t>
  </si>
  <si>
    <t>CONSO_BPOUE</t>
  </si>
  <si>
    <t>CONSO_BPSUD</t>
  </si>
  <si>
    <t>CONSO_BRED</t>
  </si>
  <si>
    <t>CONSO_CEIDF</t>
  </si>
  <si>
    <t>CONSO_CERHA</t>
  </si>
  <si>
    <t>CONSO_CRCO</t>
  </si>
  <si>
    <t>CONSO_CRCOGP</t>
  </si>
  <si>
    <t>CONSO_CSDN</t>
  </si>
  <si>
    <t>CONSOBPCEIOM</t>
  </si>
  <si>
    <t>CRCMAT</t>
  </si>
  <si>
    <t>CRCMBN</t>
  </si>
  <si>
    <t>CRCMM</t>
  </si>
  <si>
    <t>CRCMOM</t>
  </si>
  <si>
    <t>CRCMSO</t>
  </si>
  <si>
    <t>CRCO</t>
  </si>
  <si>
    <t>CSDN</t>
  </si>
  <si>
    <t>DPARS</t>
  </si>
  <si>
    <t>INTERC</t>
  </si>
  <si>
    <t>MARZE</t>
  </si>
  <si>
    <t>PALATINE</t>
  </si>
  <si>
    <t>PARFI</t>
  </si>
  <si>
    <t>SBE</t>
  </si>
  <si>
    <t>SGTI</t>
  </si>
  <si>
    <t>SOC_FI_NEF</t>
  </si>
  <si>
    <t>SOCOREC</t>
  </si>
  <si>
    <t>SOFIAG</t>
  </si>
  <si>
    <t>SOFIDER</t>
  </si>
  <si>
    <t>CFF</t>
  </si>
  <si>
    <t>ONEY</t>
  </si>
  <si>
    <t>SOCFIM</t>
  </si>
  <si>
    <t>PN A ACTIVER</t>
  </si>
  <si>
    <r>
      <t xml:space="preserve">                                       DATE D'ARR</t>
    </r>
    <r>
      <rPr>
        <b/>
        <sz val="11"/>
        <color rgb="FF7030A0"/>
        <rFont val="Calibri"/>
        <family val="2"/>
      </rPr>
      <t>Ê</t>
    </r>
    <r>
      <rPr>
        <b/>
        <sz val="11"/>
        <color rgb="FF7030A0"/>
        <rFont val="Calibri"/>
        <family val="2"/>
        <scheme val="minor"/>
      </rPr>
      <t>TE</t>
    </r>
  </si>
  <si>
    <t>PN BPCE</t>
  </si>
  <si>
    <t>PN ECH%</t>
  </si>
  <si>
    <t>1. PARAMETRES GENERAUX</t>
  </si>
  <si>
    <t xml:space="preserve">2. FICHIERS INPUT </t>
  </si>
  <si>
    <t>SC REF STOCK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</si>
  <si>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</si>
  <si>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</si>
  <si>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</si>
  <si>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</si>
  <si>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</si>
  <si>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</si>
  <si>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</si>
  <si>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</si>
  <si>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</si>
  <si>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</si>
  <si>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</si>
  <si>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</si>
  <si>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</si>
  <si>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</si>
  <si>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</si>
  <si>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</si>
  <si>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</si>
  <si>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</si>
  <si>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</si>
  <si>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</si>
  <si>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</si>
  <si>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</si>
  <si>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</si>
  <si>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</si>
  <si>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</si>
  <si>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</si>
  <si>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</si>
  <si>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M28</t>
  </si>
  <si>
    <t>M29</t>
  </si>
  <si>
    <t>M30</t>
  </si>
  <si>
    <t>M31</t>
  </si>
  <si>
    <t>M32</t>
  </si>
  <si>
    <t>M33</t>
  </si>
  <si>
    <t>M34</t>
  </si>
  <si>
    <t>M35</t>
  </si>
  <si>
    <t>M36</t>
  </si>
  <si>
    <t>M37</t>
  </si>
  <si>
    <t>M38</t>
  </si>
  <si>
    <t>M39</t>
  </si>
  <si>
    <t>M40</t>
  </si>
  <si>
    <t>M41</t>
  </si>
  <si>
    <t>M42</t>
  </si>
  <si>
    <t>M43</t>
  </si>
  <si>
    <t>M44</t>
  </si>
  <si>
    <t>M45</t>
  </si>
  <si>
    <t>M46</t>
  </si>
  <si>
    <t>M47</t>
  </si>
  <si>
    <t>M48</t>
  </si>
  <si>
    <t>M49</t>
  </si>
  <si>
    <t>M50</t>
  </si>
  <si>
    <t>M51</t>
  </si>
  <si>
    <t>M52</t>
  </si>
  <si>
    <t>M53</t>
  </si>
  <si>
    <t>M54</t>
  </si>
  <si>
    <t>M55</t>
  </si>
  <si>
    <t>M56</t>
  </si>
  <si>
    <t>M57</t>
  </si>
  <si>
    <t>M58</t>
  </si>
  <si>
    <t>M59</t>
  </si>
  <si>
    <t>M60</t>
  </si>
  <si>
    <t>LISTE ETABLISSEMENTS SANS RARN ET PEL</t>
  </si>
  <si>
    <t>ENTITE</t>
  </si>
  <si>
    <t>DEFAULT</t>
  </si>
  <si>
    <t>BPPACA</t>
  </si>
  <si>
    <t>CEP_Test</t>
  </si>
  <si>
    <t>Group2</t>
  </si>
  <si>
    <t>LISTE DE CODIFICATION ETAB</t>
  </si>
  <si>
    <t>ECH%,NMD%,PEL%</t>
  </si>
  <si>
    <t>CHOC TAUX</t>
  </si>
  <si>
    <t xml:space="preserve">                     NOM SCENARIO</t>
  </si>
  <si>
    <t>ETABLISSEMENTS</t>
  </si>
  <si>
    <t xml:space="preserve">                                1. ETABLISSSEMENTS</t>
  </si>
  <si>
    <t>SC TAUX</t>
  </si>
  <si>
    <t>LOL</t>
  </si>
  <si>
    <t>SC TAUX USER</t>
  </si>
  <si>
    <t>LOL2</t>
  </si>
  <si>
    <t>EURIBMOY10M</t>
  </si>
  <si>
    <t>EURIBMOY1D</t>
  </si>
  <si>
    <t>EURIBMOY1M</t>
  </si>
  <si>
    <t>EURIBMOY2M</t>
  </si>
  <si>
    <t>EURIBMOY3M</t>
  </si>
  <si>
    <t>EURIBMOY4M</t>
  </si>
  <si>
    <t>EURIBMOY5M</t>
  </si>
  <si>
    <t>EURIBMOY6M</t>
  </si>
  <si>
    <t>EURIBMOY7M</t>
  </si>
  <si>
    <t>EURIBMOY8M</t>
  </si>
  <si>
    <t>EURIBMOY9M</t>
  </si>
  <si>
    <t>EURIBMOY11M</t>
  </si>
  <si>
    <t>EURIBMOY1Y</t>
  </si>
  <si>
    <t>EURIBMOY2Y</t>
  </si>
  <si>
    <t>EURIBMOY3Y</t>
  </si>
  <si>
    <t>EURIBMOY4Y</t>
  </si>
  <si>
    <t>EURIBMOY5Y</t>
  </si>
  <si>
    <t>EURIBMOY6Y</t>
  </si>
  <si>
    <t>EURIBMOY7Y</t>
  </si>
  <si>
    <t>EURIBMOY8Y</t>
  </si>
  <si>
    <t>EURIBMOY9Y</t>
  </si>
  <si>
    <t>EURIBMOY10Y</t>
  </si>
  <si>
    <t>EURIBMOY12Y</t>
  </si>
  <si>
    <t>EURIBMOY15Y</t>
  </si>
  <si>
    <t>EURIBMOY20Y</t>
  </si>
  <si>
    <t>EURIBMOY25Y</t>
  </si>
  <si>
    <t>EURIBMOY30Y</t>
  </si>
  <si>
    <t>DIVERS</t>
  </si>
  <si>
    <t>LIQ</t>
  </si>
  <si>
    <t>COURBES A BOOTSRAPPER</t>
  </si>
  <si>
    <t>SECURED E3M</t>
  </si>
  <si>
    <t>UNSECURED U3M</t>
  </si>
  <si>
    <t>SOUS-MÉTIER</t>
  </si>
  <si>
    <t>AHB-CAP</t>
  </si>
  <si>
    <t>AHB-CAP-A-KN</t>
  </si>
  <si>
    <t>AHB-CAP-OC</t>
  </si>
  <si>
    <t>AHB-CAP-P-KN</t>
  </si>
  <si>
    <t>AHB-CDS-A-KN</t>
  </si>
  <si>
    <t>AHB-CDS-P-KN</t>
  </si>
  <si>
    <t>AHB-CHANGE</t>
  </si>
  <si>
    <t>AHB-CHANGE-SW</t>
  </si>
  <si>
    <t>AHB-CHG-CP-OC</t>
  </si>
  <si>
    <t>AHB-CHG-TR-OC</t>
  </si>
  <si>
    <t>AHB-COMM-A-KN</t>
  </si>
  <si>
    <t>AHB-COMM-P-KN</t>
  </si>
  <si>
    <t>AHB-FILIALE</t>
  </si>
  <si>
    <t>AHB-FLOOR</t>
  </si>
  <si>
    <t>AHB-FLOOR-OC</t>
  </si>
  <si>
    <t>AHB-FLOR-A-KN</t>
  </si>
  <si>
    <t>AHB-FLOR-P-KN</t>
  </si>
  <si>
    <t>AHB-FRA-SW</t>
  </si>
  <si>
    <t>AHB-NON-AFFECTE</t>
  </si>
  <si>
    <t>AHB-OPACTA-KN</t>
  </si>
  <si>
    <t>AHB-OPACTP-KN</t>
  </si>
  <si>
    <t>AHB-OP-CHA-KN</t>
  </si>
  <si>
    <t>AHB-OP-CHP-KN</t>
  </si>
  <si>
    <t>AHB-OP-SWA-KN</t>
  </si>
  <si>
    <t>AHB-OP-SWP-KN</t>
  </si>
  <si>
    <t>AHB-PGM-SW</t>
  </si>
  <si>
    <t>AHB-REGDEA-KN</t>
  </si>
  <si>
    <t>AHB-REGDEP-KN</t>
  </si>
  <si>
    <t>AHB-SW-A-A-OC</t>
  </si>
  <si>
    <t>AHB-SW-A-KN</t>
  </si>
  <si>
    <t>AHB-SW-A-OC</t>
  </si>
  <si>
    <t>AHB-SWAPTION</t>
  </si>
  <si>
    <t>AHB-SWAPTION-OC</t>
  </si>
  <si>
    <t>AHB-SW-ASS</t>
  </si>
  <si>
    <t>AHB-SW-CHG</t>
  </si>
  <si>
    <t>AHB-SW-CHG-KN</t>
  </si>
  <si>
    <t>AHB-SW-CHG-OC</t>
  </si>
  <si>
    <t>AHB-SW-D-A</t>
  </si>
  <si>
    <t>AHB-SW-D-A-KN</t>
  </si>
  <si>
    <t>AHB-SW-D-A-OC</t>
  </si>
  <si>
    <t>AHB-SW-DEV</t>
  </si>
  <si>
    <t>AHB-SW-DEV-KN</t>
  </si>
  <si>
    <t>AHB-SW-D-P-KN</t>
  </si>
  <si>
    <t>AHB-SW-E-A-KN</t>
  </si>
  <si>
    <t>AHB-SW-E-A-OC</t>
  </si>
  <si>
    <t>AHB-SW-E-P-KN</t>
  </si>
  <si>
    <t>AHB-SW-EQA-KN</t>
  </si>
  <si>
    <t>AHB-SW-EQP-KN</t>
  </si>
  <si>
    <t>AHB-SW-P-KN</t>
  </si>
  <si>
    <t>AHB-SW-SIMPLE</t>
  </si>
  <si>
    <t>AHB-SW-STRUCT</t>
  </si>
  <si>
    <t>AHB-SW-T-A-OC</t>
  </si>
  <si>
    <t>HB-OPWRTA-KN</t>
  </si>
  <si>
    <t>HB-OPWRTP-KN</t>
  </si>
  <si>
    <t>PHB-CAP</t>
  </si>
  <si>
    <t>PHB-CAP-A-KN</t>
  </si>
  <si>
    <t>PHB-CAP-OC</t>
  </si>
  <si>
    <t>PHB-CAP-P-KN</t>
  </si>
  <si>
    <t>PHB-CDS-A-KN</t>
  </si>
  <si>
    <t>PHB-CDS-P-KN</t>
  </si>
  <si>
    <t>PHB-CHANGE</t>
  </si>
  <si>
    <t>PHB-CHANGE-SW</t>
  </si>
  <si>
    <t>PHB-CHG-CP-OC</t>
  </si>
  <si>
    <t>PHB-CHG-TR-OC</t>
  </si>
  <si>
    <t>PHB-COMM-A-KN</t>
  </si>
  <si>
    <t>PHB-COMM-P-KN</t>
  </si>
  <si>
    <t>PHB-FILIALE</t>
  </si>
  <si>
    <t>PHB-FLOOR</t>
  </si>
  <si>
    <t>PHB-FLOOR-OC</t>
  </si>
  <si>
    <t>PHB-FLOR-A-KN</t>
  </si>
  <si>
    <t>PHB-FLOR-P-KN</t>
  </si>
  <si>
    <t>PHB-FRA-SW</t>
  </si>
  <si>
    <t>PHB-NON-AFFECTE</t>
  </si>
  <si>
    <t>PHB-OPACTA-KN</t>
  </si>
  <si>
    <t>PHB-OPACTP-KN</t>
  </si>
  <si>
    <t>PHB-OP-CHA-KN</t>
  </si>
  <si>
    <t>PHB-OP-CHP-KN</t>
  </si>
  <si>
    <t>PHB-OP-SWA-KN</t>
  </si>
  <si>
    <t>PHB-OP-SWP-KN</t>
  </si>
  <si>
    <t>PHB-PGM-SW</t>
  </si>
  <si>
    <t>PHB-REGDEA-KN</t>
  </si>
  <si>
    <t>PHB-REGDEP-KN</t>
  </si>
  <si>
    <t>PHB-SW-A-KN</t>
  </si>
  <si>
    <t>PHB-SW-A-P-OC</t>
  </si>
  <si>
    <t>PHB-SWAPTION</t>
  </si>
  <si>
    <t>PHB-SWAPTION-OC</t>
  </si>
  <si>
    <t>PHB-SW-ASS</t>
  </si>
  <si>
    <t>PHB-SW-CHG</t>
  </si>
  <si>
    <t>PHB-SW-CHG-KN</t>
  </si>
  <si>
    <t>PHB-SW-CHG-OC</t>
  </si>
  <si>
    <t>PHB-SW-D-A-KN</t>
  </si>
  <si>
    <t>PHB-SW-DEV</t>
  </si>
  <si>
    <t>PHB-SW-DEV-KN</t>
  </si>
  <si>
    <t>PHB-SW-D-P</t>
  </si>
  <si>
    <t>PHB-SW-D-P-KN</t>
  </si>
  <si>
    <t>PHB-SW-D-P-OC</t>
  </si>
  <si>
    <t>PHB-SW-E-A-KN</t>
  </si>
  <si>
    <t>PHB-SW-E-P-KN</t>
  </si>
  <si>
    <t>PHB-SW-E-P-OC</t>
  </si>
  <si>
    <t>PHB-SW-EQA-KN</t>
  </si>
  <si>
    <t>PHB-SW-EQP-KN</t>
  </si>
  <si>
    <t>PHB-SW-P-KN</t>
  </si>
  <si>
    <t>PHB-SW-P-OC</t>
  </si>
  <si>
    <t>PHB-SW-SIMPLE</t>
  </si>
  <si>
    <t>PHB-SW-STRUCT</t>
  </si>
  <si>
    <t>PHB-SW-T-P-OC</t>
  </si>
  <si>
    <t>A-CASDEN</t>
  </si>
  <si>
    <t>A-CASDEN2</t>
  </si>
  <si>
    <t>A-CPT-CLI-OC</t>
  </si>
  <si>
    <t>A-CPT-DEB-KN</t>
  </si>
  <si>
    <t>A-CPT-FI-OC</t>
  </si>
  <si>
    <t>A-CR-AFF-KN</t>
  </si>
  <si>
    <t>A-CR-BAIL</t>
  </si>
  <si>
    <t>A-CR-BAIL-KN</t>
  </si>
  <si>
    <t>A-CR-DOC-KN</t>
  </si>
  <si>
    <t>A-CR-DTX-KN</t>
  </si>
  <si>
    <t>A-CRE-AV</t>
  </si>
  <si>
    <t>A-CR-EQ-AIDE</t>
  </si>
  <si>
    <t>A-CR-EQ-CPLX</t>
  </si>
  <si>
    <t>A-CR-EQ-KN</t>
  </si>
  <si>
    <t>A-CR-EQ-MUL</t>
  </si>
  <si>
    <t>A-CR-EQ-OC</t>
  </si>
  <si>
    <t>A-CR-EQ-STR</t>
  </si>
  <si>
    <t>A-CR-EXP-KN</t>
  </si>
  <si>
    <t>A-CR-HAB-AJU</t>
  </si>
  <si>
    <t>A-CR-HAB-BEL</t>
  </si>
  <si>
    <t>A-CR-HAB-BON</t>
  </si>
  <si>
    <t>A-CR-HAB-LIS</t>
  </si>
  <si>
    <t>A-CR-HAB-MOD</t>
  </si>
  <si>
    <t>A-CR-IMM-PRO</t>
  </si>
  <si>
    <t>A-CR-LBO</t>
  </si>
  <si>
    <t>A-CR-MIR</t>
  </si>
  <si>
    <t>A-CR-OMG</t>
  </si>
  <si>
    <t>A-CR-PRJ</t>
  </si>
  <si>
    <t>A-CR-PROV-KN</t>
  </si>
  <si>
    <t>A-CR-PVH</t>
  </si>
  <si>
    <t>A-CR-REL-HAB</t>
  </si>
  <si>
    <t>A-CR-REV</t>
  </si>
  <si>
    <t>A-CR-REVC-KN</t>
  </si>
  <si>
    <t>A-CR-REV-KN</t>
  </si>
  <si>
    <t>A-CR-TRES-KN</t>
  </si>
  <si>
    <t>A-CTX</t>
  </si>
  <si>
    <t>A-CTX-KN</t>
  </si>
  <si>
    <t>A-DIFF-CB</t>
  </si>
  <si>
    <t>A-DTX-OC</t>
  </si>
  <si>
    <t>A-EFT-COM-KN</t>
  </si>
  <si>
    <t>A-EFT-CRECOM</t>
  </si>
  <si>
    <t>A-ESC-VAL</t>
  </si>
  <si>
    <t>A-FILIALE</t>
  </si>
  <si>
    <t>A-IMPAYE-KN</t>
  </si>
  <si>
    <t>A-IMPREPECH</t>
  </si>
  <si>
    <t>A-LEP-CENTR</t>
  </si>
  <si>
    <t>A-LIGNE-INT</t>
  </si>
  <si>
    <t>A-LIGNE-TRES</t>
  </si>
  <si>
    <t>A-PR-CEL</t>
  </si>
  <si>
    <t>A-PR-LDD</t>
  </si>
  <si>
    <t>A-PROV</t>
  </si>
  <si>
    <t>A-PROV-OC</t>
  </si>
  <si>
    <t>A-PR-PATRI</t>
  </si>
  <si>
    <t>A-PR-PEL</t>
  </si>
  <si>
    <t>A-PR-STARDEN</t>
  </si>
  <si>
    <t>P-EMP-BILAN</t>
  </si>
  <si>
    <t>P-PENS-BILAN</t>
  </si>
  <si>
    <t>P-TIT-BILAN</t>
  </si>
  <si>
    <t>A-SURCEN-BP</t>
  </si>
  <si>
    <t>A-SURCEN-CEP</t>
  </si>
  <si>
    <t>AHB-NS-CR-EQ</t>
  </si>
  <si>
    <t>AHB-NS-CR-HAB</t>
  </si>
  <si>
    <t>AHB-NS-CR-HBN</t>
  </si>
  <si>
    <t>AHB-NS-CR-PTZ</t>
  </si>
  <si>
    <t>AHB-NS-CR-TR</t>
  </si>
  <si>
    <t>AHB-NS-PR-PER</t>
  </si>
  <si>
    <t>PHB-NS-CR-EQ</t>
  </si>
  <si>
    <t>PHB-NS-CR-HAB</t>
  </si>
  <si>
    <t>PHB-NS-CR-HBN</t>
  </si>
  <si>
    <t>PHB-NS-CR-PTZ</t>
  </si>
  <si>
    <t>PHB-NS-CR-TR</t>
  </si>
  <si>
    <t>PHB-NS-PR-PER</t>
  </si>
  <si>
    <t>P-BON</t>
  </si>
  <si>
    <t>P-BON-ECHU</t>
  </si>
  <si>
    <t>P-CASDEN</t>
  </si>
  <si>
    <t>P-CASDEN2</t>
  </si>
  <si>
    <t>P-CAT-ER</t>
  </si>
  <si>
    <t>P-CAT-MIXTE</t>
  </si>
  <si>
    <t>P-CAT-NVPELC</t>
  </si>
  <si>
    <t>P-CAT-PELP</t>
  </si>
  <si>
    <t>P-CAT-STD-KN</t>
  </si>
  <si>
    <t>P-CAT-VIE</t>
  </si>
  <si>
    <t>P-CEL</t>
  </si>
  <si>
    <t>P-CPT-CLI-OC</t>
  </si>
  <si>
    <t>A-PTZ</t>
  </si>
  <si>
    <t>P-CPT-CRD-KN</t>
  </si>
  <si>
    <t>P-CPT-FI-OC</t>
  </si>
  <si>
    <t>P-CR-PROV-KN</t>
  </si>
  <si>
    <t>A-PTZ+</t>
  </si>
  <si>
    <t>A-PVH</t>
  </si>
  <si>
    <t>P-EMP-AFF-KN</t>
  </si>
  <si>
    <t>P-EMP-EQ-OC</t>
  </si>
  <si>
    <t>P-LIV-ER-10</t>
  </si>
  <si>
    <t>P-LIV-ER-11</t>
  </si>
  <si>
    <t>P-LIV-ER-12</t>
  </si>
  <si>
    <t>P-LIV-ER-13</t>
  </si>
  <si>
    <t>P-LIV-ER-14</t>
  </si>
  <si>
    <t>P-LIV-ER-15</t>
  </si>
  <si>
    <t>P-LIV-ER-5</t>
  </si>
  <si>
    <t>P-LIV-ER-6</t>
  </si>
  <si>
    <t>P-LIV-ER-7</t>
  </si>
  <si>
    <t>P-LIV-ER-8</t>
  </si>
  <si>
    <t>P-LIV-ER-9</t>
  </si>
  <si>
    <t>P-PLAN-PREF</t>
  </si>
  <si>
    <t>P-LIV-PROMO</t>
  </si>
  <si>
    <t>P-LIV-ORD-KN</t>
  </si>
  <si>
    <t>P-LIV-SOC</t>
  </si>
  <si>
    <t>P-PEL-C</t>
  </si>
  <si>
    <t>P-PEP-ECHU</t>
  </si>
  <si>
    <t>P-PEP-IND</t>
  </si>
  <si>
    <t>P-PEP-PROG</t>
  </si>
  <si>
    <t>P-PEP-RELAIS</t>
  </si>
  <si>
    <t>P-PEP-RENTE</t>
  </si>
  <si>
    <t>P-REFI-BEI</t>
  </si>
  <si>
    <t>P-SURC-CSDN</t>
  </si>
  <si>
    <t>P-REFI-CDC</t>
  </si>
  <si>
    <t>A-SURDEC</t>
  </si>
  <si>
    <t>A-ACC-EQU-OC</t>
  </si>
  <si>
    <t>A-ACC-STD-OC</t>
  </si>
  <si>
    <t>A-ACC-TRE-OC</t>
  </si>
  <si>
    <t>A-APL-MRG-KN</t>
  </si>
  <si>
    <t>A-APPEL-MRG</t>
  </si>
  <si>
    <t>A-CICE-KN</t>
  </si>
  <si>
    <t>A-EC-CHANGE</t>
  </si>
  <si>
    <t>A-EMP-SUB</t>
  </si>
  <si>
    <t>A-ESUB-DD-OC</t>
  </si>
  <si>
    <t>A-ESUB-DI-OC</t>
  </si>
  <si>
    <t>A-FGD</t>
  </si>
  <si>
    <t>A-GDWILL-KN</t>
  </si>
  <si>
    <t>A-ICNE</t>
  </si>
  <si>
    <t>A-ICNE-OC</t>
  </si>
  <si>
    <t>A-IDA-KN</t>
  </si>
  <si>
    <t>A-IMMO</t>
  </si>
  <si>
    <t>A-IMMOB-OC</t>
  </si>
  <si>
    <t>A-IMMO-KN</t>
  </si>
  <si>
    <t>A-JV</t>
  </si>
  <si>
    <t>A-JV-DER-OC</t>
  </si>
  <si>
    <t>A-JV-OC</t>
  </si>
  <si>
    <t>A-REGUL</t>
  </si>
  <si>
    <t>A-REGUL-KN</t>
  </si>
  <si>
    <t>A-REGUL-OC</t>
  </si>
  <si>
    <t>A-SOULTE</t>
  </si>
  <si>
    <t>P-APPEL-MRG</t>
  </si>
  <si>
    <t>A-T-PART</t>
  </si>
  <si>
    <t>A-T-PART-GR</t>
  </si>
  <si>
    <t>A-T-PART-HG</t>
  </si>
  <si>
    <t>A-T-PART-KN</t>
  </si>
  <si>
    <t>A-T-PART-OC</t>
  </si>
  <si>
    <t>A-T-SUB-DD</t>
  </si>
  <si>
    <t>A-TSUB-DD-OC</t>
  </si>
  <si>
    <t>A-T-SUB-DI</t>
  </si>
  <si>
    <t>A-TSUB-DI-OC</t>
  </si>
  <si>
    <t>A-TSUB-SD-OC</t>
  </si>
  <si>
    <t>P-APL-MRG-KN</t>
  </si>
  <si>
    <t>P-PROV-CGR</t>
  </si>
  <si>
    <t>P-CAPITAL</t>
  </si>
  <si>
    <t>P-CAPITAL-KN</t>
  </si>
  <si>
    <t>P-CAPITAL-OC</t>
  </si>
  <si>
    <t>P-EMP-SUB-DD</t>
  </si>
  <si>
    <t>P-EMP-SUB-DI</t>
  </si>
  <si>
    <t>P-ESUB-DD-OC</t>
  </si>
  <si>
    <t>P-ESUB-DI-OC</t>
  </si>
  <si>
    <t>P-FRBG</t>
  </si>
  <si>
    <t>P-HYBRIDES</t>
  </si>
  <si>
    <t>P-HYBRI-KN</t>
  </si>
  <si>
    <t>P-ICNE</t>
  </si>
  <si>
    <t>P-ICNE-OC</t>
  </si>
  <si>
    <t>P-IDP-KN</t>
  </si>
  <si>
    <t>P-JV</t>
  </si>
  <si>
    <t>P-JV-DER-OC</t>
  </si>
  <si>
    <t>P-JV-OC</t>
  </si>
  <si>
    <t>P-PGM-SUB</t>
  </si>
  <si>
    <t>P-PROVASS-KN</t>
  </si>
  <si>
    <t>P-PROV-EL</t>
  </si>
  <si>
    <t>P-PROV-RISCH</t>
  </si>
  <si>
    <t>P-PROV-KN</t>
  </si>
  <si>
    <t>P-PROV-OC</t>
  </si>
  <si>
    <t>P-PV-PVH</t>
  </si>
  <si>
    <t>P-REGUL</t>
  </si>
  <si>
    <t>P-RAN</t>
  </si>
  <si>
    <t>P-RAN-OC</t>
  </si>
  <si>
    <t>P-SBVPTZ</t>
  </si>
  <si>
    <t>P-REGUL-KN</t>
  </si>
  <si>
    <t>P-REGUL-OC</t>
  </si>
  <si>
    <t>P-RESERVE-OC</t>
  </si>
  <si>
    <t>P-RESERVES</t>
  </si>
  <si>
    <t>P-RES-KN</t>
  </si>
  <si>
    <t>P-RES-LAT-KN</t>
  </si>
  <si>
    <t>P-RSLT-AFF</t>
  </si>
  <si>
    <t>P-RSLT-FORM</t>
  </si>
  <si>
    <t>P-SLE</t>
  </si>
  <si>
    <t>P-SOULTE</t>
  </si>
  <si>
    <t>P-TSUB-DD-OC</t>
  </si>
  <si>
    <t>P-TSUB-DI-OC</t>
  </si>
  <si>
    <t>A-ACTION</t>
  </si>
  <si>
    <t>A-ACTION-KN</t>
  </si>
  <si>
    <t>A-ACTION-OC</t>
  </si>
  <si>
    <t>A-ACTION-PN</t>
  </si>
  <si>
    <t>A-ASS-KN</t>
  </si>
  <si>
    <t>A-BMTN-KN</t>
  </si>
  <si>
    <t>A-BMTN-OC</t>
  </si>
  <si>
    <t>A-BOND-SD-OC</t>
  </si>
  <si>
    <t>A-BTF-KN</t>
  </si>
  <si>
    <t>A-BT-KN</t>
  </si>
  <si>
    <t>A-CAISSE</t>
  </si>
  <si>
    <t>A-CAISSE-OC</t>
  </si>
  <si>
    <t>A-CC-CLI-DEB</t>
  </si>
  <si>
    <t>A-CC-CLI-KN</t>
  </si>
  <si>
    <t>A-CC-CLI-OC</t>
  </si>
  <si>
    <t>A-CC-ENT-CRD</t>
  </si>
  <si>
    <t>A-CC-PROV-KN</t>
  </si>
  <si>
    <t>A-CD-KN</t>
  </si>
  <si>
    <t>A-CD-OC</t>
  </si>
  <si>
    <t>A-CMBS-KN</t>
  </si>
  <si>
    <t>A-COMMO-KN</t>
  </si>
  <si>
    <t>A-CP-KN</t>
  </si>
  <si>
    <t>A-CPT-BC</t>
  </si>
  <si>
    <t>A-CPT-BC-KN</t>
  </si>
  <si>
    <t>A-CPT-BC-OC</t>
  </si>
  <si>
    <t>A-ECP-OC</t>
  </si>
  <si>
    <t>A-EMACSHV-KN</t>
  </si>
  <si>
    <t>A-EMPATIV-KN</t>
  </si>
  <si>
    <t>A-EMPOCSV-KN</t>
  </si>
  <si>
    <t>A-EMPOTIV-KN</t>
  </si>
  <si>
    <t>A-EMPSCAV-KN</t>
  </si>
  <si>
    <t>A-EMPSCOV-KN</t>
  </si>
  <si>
    <t>A-EMTN-KN</t>
  </si>
  <si>
    <t>A-EMTN-OC</t>
  </si>
  <si>
    <t>A-ETF-KN</t>
  </si>
  <si>
    <t>A-FCC-KN</t>
  </si>
  <si>
    <t>A-FCC-OC</t>
  </si>
  <si>
    <t>A-FCPR</t>
  </si>
  <si>
    <t>A-OBLIG-KN</t>
  </si>
  <si>
    <t>A-OBLIG-OC</t>
  </si>
  <si>
    <t>A-OPC-ACTION</t>
  </si>
  <si>
    <t>A-OPC-ALTER</t>
  </si>
  <si>
    <t>A-OPC-CONV</t>
  </si>
  <si>
    <t>A-OPC-DIV</t>
  </si>
  <si>
    <t>A-OPC-GAR</t>
  </si>
  <si>
    <t>A-OPC-INC</t>
  </si>
  <si>
    <t>A-OPC-MONDY</t>
  </si>
  <si>
    <t>A-OPC-OBLIG</t>
  </si>
  <si>
    <t>A-OPCVM-KN</t>
  </si>
  <si>
    <t>A-OPCVM-OC</t>
  </si>
  <si>
    <t>A-PENS-PN</t>
  </si>
  <si>
    <t>A-PGM-INTBQ</t>
  </si>
  <si>
    <t>A-PR-ASS-KN</t>
  </si>
  <si>
    <t>A-PR-FDS</t>
  </si>
  <si>
    <t>A-PR-IBQ-KN</t>
  </si>
  <si>
    <t>A-PR-INT-OC</t>
  </si>
  <si>
    <t>A-PR-INT-SFH-OC</t>
  </si>
  <si>
    <t>A-PRISE-PENS</t>
  </si>
  <si>
    <t>A-PRIS-PS-OC</t>
  </si>
  <si>
    <t>A-PROV-PTF</t>
  </si>
  <si>
    <t>A-PR-PENS-KN</t>
  </si>
  <si>
    <t>A-PR-PROV-KN</t>
  </si>
  <si>
    <t>A-PR-RO</t>
  </si>
  <si>
    <t>A-PR-TITRE</t>
  </si>
  <si>
    <t>A-PR-TITR-OC</t>
  </si>
  <si>
    <t>A-RES-OBLIG</t>
  </si>
  <si>
    <t>A-RES-OBL-OC</t>
  </si>
  <si>
    <t>A-TRFD-OC</t>
  </si>
  <si>
    <t>A-WARRANT-KN</t>
  </si>
  <si>
    <t>P-PRACSHV-KN</t>
  </si>
  <si>
    <t>P-PRATITV-KN</t>
  </si>
  <si>
    <t>P-PROCSHV-KN</t>
  </si>
  <si>
    <t>P-PROTITV-KN</t>
  </si>
  <si>
    <t>P-PR-SCAV-KN</t>
  </si>
  <si>
    <t>P-PR-SCOV-KN</t>
  </si>
  <si>
    <t>P-ACTION-KN</t>
  </si>
  <si>
    <t>P-BAO-KN</t>
  </si>
  <si>
    <t>P-BMTN-KN</t>
  </si>
  <si>
    <t>P-BMTN-OC</t>
  </si>
  <si>
    <t>P-BTF-KN</t>
  </si>
  <si>
    <t>P-BT-KN</t>
  </si>
  <si>
    <t>P-CC-CLI-CRD</t>
  </si>
  <si>
    <t>P-CC-CLI-KN</t>
  </si>
  <si>
    <t>P-CC-CLI-OC</t>
  </si>
  <si>
    <t>P-CC-ENT-DEB</t>
  </si>
  <si>
    <t>P-CD-KN</t>
  </si>
  <si>
    <t>P-CD-OC</t>
  </si>
  <si>
    <t>P-CP-KN</t>
  </si>
  <si>
    <t>P-CPT-BC</t>
  </si>
  <si>
    <t>P-ECP-OC</t>
  </si>
  <si>
    <t>P-EMP-BC-KN</t>
  </si>
  <si>
    <t>P-EMP-FDS-OC</t>
  </si>
  <si>
    <t>P-EMP-IBQ-KN</t>
  </si>
  <si>
    <t>P-EMP-INT-OC</t>
  </si>
  <si>
    <t>P-EMP-OBL</t>
  </si>
  <si>
    <t>P-EMP-RO-OC</t>
  </si>
  <si>
    <t>P-EMP-TIT-KN</t>
  </si>
  <si>
    <t>P-EMP-TIT-OC</t>
  </si>
  <si>
    <t>P-EMP-TITRE</t>
  </si>
  <si>
    <t>P-EMTNKN-KN</t>
  </si>
  <si>
    <t>P-EMTN-OC</t>
  </si>
  <si>
    <t>P-ETF-KN</t>
  </si>
  <si>
    <t>P-FILIALE</t>
  </si>
  <si>
    <t>P-FONDS-KN</t>
  </si>
  <si>
    <t>P-MI-PENS-KN</t>
  </si>
  <si>
    <t>P-MIS-PES-OC</t>
  </si>
  <si>
    <t>P-OBLIG-KN</t>
  </si>
  <si>
    <t>P-OBLIGKN-KN</t>
  </si>
  <si>
    <t>P-OBLIG-OC</t>
  </si>
  <si>
    <t>P-OBLIG-SECU</t>
  </si>
  <si>
    <t>P-OBLIG-SFH-OC</t>
  </si>
  <si>
    <t>P-PENS-PN</t>
  </si>
  <si>
    <t>P-PGM-INTBQ</t>
  </si>
  <si>
    <t>P-PGM-SECUR</t>
  </si>
  <si>
    <t>P-PGM-UNSEC</t>
  </si>
  <si>
    <t>P-REFI-BC-OC</t>
  </si>
  <si>
    <t>P-REFI-CRH</t>
  </si>
  <si>
    <t>P-REFI-SFEF</t>
  </si>
  <si>
    <t>P-REFI-SFH</t>
  </si>
  <si>
    <t>P-TCN-FI-PN</t>
  </si>
  <si>
    <t>P-TCN-KN</t>
  </si>
  <si>
    <t>P-TIT-OBLIG</t>
  </si>
  <si>
    <t>P-TSDD-KN</t>
  </si>
  <si>
    <t>P-USCP-OC</t>
  </si>
  <si>
    <t>P-WARRANT-KN</t>
  </si>
  <si>
    <t>P-TSUB-DD-OC_CALL</t>
  </si>
  <si>
    <t>ENGAGEMENTS - A</t>
  </si>
  <si>
    <t>ENGAGEMENTS - P</t>
  </si>
  <si>
    <t>MÉTIER</t>
  </si>
  <si>
    <t>BM FINANCE</t>
  </si>
  <si>
    <t>PARTICIPATIONS CONSOLIDEES</t>
  </si>
  <si>
    <t>GM FI</t>
  </si>
  <si>
    <t>FI CREDIT PLATFORM</t>
  </si>
  <si>
    <t>AGENCE FILIALES</t>
  </si>
  <si>
    <t>GM GSF</t>
  </si>
  <si>
    <t>GLOBAL SECURITIES FINANCING</t>
  </si>
  <si>
    <t>DPM AMP CORP</t>
  </si>
  <si>
    <t>AMP OPTIMIZED FINANCE</t>
  </si>
  <si>
    <t>INACTIF</t>
  </si>
  <si>
    <t>ACTIVITE HCM</t>
  </si>
  <si>
    <t>GF</t>
  </si>
  <si>
    <t>TREASURY &amp; COLLATERAL MANAGEMENT</t>
  </si>
  <si>
    <t>DPM UPSTREAM PVF</t>
  </si>
  <si>
    <t>UPSTREAM PVF CORPORATE</t>
  </si>
  <si>
    <t>UPSTREAM PVF FIG</t>
  </si>
  <si>
    <t>TTS</t>
  </si>
  <si>
    <t>TRADE FINANCE</t>
  </si>
  <si>
    <t>SET</t>
  </si>
  <si>
    <t>SET RESTE DU MONDE</t>
  </si>
  <si>
    <t>DPM AMP RAF</t>
  </si>
  <si>
    <t>AMP REAL ASSETS REHF EUROPE</t>
  </si>
  <si>
    <t>TRANSVERSE</t>
  </si>
  <si>
    <t>CIB TRANSVERSAL OTHER</t>
  </si>
  <si>
    <t>GM EM</t>
  </si>
  <si>
    <t>EQUITY DERIVATIVES</t>
  </si>
  <si>
    <t>FI RATES &amp; FX CONSOLIDATED</t>
  </si>
  <si>
    <t>REAL ASSETS</t>
  </si>
  <si>
    <t>OSD RE &amp; HOSPITILALITY EUR</t>
  </si>
  <si>
    <t>AUTRE</t>
  </si>
  <si>
    <t>AUTRES ELEMENTS DU PNB</t>
  </si>
  <si>
    <t>DPM ENR &amp; RAS</t>
  </si>
  <si>
    <t>SYN REAL ASSETS RE &amp; HOSPITALITY</t>
  </si>
  <si>
    <t>GESTION TAUX LIQUIDITE</t>
  </si>
  <si>
    <t>RUNOFF</t>
  </si>
  <si>
    <t>AUTRES ACTIVITES EN EXTINCTION</t>
  </si>
  <si>
    <t>GLOBAL RISK 1</t>
  </si>
  <si>
    <t>IB OSD ASF</t>
  </si>
  <si>
    <t>ACQUISITION FINANCE</t>
  </si>
  <si>
    <t>GM M&amp;S</t>
  </si>
  <si>
    <t>GM A REALLOUER</t>
  </si>
  <si>
    <t>ENR TRADE FINANCE</t>
  </si>
  <si>
    <t>ENERGY TRADERS</t>
  </si>
  <si>
    <t>METALS TRADERS</t>
  </si>
  <si>
    <t>AGRI TRADERS</t>
  </si>
  <si>
    <t>SYN REAL ASSETS INFRA &amp; SEF</t>
  </si>
  <si>
    <t>AMP PVF CORPORATE STRUCTURED</t>
  </si>
  <si>
    <t>AMP PVF FIG</t>
  </si>
  <si>
    <t>SYN CORPORATES</t>
  </si>
  <si>
    <t>CORPORATE LOAN STRUCTURING</t>
  </si>
  <si>
    <t>AMP REAL ASSETS SHIPPING</t>
  </si>
  <si>
    <t>OSD INFRASTRUCTURE FINANCE</t>
  </si>
  <si>
    <t>AMP ACQUISITION FINANCE</t>
  </si>
  <si>
    <t>SYN AVIATION FINANCE</t>
  </si>
  <si>
    <t>AMP REAL ASSETS INFRASTRUCTURE</t>
  </si>
  <si>
    <t>AMP REAL ASSETS SEF</t>
  </si>
  <si>
    <t>MARCHES</t>
  </si>
  <si>
    <t>SET FRANCE</t>
  </si>
  <si>
    <t>OPERATIONS FINANCIERES</t>
  </si>
  <si>
    <t>TTS TENUE DE COMPTES CLIENTS</t>
  </si>
  <si>
    <t>DPM MANAGEMENT &amp; SUPP</t>
  </si>
  <si>
    <t>RESTRUCT &amp; AFF SPE</t>
  </si>
  <si>
    <t>TRANSVERSE SET</t>
  </si>
  <si>
    <t>FI TRANSVERSE</t>
  </si>
  <si>
    <t>DPM AMP ENR</t>
  </si>
  <si>
    <t>AMP METALS &amp; FERTILIZERS</t>
  </si>
  <si>
    <t>GF MANAGEMENT &amp; OTHERS</t>
  </si>
  <si>
    <t>M&amp;A</t>
  </si>
  <si>
    <t>NATIXIS M&amp;A</t>
  </si>
  <si>
    <t>CASH EQUITY</t>
  </si>
  <si>
    <t>RELIQUAT D'ACTIVITES ARRETEES EQUITY</t>
  </si>
  <si>
    <t>TITRES DE PLACEMENT</t>
  </si>
  <si>
    <t>PARTICIPATIONS NON CONSO</t>
  </si>
  <si>
    <t>EQUITY MARKETS SET</t>
  </si>
  <si>
    <t>ENR OSD STRUCTURED FINANCE</t>
  </si>
  <si>
    <t>OSD CORPORATES</t>
  </si>
  <si>
    <t>GLOBAL RISK 2</t>
  </si>
  <si>
    <t>OPTIMIZED FINANCE</t>
  </si>
  <si>
    <t>SYN REAL ASSETS RE &amp; HOSPI</t>
  </si>
  <si>
    <t>PAIEMENTS</t>
  </si>
  <si>
    <t>MONETIQUE</t>
  </si>
  <si>
    <t>OSD STRUCTURED EXPORT FINANCE</t>
  </si>
  <si>
    <t>SYN MINING</t>
  </si>
  <si>
    <t>REVENTILATION JV SET</t>
  </si>
  <si>
    <t>AMP PVF CORPORATE STRUC</t>
  </si>
  <si>
    <t>TTS CASH MANAGEMENT</t>
  </si>
  <si>
    <t>GM XVA</t>
  </si>
  <si>
    <t>XVA</t>
  </si>
  <si>
    <t>SYN OIL INDEPENDENT</t>
  </si>
  <si>
    <t>OSD AVIATION FINANCE</t>
  </si>
  <si>
    <t>IB JV IB/SET</t>
  </si>
  <si>
    <t>JV IB/SET</t>
  </si>
  <si>
    <t>AMP REAL ASSETS INFRA STRUCT SOL</t>
  </si>
  <si>
    <t>AMP ENR CORPORATES</t>
  </si>
  <si>
    <t>TTS OFFRE POUR COMPTES TIERS</t>
  </si>
  <si>
    <t>GLOBAL MARKETS DIRECTION</t>
  </si>
  <si>
    <t>RESERVES DE LIQUIDITE</t>
  </si>
  <si>
    <t>A1 PROP TRADING INDICES</t>
  </si>
  <si>
    <t>TRESORERIE BPCE</t>
  </si>
  <si>
    <t>SYN AGRI PRODUCERS</t>
  </si>
  <si>
    <t>IB ECM</t>
  </si>
  <si>
    <t>ECM</t>
  </si>
  <si>
    <t>UNALLOCATED</t>
  </si>
  <si>
    <t>AMP PVF OTHERS</t>
  </si>
  <si>
    <t>GM GMC</t>
  </si>
  <si>
    <t>GMC</t>
  </si>
  <si>
    <t>ENR INDUSTRY GROUP</t>
  </si>
  <si>
    <t>AMP ENR OIL INDEPENDENT</t>
  </si>
  <si>
    <t>GM MH</t>
  </si>
  <si>
    <t>MACRO HEDGE</t>
  </si>
  <si>
    <t>AMP REAL ASSETS REHF US</t>
  </si>
  <si>
    <t>AMP PVF CORPORATE STANDARD</t>
  </si>
  <si>
    <t>AMP CORPORATE LOAN STRUCTURING</t>
  </si>
  <si>
    <t>WEALTH MANAGEMENT</t>
  </si>
  <si>
    <t>COMMODITY CARRY SOLUTIONS</t>
  </si>
  <si>
    <t>IB BOND ORIGINATION</t>
  </si>
  <si>
    <t>BOND ORIGINATION</t>
  </si>
  <si>
    <t>COMMISSIONS SFS BPCE</t>
  </si>
  <si>
    <t>AMP REAL ASSETS INFRA FINANCE</t>
  </si>
  <si>
    <t>METIERS CEDES</t>
  </si>
  <si>
    <t>METIER TITRES</t>
  </si>
  <si>
    <t>GESTION D'ACTIFS</t>
  </si>
  <si>
    <t>REFINANCEMENTS</t>
  </si>
  <si>
    <t>CPM</t>
  </si>
  <si>
    <t>ACTIVITES INSTITUTIONNELLES</t>
  </si>
  <si>
    <t>GARANTIES D'OPCVM</t>
  </si>
  <si>
    <t>TECHNIQUE</t>
  </si>
  <si>
    <t>SYN REAL ASSETS INFRA &amp;SEF</t>
  </si>
  <si>
    <t>AMP REAL ASSETS INFRASTRUCT</t>
  </si>
  <si>
    <t>ACP</t>
  </si>
  <si>
    <t>AFFACTURAGE</t>
  </si>
  <si>
    <t>EQUITY MARKET SET</t>
  </si>
  <si>
    <t>AMP REAL ASSETS OTHERS</t>
  </si>
  <si>
    <t>AMP REAL ASSETS REHF OTH</t>
  </si>
  <si>
    <t>FRTB</t>
  </si>
  <si>
    <t>TRESO</t>
  </si>
  <si>
    <t>SWIFT</t>
  </si>
  <si>
    <t>AMP REAL ASSETS AVIA FINAN</t>
  </si>
  <si>
    <t>TAX AGREEMENTS</t>
  </si>
  <si>
    <t>OSD MONTAGE CONSEIL INV FONDS IMMO</t>
  </si>
  <si>
    <t>TITRES DE SERVICES</t>
  </si>
  <si>
    <t>AMP REAL ASSETS AVIATION FINANCE</t>
  </si>
  <si>
    <t>AMP ENR MINING FINANCING</t>
  </si>
  <si>
    <t>ASSURANCE VIE</t>
  </si>
  <si>
    <t>PRIVATE BANKING</t>
  </si>
  <si>
    <t>COFACE</t>
  </si>
  <si>
    <t>INTEREPARGNE</t>
  </si>
  <si>
    <t>INTERTITRES</t>
  </si>
  <si>
    <t>FI CREDIT</t>
  </si>
  <si>
    <t>COFICINE</t>
  </si>
  <si>
    <t>LEASING</t>
  </si>
  <si>
    <t>FACTORING</t>
  </si>
  <si>
    <t>CREDIT CONSO.</t>
  </si>
  <si>
    <t>GESTION ACTIF</t>
  </si>
  <si>
    <t>GENERAL</t>
  </si>
  <si>
    <t>OSD RE &amp; HOSPITILALITY US</t>
  </si>
  <si>
    <t>A AFFECTER</t>
  </si>
  <si>
    <t>REFI</t>
  </si>
  <si>
    <t>FI RATES &amp; FX</t>
  </si>
  <si>
    <t>DIV</t>
  </si>
  <si>
    <t>AMP ENR AGRI PRODUCERS</t>
  </si>
  <si>
    <t xml:space="preserve">                       2. SC TAUX USER</t>
  </si>
  <si>
    <t>ZONE GÉO</t>
  </si>
  <si>
    <t>US</t>
  </si>
  <si>
    <t>SOUS-ZONE GÉO</t>
  </si>
  <si>
    <t>EMEA</t>
  </si>
  <si>
    <t>FRANCE</t>
  </si>
  <si>
    <t>APAC</t>
  </si>
  <si>
    <t>ASIE</t>
  </si>
  <si>
    <t>EUROPE</t>
  </si>
  <si>
    <t>MOYEN-ORIENT</t>
  </si>
  <si>
    <t>BPGO</t>
  </si>
  <si>
    <t>MARCHE</t>
  </si>
  <si>
    <t xml:space="preserve">   CHOIX DU RETRAITEMENT</t>
  </si>
  <si>
    <t>SURCOUCHE DAV</t>
  </si>
  <si>
    <t>TLTRO</t>
  </si>
  <si>
    <t>TCI LIQ</t>
  </si>
  <si>
    <t>3. FICHIERS  SCENARIOS TAUX</t>
  </si>
  <si>
    <t>4. OPTIONS DE SORTIE</t>
  </si>
  <si>
    <r>
      <t xml:space="preserve">5. SCÉNARIOS </t>
    </r>
    <r>
      <rPr>
        <b/>
        <sz val="12"/>
        <color theme="0"/>
        <rFont val="Calibri"/>
        <family val="2"/>
      </rPr>
      <t>À GÉNÉRER</t>
    </r>
  </si>
  <si>
    <t>ECH&amp;ECH%,NMD%,PEL</t>
  </si>
  <si>
    <t>EURBCEAO1W</t>
  </si>
  <si>
    <t>ESTR</t>
  </si>
  <si>
    <t>ESTR10M</t>
  </si>
  <si>
    <t>ESTR10Y</t>
  </si>
  <si>
    <t>ESTR11M</t>
  </si>
  <si>
    <t>ESTR12Y</t>
  </si>
  <si>
    <t>ESTR15Y</t>
  </si>
  <si>
    <t>ESTR1M</t>
  </si>
  <si>
    <t>ESTR1W</t>
  </si>
  <si>
    <t>ESTR1Y</t>
  </si>
  <si>
    <t>1Y</t>
  </si>
  <si>
    <t>ESTR20Y</t>
  </si>
  <si>
    <t>ESTR25Y</t>
  </si>
  <si>
    <t>ESTR2M</t>
  </si>
  <si>
    <t>ESTR2W</t>
  </si>
  <si>
    <t>ESTR2Y</t>
  </si>
  <si>
    <t>ESTR30Y</t>
  </si>
  <si>
    <t>ESTR3M</t>
  </si>
  <si>
    <t>ESTR3Y</t>
  </si>
  <si>
    <t>ESTR4M</t>
  </si>
  <si>
    <t>ESTR4Y</t>
  </si>
  <si>
    <t>ESTR5M</t>
  </si>
  <si>
    <t>ESTR5Y</t>
  </si>
  <si>
    <t>ESTR6M</t>
  </si>
  <si>
    <t>ESTR6Y</t>
  </si>
  <si>
    <t>ESTR7M</t>
  </si>
  <si>
    <t>ESTR7Y</t>
  </si>
  <si>
    <t>ESTR8M</t>
  </si>
  <si>
    <t>ESTR8Y</t>
  </si>
  <si>
    <t>ESTR9M</t>
  </si>
  <si>
    <t>ESTR9Y</t>
  </si>
  <si>
    <t>SONIA</t>
  </si>
  <si>
    <t>SONIA10M</t>
  </si>
  <si>
    <t>SONIA10Y</t>
  </si>
  <si>
    <t>SONIA11M</t>
  </si>
  <si>
    <t>SONIA12Y</t>
  </si>
  <si>
    <t>SONIA15Y</t>
  </si>
  <si>
    <t>SONIA1M</t>
  </si>
  <si>
    <t>SONIA1W</t>
  </si>
  <si>
    <t>SONIA1Y</t>
  </si>
  <si>
    <t>SONIA20Y</t>
  </si>
  <si>
    <t>SONIA25Y</t>
  </si>
  <si>
    <t>SONIA2M</t>
  </si>
  <si>
    <t>SONIA2W</t>
  </si>
  <si>
    <t>SONIA2Y</t>
  </si>
  <si>
    <t>SONIA30Y</t>
  </si>
  <si>
    <t>SONIA3M</t>
  </si>
  <si>
    <t>SONIA3Y</t>
  </si>
  <si>
    <t>SONIA4M</t>
  </si>
  <si>
    <t>SONIA4Y</t>
  </si>
  <si>
    <t>SONIA5M</t>
  </si>
  <si>
    <t>SONIA5Y</t>
  </si>
  <si>
    <t>SONIA6M</t>
  </si>
  <si>
    <t>SONIA6Y</t>
  </si>
  <si>
    <t>SONIA7M</t>
  </si>
  <si>
    <t>SONIA7Y</t>
  </si>
  <si>
    <t>SONIA8M</t>
  </si>
  <si>
    <t>SONIA8Y</t>
  </si>
  <si>
    <t>SONIA9M</t>
  </si>
  <si>
    <t>SONIA9Y</t>
  </si>
  <si>
    <t>SARON</t>
  </si>
  <si>
    <t>SARON10M</t>
  </si>
  <si>
    <t>SARON10Y</t>
  </si>
  <si>
    <t>SARON11M</t>
  </si>
  <si>
    <t>SARON12Y</t>
  </si>
  <si>
    <t>SARON15Y</t>
  </si>
  <si>
    <t>SARON1M</t>
  </si>
  <si>
    <t>SARON1W</t>
  </si>
  <si>
    <t>SARON1Y</t>
  </si>
  <si>
    <t>SARON20Y</t>
  </si>
  <si>
    <t>SARON25Y</t>
  </si>
  <si>
    <t>SARON2M</t>
  </si>
  <si>
    <t>SARON2W</t>
  </si>
  <si>
    <t>SARON2Y</t>
  </si>
  <si>
    <t>SARON30Y</t>
  </si>
  <si>
    <t>SARON3M</t>
  </si>
  <si>
    <t>SARON3Y</t>
  </si>
  <si>
    <t>SARON4M</t>
  </si>
  <si>
    <t>SARON4Y</t>
  </si>
  <si>
    <t>SARON5M</t>
  </si>
  <si>
    <t>SARON5Y</t>
  </si>
  <si>
    <t>SARON6M</t>
  </si>
  <si>
    <t>SARON6Y</t>
  </si>
  <si>
    <t>SARON7M</t>
  </si>
  <si>
    <t>SARON7Y</t>
  </si>
  <si>
    <t>SARON8M</t>
  </si>
  <si>
    <t>SARON8Y</t>
  </si>
  <si>
    <t>SARON9M</t>
  </si>
  <si>
    <t>SARON9Y</t>
  </si>
  <si>
    <t>TONAR</t>
  </si>
  <si>
    <t>TONAR10M</t>
  </si>
  <si>
    <t>TONAR10Y</t>
  </si>
  <si>
    <t>TONAR11M</t>
  </si>
  <si>
    <t>TONAR12Y</t>
  </si>
  <si>
    <t>TONAR15Y</t>
  </si>
  <si>
    <t>TONAR1M</t>
  </si>
  <si>
    <t>TONAR1W</t>
  </si>
  <si>
    <t>TONAR1Y</t>
  </si>
  <si>
    <t>TONAR20Y</t>
  </si>
  <si>
    <t>TONAR25Y</t>
  </si>
  <si>
    <t>TONAR2M</t>
  </si>
  <si>
    <t>TONAR2W</t>
  </si>
  <si>
    <t>TONAR2Y</t>
  </si>
  <si>
    <t>TONAR30Y</t>
  </si>
  <si>
    <t>TONAR3M</t>
  </si>
  <si>
    <t>TONAR3Y</t>
  </si>
  <si>
    <t>TONAR4M</t>
  </si>
  <si>
    <t>TONAR4Y</t>
  </si>
  <si>
    <t>TONAR5M</t>
  </si>
  <si>
    <t>TONAR5Y</t>
  </si>
  <si>
    <t>TONAR6M</t>
  </si>
  <si>
    <t>TONAR6Y</t>
  </si>
  <si>
    <t>TONAR7M</t>
  </si>
  <si>
    <t>TONAR7Y</t>
  </si>
  <si>
    <t>TONAR8M</t>
  </si>
  <si>
    <t>TONAR8Y</t>
  </si>
  <si>
    <t>TONAR9M</t>
  </si>
  <si>
    <t>TONAR9Y</t>
  </si>
  <si>
    <t>SOFR</t>
  </si>
  <si>
    <t>SOFR10M</t>
  </si>
  <si>
    <t>SOFR10Y</t>
  </si>
  <si>
    <t>SOFR11M</t>
  </si>
  <si>
    <t>SOFR12Y</t>
  </si>
  <si>
    <t>SOFR15Y</t>
  </si>
  <si>
    <t>SOFR1M</t>
  </si>
  <si>
    <t>SOFR1W</t>
  </si>
  <si>
    <t>SOFR1Y</t>
  </si>
  <si>
    <t>SOFR20Y</t>
  </si>
  <si>
    <t>SOFR25Y</t>
  </si>
  <si>
    <t>SOFR2M</t>
  </si>
  <si>
    <t>SOFR2W</t>
  </si>
  <si>
    <t>SOFR2Y</t>
  </si>
  <si>
    <t>SOFR30Y</t>
  </si>
  <si>
    <t>SOFR3M</t>
  </si>
  <si>
    <t>SOFR3Y</t>
  </si>
  <si>
    <t>SOFR4M</t>
  </si>
  <si>
    <t>SOFR4Y</t>
  </si>
  <si>
    <t>SOFR5M</t>
  </si>
  <si>
    <t>SOFR5Y</t>
  </si>
  <si>
    <t>SOFR6M</t>
  </si>
  <si>
    <t>SOFR6Y</t>
  </si>
  <si>
    <t>SOFR7M</t>
  </si>
  <si>
    <t>SOFR7Y</t>
  </si>
  <si>
    <t>SOFR8M</t>
  </si>
  <si>
    <t>SOFR8Y</t>
  </si>
  <si>
    <t>SOFR9M</t>
  </si>
  <si>
    <t>SOFR9Y</t>
  </si>
  <si>
    <t>CEGEE</t>
  </si>
  <si>
    <t>BRED_CAM</t>
  </si>
  <si>
    <t>ETAB</t>
  </si>
  <si>
    <t>EURIBMOY1W</t>
  </si>
  <si>
    <t>SOURCES</t>
  </si>
  <si>
    <t>TYPE SCENARIO ST</t>
  </si>
  <si>
    <t>TAB</t>
  </si>
  <si>
    <t>EURE3MCVBASKM</t>
  </si>
  <si>
    <t>EURTCASKM</t>
  </si>
  <si>
    <t>EURTCBIDM</t>
  </si>
  <si>
    <t>EURE3MTCASKM_P</t>
  </si>
  <si>
    <t>EURE3MTCASKM_E</t>
  </si>
  <si>
    <t>EURTCASKM_P</t>
  </si>
  <si>
    <t>EURSCFASKH</t>
  </si>
  <si>
    <t>EURTCASKM_E</t>
  </si>
  <si>
    <t>EURTCSP-</t>
  </si>
  <si>
    <t>EURCVBASKM</t>
  </si>
  <si>
    <t>EURTCBIDCAT</t>
  </si>
  <si>
    <t>EURTCSEC</t>
  </si>
  <si>
    <t>USDASKM</t>
  </si>
  <si>
    <t>USDBIDM</t>
  </si>
  <si>
    <t>JPYASKM</t>
  </si>
  <si>
    <t>JPYBIDM</t>
  </si>
  <si>
    <t>JPYSP-</t>
  </si>
  <si>
    <t>CHFASKM</t>
  </si>
  <si>
    <t>CHFBIDM</t>
  </si>
  <si>
    <t>CHFSP-</t>
  </si>
  <si>
    <t>GBPASKM</t>
  </si>
  <si>
    <t>GBPBIDM</t>
  </si>
  <si>
    <t>GBPSP-</t>
  </si>
  <si>
    <t>USDSP-</t>
  </si>
  <si>
    <t>EURE3MTCSP-</t>
  </si>
  <si>
    <t>EURTAG10M</t>
  </si>
  <si>
    <t>EURTAG11M</t>
  </si>
  <si>
    <t>EURTAG1M</t>
  </si>
  <si>
    <t>EURTAG1Y</t>
  </si>
  <si>
    <t>EURTAG2M</t>
  </si>
  <si>
    <t>EURTAG3M</t>
  </si>
  <si>
    <t>EURTAG4M</t>
  </si>
  <si>
    <t>EURTAG6M</t>
  </si>
  <si>
    <t>EURTAG7M</t>
  </si>
  <si>
    <t>EURTAG8M</t>
  </si>
  <si>
    <t>EURTAG9M</t>
  </si>
  <si>
    <t>EURLIB10Y</t>
  </si>
  <si>
    <t>EURLIB12Y</t>
  </si>
  <si>
    <t>EURLIB15Y</t>
  </si>
  <si>
    <t>EURLIB1M</t>
  </si>
  <si>
    <t>EURLIB1Y</t>
  </si>
  <si>
    <t>EURLIB20Y</t>
  </si>
  <si>
    <t>EURLIB25Y</t>
  </si>
  <si>
    <t>EURLIB2M</t>
  </si>
  <si>
    <t>EURLIB2Y</t>
  </si>
  <si>
    <t>EURLIB30Y</t>
  </si>
  <si>
    <t>EURLIB3M</t>
  </si>
  <si>
    <t>EURLIB3Y</t>
  </si>
  <si>
    <t>EURLIB40Y</t>
  </si>
  <si>
    <t>EURLIB4Y</t>
  </si>
  <si>
    <t>EURLIB50Y</t>
  </si>
  <si>
    <t>EURLIB5Y</t>
  </si>
  <si>
    <t>EURLIB6M</t>
  </si>
  <si>
    <t>EURLIB6Y</t>
  </si>
  <si>
    <t>EURLIB7Y</t>
  </si>
  <si>
    <t>EURLIB8Y</t>
  </si>
  <si>
    <t>EURLIB9Y</t>
  </si>
  <si>
    <t>50Y</t>
  </si>
  <si>
    <t>EURTHE1W</t>
  </si>
  <si>
    <t>iTAM1D</t>
  </si>
  <si>
    <t>iTAM1Y</t>
  </si>
  <si>
    <t>iTAM3M</t>
  </si>
  <si>
    <t>EURTME</t>
  </si>
  <si>
    <t>M12EURTHE1W</t>
  </si>
  <si>
    <t>M3AVEURTME</t>
  </si>
  <si>
    <t>M12EURTME</t>
  </si>
  <si>
    <t>M12AVEURTME</t>
  </si>
  <si>
    <t>M3EURTME</t>
  </si>
  <si>
    <t>M6AVEURTME</t>
  </si>
  <si>
    <t>M6EURTME</t>
  </si>
  <si>
    <t>M3EURT4M</t>
  </si>
  <si>
    <t>MG12EURT4M</t>
  </si>
  <si>
    <t>M6EURTMOT4M</t>
  </si>
  <si>
    <t>M12EURTMOT4M</t>
  </si>
  <si>
    <t>M1TAM1Y</t>
  </si>
  <si>
    <t>M6EURT4M</t>
  </si>
  <si>
    <t>MG12EURTAM1Y</t>
  </si>
  <si>
    <t>M1EURLIB1M</t>
  </si>
  <si>
    <t>TCI_USD</t>
  </si>
  <si>
    <t>ZC FICHIER</t>
  </si>
  <si>
    <t>E3MQ</t>
  </si>
  <si>
    <t>EURTREAS5Y</t>
  </si>
  <si>
    <t>BASSIN</t>
  </si>
  <si>
    <t>MATUR</t>
  </si>
  <si>
    <t>GESTION</t>
  </si>
  <si>
    <t>PALIER</t>
  </si>
  <si>
    <t>BOOK</t>
  </si>
  <si>
    <t>CUST</t>
  </si>
  <si>
    <t>LCR TIERS</t>
  </si>
  <si>
    <t>LCR_TIERS_SHARE</t>
  </si>
  <si>
    <t>INDEX</t>
  </si>
  <si>
    <t>JrPN</t>
  </si>
  <si>
    <t>BASE_CALC</t>
  </si>
  <si>
    <t>PERIODE FIXING</t>
  </si>
  <si>
    <t>PERIODE CAPI</t>
  </si>
  <si>
    <t>IND03</t>
  </si>
  <si>
    <t>CT</t>
  </si>
  <si>
    <t>MLT</t>
  </si>
  <si>
    <t>OPTION  AJOUT DE PN</t>
  </si>
  <si>
    <t>INFINE</t>
  </si>
  <si>
    <t>ECHCONST</t>
  </si>
  <si>
    <t>LINEAIRE</t>
  </si>
  <si>
    <t>ANNUEL</t>
  </si>
  <si>
    <t>SEMESTRIEL</t>
  </si>
  <si>
    <t>TRIMESTRIEL</t>
  </si>
  <si>
    <t>MENSUEL</t>
  </si>
  <si>
    <t>NONE</t>
  </si>
  <si>
    <t>30/360</t>
  </si>
  <si>
    <t>ACT/ACT</t>
  </si>
  <si>
    <t>ACT/365</t>
  </si>
  <si>
    <t>ACT/360</t>
  </si>
  <si>
    <t>AGE</t>
  </si>
  <si>
    <t>ASS</t>
  </si>
  <si>
    <t>AUT</t>
  </si>
  <si>
    <t>AUT MAR SPE</t>
  </si>
  <si>
    <t>BANQUE</t>
  </si>
  <si>
    <t>BQP</t>
  </si>
  <si>
    <t>CIN</t>
  </si>
  <si>
    <t>COR</t>
  </si>
  <si>
    <t>COV</t>
  </si>
  <si>
    <t>ECO SOC</t>
  </si>
  <si>
    <t>ENTREPRISE</t>
  </si>
  <si>
    <t>FIS</t>
  </si>
  <si>
    <t>GAC</t>
  </si>
  <si>
    <t>GAR</t>
  </si>
  <si>
    <t>HLM</t>
  </si>
  <si>
    <t>HME</t>
  </si>
  <si>
    <t>HOL</t>
  </si>
  <si>
    <t>IMMO PRO</t>
  </si>
  <si>
    <t>INK</t>
  </si>
  <si>
    <t>MDC</t>
  </si>
  <si>
    <t>PAR</t>
  </si>
  <si>
    <t>PARTICULIERS</t>
  </si>
  <si>
    <t>PLQ</t>
  </si>
  <si>
    <t>PNR</t>
  </si>
  <si>
    <t>PPROTEGEES</t>
  </si>
  <si>
    <t>PRO</t>
  </si>
  <si>
    <t>RCO</t>
  </si>
  <si>
    <t>RFI</t>
  </si>
  <si>
    <t>RLQ</t>
  </si>
  <si>
    <t>SFI</t>
  </si>
  <si>
    <t>SIC</t>
  </si>
  <si>
    <t>SOUVERAINS</t>
  </si>
  <si>
    <t>SPT</t>
  </si>
  <si>
    <t>CPR</t>
  </si>
  <si>
    <t>AJPN1</t>
  </si>
  <si>
    <t>A-PR-INTB-OMM</t>
  </si>
  <si>
    <t>P-EMP-INTB-OMM</t>
  </si>
  <si>
    <t>A-PR-INT-OC-OMM</t>
  </si>
  <si>
    <t>P-EMP-INT-OC-OMM</t>
  </si>
  <si>
    <t>P-MISE-PENS-OR-OC</t>
  </si>
  <si>
    <t>A-PRISE-PENS-OR</t>
  </si>
  <si>
    <t>P-MISE-PENS-OR</t>
  </si>
  <si>
    <t>A-EMECSHV-KN</t>
  </si>
  <si>
    <t>A-EMPSCEV-KN</t>
  </si>
  <si>
    <t>P-PRECSHV-KN</t>
  </si>
  <si>
    <t>P-PRSETFV-KN</t>
  </si>
  <si>
    <t>P-OPCVM-KN</t>
  </si>
  <si>
    <t>AHB-FRA-A-KN</t>
  </si>
  <si>
    <t>A-FONDS-KN</t>
  </si>
  <si>
    <t>A-GARDEP-OC</t>
  </si>
  <si>
    <t>A-ROCEP-OC</t>
  </si>
  <si>
    <t>AHB-COLLAR-OC</t>
  </si>
  <si>
    <t>AHB-SW-ASS-OC</t>
  </si>
  <si>
    <t>AHB-SW-D-OC</t>
  </si>
  <si>
    <t>AHB-SW-OC</t>
  </si>
  <si>
    <t>PHB-COLLAR-OC</t>
  </si>
  <si>
    <t>PHB-SW-ASS-OC</t>
  </si>
  <si>
    <t>PHB-SW-D-OC</t>
  </si>
  <si>
    <t>PHB-SW-OC</t>
  </si>
  <si>
    <t>PHB-FRA-P-KN</t>
  </si>
  <si>
    <t>AHB-FUT-A-KN</t>
  </si>
  <si>
    <t>PHB-FUT-P-KN</t>
  </si>
  <si>
    <t>P-EMTN-KN</t>
  </si>
  <si>
    <t>P-SURDEC</t>
  </si>
  <si>
    <t>A-CC-CAS</t>
  </si>
  <si>
    <t>P-CC-CAS-OC</t>
  </si>
  <si>
    <t>A-ACC-PART</t>
  </si>
  <si>
    <t>A-LG-IMPRONR</t>
  </si>
  <si>
    <t>A-LG-IMPROR</t>
  </si>
  <si>
    <t>AHB-NS-PROMNR</t>
  </si>
  <si>
    <t>AHB-NS-PROMR</t>
  </si>
  <si>
    <t>P-LG-IMMOPRO</t>
  </si>
  <si>
    <t>P-LG-IMPROMB</t>
  </si>
  <si>
    <t>P-RSLT-FORM1</t>
  </si>
  <si>
    <t>P-RSLT-FORM2</t>
  </si>
  <si>
    <t>P-RSLT-FORM3</t>
  </si>
  <si>
    <t>P-RSLT-FORM4</t>
  </si>
  <si>
    <t>P-RSLT-FORM5</t>
  </si>
  <si>
    <t>A-PROVPAR</t>
  </si>
  <si>
    <t>CONTRAT ECH</t>
  </si>
  <si>
    <t>CONTRAT NMD</t>
  </si>
  <si>
    <t>PN AJOUTEES (Modifier les montants manuellement)</t>
  </si>
  <si>
    <t>ded</t>
  </si>
  <si>
    <t>SC PN</t>
  </si>
  <si>
    <t>NOM SC AJOUT PN</t>
  </si>
  <si>
    <t>SARONFLB1M</t>
  </si>
  <si>
    <t>SARONFLB1Y</t>
  </si>
  <si>
    <t>SARONFLB3M</t>
  </si>
  <si>
    <t>SARONFLB6M</t>
  </si>
  <si>
    <t>SARONFLBON</t>
  </si>
  <si>
    <t>ESTRFLB3M</t>
  </si>
  <si>
    <t>ESTRFLB6M</t>
  </si>
  <si>
    <t>ESTRFLBON</t>
  </si>
  <si>
    <t>SONIAFLB1M</t>
  </si>
  <si>
    <t>SONIAFLB3M</t>
  </si>
  <si>
    <t>SONIAFLB6M</t>
  </si>
  <si>
    <t>SONIAFLBON</t>
  </si>
  <si>
    <t>TONARFLB3M</t>
  </si>
  <si>
    <t>TONARFLB6M</t>
  </si>
  <si>
    <t>TONARFLBON</t>
  </si>
  <si>
    <t>SOFRFLB1M</t>
  </si>
  <si>
    <t>SOFRFLB3M</t>
  </si>
  <si>
    <t>SOFRFLB6M</t>
  </si>
  <si>
    <t>SOFRFLBON</t>
  </si>
  <si>
    <t>EURTLJ</t>
  </si>
  <si>
    <t>EURCEL</t>
  </si>
  <si>
    <t>EURLIVA_AF</t>
  </si>
  <si>
    <t>TX_LIVASSO</t>
  </si>
  <si>
    <t>TX_LIVAUT</t>
  </si>
  <si>
    <t>TX_LIVCONDI</t>
  </si>
  <si>
    <t>TX_LIVJEUNE</t>
  </si>
  <si>
    <t>TX_LIVORD</t>
  </si>
  <si>
    <t>TX_LIVPEL</t>
  </si>
  <si>
    <t>TX_LIVPROMO</t>
  </si>
  <si>
    <t>TX_LIVSOC</t>
  </si>
  <si>
    <t>AEDLIB1D</t>
  </si>
  <si>
    <t>AED</t>
  </si>
  <si>
    <t>AEDLIBOR</t>
  </si>
  <si>
    <t>AUDLIB1D</t>
  </si>
  <si>
    <t>AUD</t>
  </si>
  <si>
    <t>AUDLIBOR</t>
  </si>
  <si>
    <t>AUDLIB1M</t>
  </si>
  <si>
    <t>AUDLIB2M</t>
  </si>
  <si>
    <t>AUDLIB3M</t>
  </si>
  <si>
    <t>AUDLIB4M</t>
  </si>
  <si>
    <t>AUDLIB6M</t>
  </si>
  <si>
    <t>OISAUD1D</t>
  </si>
  <si>
    <t>iTBBNCAUD</t>
  </si>
  <si>
    <t>BHDLIB1D</t>
  </si>
  <si>
    <t>BHD</t>
  </si>
  <si>
    <t>BHDLIBOR</t>
  </si>
  <si>
    <t>CADBA1D</t>
  </si>
  <si>
    <t>CAD</t>
  </si>
  <si>
    <t>CADLIBOR</t>
  </si>
  <si>
    <t>CADBA1M</t>
  </si>
  <si>
    <t>CADBA2M</t>
  </si>
  <si>
    <t>CADBA3M</t>
  </si>
  <si>
    <t>iTBBNCCAD</t>
  </si>
  <si>
    <t>CHFLIBOR</t>
  </si>
  <si>
    <t>CHFLIB1W</t>
  </si>
  <si>
    <t>CHFLIB2W</t>
  </si>
  <si>
    <t>OISCHF1D</t>
  </si>
  <si>
    <t>OISSARON</t>
  </si>
  <si>
    <t>CLPIBOR1D</t>
  </si>
  <si>
    <t>CLP</t>
  </si>
  <si>
    <t>CLPIBOR</t>
  </si>
  <si>
    <t>CNHIBOR1D</t>
  </si>
  <si>
    <t>CNH</t>
  </si>
  <si>
    <t>CNHHIBOR</t>
  </si>
  <si>
    <t>CNYIBOR1D</t>
  </si>
  <si>
    <t>CNY</t>
  </si>
  <si>
    <t>CNYSHIBOR</t>
  </si>
  <si>
    <t>CNYIBOR1Y</t>
  </si>
  <si>
    <t>CZKIBOR1D</t>
  </si>
  <si>
    <t>CZK</t>
  </si>
  <si>
    <t>CZKPRIBOR</t>
  </si>
  <si>
    <t>CZKIBOR3M</t>
  </si>
  <si>
    <t>CZKIBOR6M</t>
  </si>
  <si>
    <t>DKKCIBOR12M</t>
  </si>
  <si>
    <t>DKK</t>
  </si>
  <si>
    <t>DKKCIBOR</t>
  </si>
  <si>
    <t>DKKCIBOR1D</t>
  </si>
  <si>
    <t>DKKCIBOR1M</t>
  </si>
  <si>
    <t>DKKCIBOR3M</t>
  </si>
  <si>
    <t>DKKCIBOR6M</t>
  </si>
  <si>
    <t>EURIBMOY</t>
  </si>
  <si>
    <t>EURIBMOY2W</t>
  </si>
  <si>
    <t>EURIBMOY3W</t>
  </si>
  <si>
    <t>EURIBMOY40Y</t>
  </si>
  <si>
    <t>EURIBMOY50Y</t>
  </si>
  <si>
    <t>EUREURIB1W</t>
  </si>
  <si>
    <t>EUREURIB2W</t>
  </si>
  <si>
    <t>EUREURIB3W</t>
  </si>
  <si>
    <t>EUREURIB40Y</t>
  </si>
  <si>
    <t>EUREURIB50Y</t>
  </si>
  <si>
    <t>EURINFEUR</t>
  </si>
  <si>
    <t>EURLEP</t>
  </si>
  <si>
    <t>EURLIVAC</t>
  </si>
  <si>
    <t>EUROBLIG</t>
  </si>
  <si>
    <t>TX_ER10Y</t>
  </si>
  <si>
    <t>EURREMSLR</t>
  </si>
  <si>
    <t>TX_ER11Y</t>
  </si>
  <si>
    <t>TX_ER12Y</t>
  </si>
  <si>
    <t>TX_ER13Y</t>
  </si>
  <si>
    <t>TX_ER14Y</t>
  </si>
  <si>
    <t>TX_ER15Y</t>
  </si>
  <si>
    <t>TX_ER5Y</t>
  </si>
  <si>
    <t>TX_ER6Y</t>
  </si>
  <si>
    <t>TX_ER7Y</t>
  </si>
  <si>
    <t>TX_ER8Y</t>
  </si>
  <si>
    <t>TX_ER9Y</t>
  </si>
  <si>
    <t>OIS1D</t>
  </si>
  <si>
    <t>EURTAG5M</t>
  </si>
  <si>
    <t>EURTREAS1Y</t>
  </si>
  <si>
    <t>iESTOX</t>
  </si>
  <si>
    <t>iTBBTEUR</t>
  </si>
  <si>
    <t>iTMO</t>
  </si>
  <si>
    <t>OISESTR</t>
  </si>
  <si>
    <t>GBPLIBOR</t>
  </si>
  <si>
    <t>GBPLIB1W</t>
  </si>
  <si>
    <t>OISGBP1D</t>
  </si>
  <si>
    <t>iTBBNCGBP</t>
  </si>
  <si>
    <t>iTBBTGBP</t>
  </si>
  <si>
    <t>OISSONIA</t>
  </si>
  <si>
    <t>HKDHIBOR1D</t>
  </si>
  <si>
    <t>HKD</t>
  </si>
  <si>
    <t>HKDLIBOR</t>
  </si>
  <si>
    <t>HKDHIBOR1M</t>
  </si>
  <si>
    <t>HKDHIBOR3M</t>
  </si>
  <si>
    <t>HKDHIBOR6M</t>
  </si>
  <si>
    <t>HUFBUBOR12M</t>
  </si>
  <si>
    <t>HUF</t>
  </si>
  <si>
    <t>HUFBUBOR</t>
  </si>
  <si>
    <t>HUFBUBOR1D</t>
  </si>
  <si>
    <t>HUFBUBOR1M</t>
  </si>
  <si>
    <t>HUFBUBOR3M</t>
  </si>
  <si>
    <t>HUFBUBOR6M</t>
  </si>
  <si>
    <t>IDRLIB1D</t>
  </si>
  <si>
    <t>IDR</t>
  </si>
  <si>
    <t>IDRLIBOR</t>
  </si>
  <si>
    <t>ILSIBOR1D</t>
  </si>
  <si>
    <t>ILS</t>
  </si>
  <si>
    <t>ILSTELBOR</t>
  </si>
  <si>
    <t>ILSIBOR3M</t>
  </si>
  <si>
    <t>INRLIB1D</t>
  </si>
  <si>
    <t>INR</t>
  </si>
  <si>
    <t>INRLIBOR</t>
  </si>
  <si>
    <t>ISKIBOR1D</t>
  </si>
  <si>
    <t>ISK</t>
  </si>
  <si>
    <t>ISKREIBOR</t>
  </si>
  <si>
    <t>iTBBTJPY</t>
  </si>
  <si>
    <t>JPYBC1D</t>
  </si>
  <si>
    <t>JPYLIBOR</t>
  </si>
  <si>
    <t>OISTONAR</t>
  </si>
  <si>
    <t>KRWLIB1D</t>
  </si>
  <si>
    <t>KRW</t>
  </si>
  <si>
    <t>KRWLIBOR</t>
  </si>
  <si>
    <t>MADIBOR1D</t>
  </si>
  <si>
    <t>MAD</t>
  </si>
  <si>
    <t>MADIBOR1M</t>
  </si>
  <si>
    <t>iTBBE</t>
  </si>
  <si>
    <t>MUR</t>
  </si>
  <si>
    <t>iTBBM</t>
  </si>
  <si>
    <t>MXNLIB1D</t>
  </si>
  <si>
    <t>MXN</t>
  </si>
  <si>
    <t>MXNLIBOR</t>
  </si>
  <si>
    <t>MYRLIB1D</t>
  </si>
  <si>
    <t>MYR</t>
  </si>
  <si>
    <t>MYRLIBOR</t>
  </si>
  <si>
    <t>NOKNIBOR1D</t>
  </si>
  <si>
    <t>NOK</t>
  </si>
  <si>
    <t>NOKNIBOR</t>
  </si>
  <si>
    <t>NOKNIBOR1M</t>
  </si>
  <si>
    <t>NOKNIBOR3M</t>
  </si>
  <si>
    <t>NOKNIBOR6M</t>
  </si>
  <si>
    <t>NZDBA1D</t>
  </si>
  <si>
    <t>NZD</t>
  </si>
  <si>
    <t>NZDLIBOR</t>
  </si>
  <si>
    <t>NZDBA1M</t>
  </si>
  <si>
    <t>NZDBA3M</t>
  </si>
  <si>
    <t>NZDBA4M</t>
  </si>
  <si>
    <t>PLNIBOR1D</t>
  </si>
  <si>
    <t>PLN</t>
  </si>
  <si>
    <t>PLNWIBOR</t>
  </si>
  <si>
    <t>PLNIBOR1M</t>
  </si>
  <si>
    <t>PLNIBOR3M</t>
  </si>
  <si>
    <t>PLNIBOR6M</t>
  </si>
  <si>
    <t>RONLIB1D</t>
  </si>
  <si>
    <t>RON</t>
  </si>
  <si>
    <t>RONLIBOR</t>
  </si>
  <si>
    <t>RUBUBOR1D</t>
  </si>
  <si>
    <t>RUB</t>
  </si>
  <si>
    <t>RUBUBOR</t>
  </si>
  <si>
    <t>RUBUBOR3M</t>
  </si>
  <si>
    <t>SARLIB1D</t>
  </si>
  <si>
    <t>SAR</t>
  </si>
  <si>
    <t>SARLIBOR</t>
  </si>
  <si>
    <t>SEKSTIBO1D</t>
  </si>
  <si>
    <t>SEK</t>
  </si>
  <si>
    <t>SEKSTIBOR</t>
  </si>
  <si>
    <t>SEKSTIBO1M</t>
  </si>
  <si>
    <t>SEKSTIBO3M</t>
  </si>
  <si>
    <t>SEKSTIBO6M</t>
  </si>
  <si>
    <t>SEKSTIBO9M</t>
  </si>
  <si>
    <t>SGDSIBOR1D</t>
  </si>
  <si>
    <t>SGD</t>
  </si>
  <si>
    <t>SGDSIBOR</t>
  </si>
  <si>
    <t>SGDSIBOR1M</t>
  </si>
  <si>
    <t>SGDSIBOR3M</t>
  </si>
  <si>
    <t>SGDSIBOR5Y</t>
  </si>
  <si>
    <t>SGDSIBOR6M</t>
  </si>
  <si>
    <t>THBIBOR1D</t>
  </si>
  <si>
    <t>THB</t>
  </si>
  <si>
    <t>THBBKIBOR</t>
  </si>
  <si>
    <t>THBIBOR3M</t>
  </si>
  <si>
    <t>TNDDEPO1D</t>
  </si>
  <si>
    <t>TND</t>
  </si>
  <si>
    <t>TNTMM</t>
  </si>
  <si>
    <t>TRYIBOR1D</t>
  </si>
  <si>
    <t>TRY</t>
  </si>
  <si>
    <t>TRYIBOR</t>
  </si>
  <si>
    <t>TRYIBOR1M</t>
  </si>
  <si>
    <t>TWDLIB1D</t>
  </si>
  <si>
    <t>TWD</t>
  </si>
  <si>
    <t>TWDLIBOR</t>
  </si>
  <si>
    <t>TWDLIB3M</t>
  </si>
  <si>
    <t>iTBBNCUSD</t>
  </si>
  <si>
    <t>iTBBTUSD</t>
  </si>
  <si>
    <t>OISSOFR</t>
  </si>
  <si>
    <t>USDFED1D</t>
  </si>
  <si>
    <t>USDFED</t>
  </si>
  <si>
    <t>USDLIBOR</t>
  </si>
  <si>
    <t>USDLIB1W</t>
  </si>
  <si>
    <t>USDLIB2W</t>
  </si>
  <si>
    <t>iTBBNC</t>
  </si>
  <si>
    <t>XPF</t>
  </si>
  <si>
    <t>iTBBT</t>
  </si>
  <si>
    <t>ZARLIB1D</t>
  </si>
  <si>
    <t>ZAR</t>
  </si>
  <si>
    <t>ZARLIBOR</t>
  </si>
  <si>
    <t>ZARLIB1M</t>
  </si>
  <si>
    <t>ZARLIB3M</t>
  </si>
  <si>
    <t>AONIA</t>
  </si>
  <si>
    <t>CORRA</t>
  </si>
  <si>
    <t>CMS5Yf</t>
  </si>
  <si>
    <t>EURCODEVI</t>
  </si>
  <si>
    <t>EUREURT4M</t>
  </si>
  <si>
    <t>EURiBeiborUSD</t>
  </si>
  <si>
    <t>EURiFORM</t>
  </si>
  <si>
    <t>TDAV_A_AMS</t>
  </si>
  <si>
    <t>TDAV_A_AUT</t>
  </si>
  <si>
    <t>TDAV_A_BAN</t>
  </si>
  <si>
    <t>TDAV_A_ENT</t>
  </si>
  <si>
    <t>TDAV_A_HLM</t>
  </si>
  <si>
    <t>TDAV_A_IMM</t>
  </si>
  <si>
    <t>TDAV_A_PAR</t>
  </si>
  <si>
    <t>TDAV_A_PPR</t>
  </si>
  <si>
    <t>TDAV_A_PRO</t>
  </si>
  <si>
    <t>TDAV_A_SOC</t>
  </si>
  <si>
    <t>TDAV_A_SOU</t>
  </si>
  <si>
    <t>TDAV_A_SPT</t>
  </si>
  <si>
    <t>TDAV_P_AMS</t>
  </si>
  <si>
    <t>TDAV_P_AUT</t>
  </si>
  <si>
    <t>TDAV_P_BAN</t>
  </si>
  <si>
    <t>TDAV_P_ENT</t>
  </si>
  <si>
    <t>TDAV_P_HLM</t>
  </si>
  <si>
    <t>TDAV_P_IMM</t>
  </si>
  <si>
    <t>TDAV_P_PAR</t>
  </si>
  <si>
    <t>TDAV_P_PPR</t>
  </si>
  <si>
    <t>TDAV_P_PRO</t>
  </si>
  <si>
    <t>TDAV_P_SOC</t>
  </si>
  <si>
    <t>TDAV_P_SOU</t>
  </si>
  <si>
    <t>TDAV_P_SPT</t>
  </si>
  <si>
    <t>TTECHEUR3M</t>
  </si>
  <si>
    <t>TX_CASDEN</t>
  </si>
  <si>
    <t>TX_CASDEN2</t>
  </si>
  <si>
    <t>TX_OPC_ACT</t>
  </si>
  <si>
    <t>TX_OPC_ALT</t>
  </si>
  <si>
    <t>TX_OPC_CONV</t>
  </si>
  <si>
    <t>TX_OPC_DIV</t>
  </si>
  <si>
    <t>TX_OPC_GAR</t>
  </si>
  <si>
    <t>TX_OPC_INC</t>
  </si>
  <si>
    <t>TX_OPC_MON</t>
  </si>
  <si>
    <t>TX_OPC_MONDY</t>
  </si>
  <si>
    <t>TX_OPC_OBLIG</t>
  </si>
  <si>
    <t>TX_OPCVM-OC</t>
  </si>
  <si>
    <t>HONIA</t>
  </si>
  <si>
    <t>HUFIBOR1D</t>
  </si>
  <si>
    <t>HUFBIBOR</t>
  </si>
  <si>
    <t>CMS10YLIBUSD</t>
  </si>
  <si>
    <t>XAF</t>
  </si>
  <si>
    <t>XPFEONIA1D</t>
  </si>
  <si>
    <t>XPFLIVA</t>
  </si>
  <si>
    <t>EURECBDF1D</t>
  </si>
  <si>
    <t>MGA</t>
  </si>
  <si>
    <t>ARS</t>
  </si>
  <si>
    <t>BRL</t>
  </si>
  <si>
    <t>DZD</t>
  </si>
  <si>
    <t>EGP</t>
  </si>
  <si>
    <t>FJD</t>
  </si>
  <si>
    <t>FRF</t>
  </si>
  <si>
    <t>HRK</t>
  </si>
  <si>
    <t>KES</t>
  </si>
  <si>
    <t>KWD</t>
  </si>
  <si>
    <t>LTL</t>
  </si>
  <si>
    <t>QAR</t>
  </si>
  <si>
    <t>TNT</t>
  </si>
  <si>
    <t>VAR</t>
  </si>
  <si>
    <t>VND</t>
  </si>
  <si>
    <t>VUV</t>
  </si>
  <si>
    <t>XOF</t>
  </si>
  <si>
    <t>UAH</t>
  </si>
  <si>
    <t>SYP</t>
  </si>
  <si>
    <t>LKR</t>
  </si>
  <si>
    <t>OMR</t>
  </si>
  <si>
    <t>XCD</t>
  </si>
  <si>
    <t>XAU</t>
  </si>
  <si>
    <t>PHP</t>
  </si>
  <si>
    <t>KHR</t>
  </si>
  <si>
    <t>RWF</t>
  </si>
  <si>
    <t>TZS</t>
  </si>
  <si>
    <t>['ALL', 'ALL']</t>
  </si>
  <si>
    <t>['ALL', 'ALL', 'ALL']</t>
  </si>
  <si>
    <t>['ALL']</t>
  </si>
  <si>
    <t>['ALL', 'ALL', 'ALL','ALL']</t>
  </si>
  <si>
    <t>['1D']</t>
  </si>
  <si>
    <t>['1M']</t>
  </si>
  <si>
    <t>['1Y']</t>
  </si>
  <si>
    <t>['6M']</t>
  </si>
  <si>
    <t>['3M']</t>
  </si>
  <si>
    <t>['1D', '10Y']</t>
  </si>
  <si>
    <t>LEP_CALC</t>
  </si>
  <si>
    <t>UNSECURED E1D</t>
  </si>
  <si>
    <t>['10Y']</t>
  </si>
  <si>
    <t>EUREURIB3Mf</t>
  </si>
  <si>
    <t>['1W']</t>
  </si>
  <si>
    <t>NZDBIDM</t>
  </si>
  <si>
    <t>M3SOFR</t>
  </si>
  <si>
    <t>M6SOFR</t>
  </si>
  <si>
    <t>M1SOFR</t>
  </si>
  <si>
    <t>EURTX_LIVORD</t>
  </si>
  <si>
    <t>CHFiFORM</t>
  </si>
  <si>
    <t>CMS10YLIBGBP</t>
  </si>
  <si>
    <t>CMS10YLIBJPY</t>
  </si>
  <si>
    <t>CMS20YLIBJPY</t>
  </si>
  <si>
    <t>LIBOR</t>
  </si>
  <si>
    <t>ESTRFLB10M</t>
  </si>
  <si>
    <t>ESTRFLB11M</t>
  </si>
  <si>
    <t>ESTRFLB1M</t>
  </si>
  <si>
    <t>ESTRFLB1W</t>
  </si>
  <si>
    <t>ESTRFLB1Y</t>
  </si>
  <si>
    <t>ESTRFLB2M</t>
  </si>
  <si>
    <t>ESTRFLB2W</t>
  </si>
  <si>
    <t>ESTRFLB4M</t>
  </si>
  <si>
    <t>ESTRFLB5M</t>
  </si>
  <si>
    <t>ESTRFLB7M</t>
  </si>
  <si>
    <t>ESTRFLB8M</t>
  </si>
  <si>
    <t>ESTRFLB9M</t>
  </si>
  <si>
    <t>HONIAFLB</t>
  </si>
  <si>
    <t>EURiBeibor</t>
  </si>
  <si>
    <t>USDiBeibor</t>
  </si>
  <si>
    <t>JPYiFORM</t>
  </si>
  <si>
    <t>MGAMGAIB3M</t>
  </si>
  <si>
    <t>MURMURIB3M</t>
  </si>
  <si>
    <t>SARONFLB10M</t>
  </si>
  <si>
    <t>SARONFLB11M</t>
  </si>
  <si>
    <t>SARONFLB1W</t>
  </si>
  <si>
    <t>SARONFLB2M</t>
  </si>
  <si>
    <t>SARONFLB2W</t>
  </si>
  <si>
    <t>SARONFLB4M</t>
  </si>
  <si>
    <t>SARONFLB5M</t>
  </si>
  <si>
    <t>SARONFLB7M</t>
  </si>
  <si>
    <t>SARONFLB8M</t>
  </si>
  <si>
    <t>SARONFLB9M</t>
  </si>
  <si>
    <t>SOFRFLB10M</t>
  </si>
  <si>
    <t>SOFRFLB11M</t>
  </si>
  <si>
    <t>SOFRFLB1W</t>
  </si>
  <si>
    <t>SOFRFLB1Y</t>
  </si>
  <si>
    <t>SOFRFLB2M</t>
  </si>
  <si>
    <t>SOFRFLB2W</t>
  </si>
  <si>
    <t>SOFRFLB4M</t>
  </si>
  <si>
    <t>SOFRFLB5M</t>
  </si>
  <si>
    <t>SOFRFLB7M</t>
  </si>
  <si>
    <t>SOFRFLB8M</t>
  </si>
  <si>
    <t>SOFRFLB9M</t>
  </si>
  <si>
    <t>SONIAFLB10M</t>
  </si>
  <si>
    <t>SONIAFLB11M</t>
  </si>
  <si>
    <t>SONIAFLB1W</t>
  </si>
  <si>
    <t>SONIAFLB1Y</t>
  </si>
  <si>
    <t>SONIAFLB2M</t>
  </si>
  <si>
    <t>SONIAFLB2W</t>
  </si>
  <si>
    <t>SONIAFLB4M</t>
  </si>
  <si>
    <t>SONIAFLB5M</t>
  </si>
  <si>
    <t>SONIAFLB7M</t>
  </si>
  <si>
    <t>SONIAFLB8M</t>
  </si>
  <si>
    <t>SONIAFLB9M</t>
  </si>
  <si>
    <t>SGDiFORM</t>
  </si>
  <si>
    <t>TONARFLB10M</t>
  </si>
  <si>
    <t>TONARFLB11M</t>
  </si>
  <si>
    <t>TONARFLB1M</t>
  </si>
  <si>
    <t>TONARFLB1W</t>
  </si>
  <si>
    <t>TONARFLB1Y</t>
  </si>
  <si>
    <t>TONARFLB2M</t>
  </si>
  <si>
    <t>TONARFLB2W</t>
  </si>
  <si>
    <t>TONARFLB4M</t>
  </si>
  <si>
    <t>TONARFLB5M</t>
  </si>
  <si>
    <t>TONARFLB7M</t>
  </si>
  <si>
    <t>TONARFLB8M</t>
  </si>
  <si>
    <t>TONARFLB9M</t>
  </si>
  <si>
    <t>USDEURT4M</t>
  </si>
  <si>
    <t>USDiBeiborUSD</t>
  </si>
  <si>
    <t>USDiFORM</t>
  </si>
  <si>
    <t>XAFXAFIB3M</t>
  </si>
  <si>
    <t>XPFTX_LIVPREF</t>
  </si>
  <si>
    <t>GBPiBB</t>
  </si>
  <si>
    <t>USDiBB</t>
  </si>
  <si>
    <t>XPFiBCE</t>
  </si>
  <si>
    <t>XPFEURLEP</t>
  </si>
  <si>
    <t>ARSTVZERO</t>
  </si>
  <si>
    <t>BRLTVZERO</t>
  </si>
  <si>
    <t>DZDTVZERO</t>
  </si>
  <si>
    <t>EGPTVZERO</t>
  </si>
  <si>
    <t>FJDTVZERO</t>
  </si>
  <si>
    <t>FRFTVZERO</t>
  </si>
  <si>
    <t>HRKTVZERO</t>
  </si>
  <si>
    <t>KESTVZERO</t>
  </si>
  <si>
    <t>KWDTVZERO</t>
  </si>
  <si>
    <t>LTLTVZERO</t>
  </si>
  <si>
    <t>QARTVZERO</t>
  </si>
  <si>
    <t>TNTTVZERO</t>
  </si>
  <si>
    <t>VARTVZERO</t>
  </si>
  <si>
    <t>VNDTVZERO</t>
  </si>
  <si>
    <t>VUVTVZERO</t>
  </si>
  <si>
    <t>XOFTVZERO</t>
  </si>
  <si>
    <t>ZEUTVZERO</t>
  </si>
  <si>
    <t>UAHTVZERO</t>
  </si>
  <si>
    <t>SYPTVZERO</t>
  </si>
  <si>
    <t>LKRTVZERO</t>
  </si>
  <si>
    <t>OMRTVZERO</t>
  </si>
  <si>
    <t>XCDTVZERO</t>
  </si>
  <si>
    <t>XAUTVZERO</t>
  </si>
  <si>
    <t>PHPTVZERO</t>
  </si>
  <si>
    <t>KHRTVZERO</t>
  </si>
  <si>
    <t>RWFTVZERO</t>
  </si>
  <si>
    <t>TZSTVZERO</t>
  </si>
  <si>
    <t>AEDTVZERO</t>
  </si>
  <si>
    <t>AUDTVZERO</t>
  </si>
  <si>
    <t>BHDTVZERO</t>
  </si>
  <si>
    <t>CADTVZERO</t>
  </si>
  <si>
    <t>CHFTVZERO</t>
  </si>
  <si>
    <t>CLPTVZERO</t>
  </si>
  <si>
    <t>CNHTVZERO</t>
  </si>
  <si>
    <t>CNYTVZERO</t>
  </si>
  <si>
    <t>CZKTVZERO</t>
  </si>
  <si>
    <t>DKKTVZERO</t>
  </si>
  <si>
    <t>EURTVZERO</t>
  </si>
  <si>
    <t>GBPTVZERO</t>
  </si>
  <si>
    <t>HKDTVZERO</t>
  </si>
  <si>
    <t>HUFTVZERO</t>
  </si>
  <si>
    <t>IDRTVZERO</t>
  </si>
  <si>
    <t>ILSTVZERO</t>
  </si>
  <si>
    <t>INRTVZERO</t>
  </si>
  <si>
    <t>ISKTVZERO</t>
  </si>
  <si>
    <t>JPYTVZERO</t>
  </si>
  <si>
    <t>KRWTVZERO</t>
  </si>
  <si>
    <t>MADTVZERO</t>
  </si>
  <si>
    <t>MURTVZERO</t>
  </si>
  <si>
    <t>MXNTVZERO</t>
  </si>
  <si>
    <t>MYRTVZERO</t>
  </si>
  <si>
    <t>NOKTVZERO</t>
  </si>
  <si>
    <t>NZDTVZERO</t>
  </si>
  <si>
    <t>PLNTVZERO</t>
  </si>
  <si>
    <t>RONTVZERO</t>
  </si>
  <si>
    <t>RUBTVZERO</t>
  </si>
  <si>
    <t>SARTVZERO</t>
  </si>
  <si>
    <t>SEKTVZERO</t>
  </si>
  <si>
    <t>SGDTVZERO</t>
  </si>
  <si>
    <t>THBTVZERO</t>
  </si>
  <si>
    <t>TNDTVZERO</t>
  </si>
  <si>
    <t>TRYTVZERO</t>
  </si>
  <si>
    <t>TWDTVZERO</t>
  </si>
  <si>
    <t>USDTVZERO</t>
  </si>
  <si>
    <t>XPFTVZERO</t>
  </si>
  <si>
    <t>ZARTVZERO</t>
  </si>
  <si>
    <t>XAFTVZERO</t>
  </si>
  <si>
    <t>MGATVZERO</t>
  </si>
  <si>
    <t>KZTTVZERO</t>
  </si>
  <si>
    <t>MMKTVZERO</t>
  </si>
  <si>
    <t>UGXTVZERO</t>
  </si>
  <si>
    <t>['20Y']</t>
  </si>
  <si>
    <t>['5Y']</t>
  </si>
  <si>
    <t>['10M']</t>
  </si>
  <si>
    <t>['11M']</t>
  </si>
  <si>
    <t>['2M']</t>
  </si>
  <si>
    <t>['2W']</t>
  </si>
  <si>
    <t>['4M']</t>
  </si>
  <si>
    <t>['5M']</t>
  </si>
  <si>
    <t>['7M']</t>
  </si>
  <si>
    <t>['8M']</t>
  </si>
  <si>
    <t>['9M']</t>
  </si>
  <si>
    <t>EURINF50Y</t>
  </si>
  <si>
    <t>EURLEP50Y</t>
  </si>
  <si>
    <t>EURLIVA50Y</t>
  </si>
  <si>
    <t>TxRemCDN</t>
  </si>
  <si>
    <t>TxRemCDN50Y</t>
  </si>
  <si>
    <t>TxRemCDN2</t>
  </si>
  <si>
    <t>TxRemCDN50Y2</t>
  </si>
  <si>
    <t>EURTEMTVCFFD</t>
  </si>
  <si>
    <t>EURTEMTVCFFY</t>
  </si>
  <si>
    <t>EURTFCFF10Y</t>
  </si>
  <si>
    <t>EURTFCFF15Y</t>
  </si>
  <si>
    <t>EURTFCFF1D</t>
  </si>
  <si>
    <t>EURTFCFF20Y</t>
  </si>
  <si>
    <t>EURTFCFF25Y</t>
  </si>
  <si>
    <t>EURTFCFF50Y</t>
  </si>
  <si>
    <t>IPC1D</t>
  </si>
  <si>
    <t>IPCEP1D</t>
  </si>
  <si>
    <t>IPCEU1D</t>
  </si>
  <si>
    <t>IPCP1D</t>
  </si>
  <si>
    <t>AUDLIB10M</t>
  </si>
  <si>
    <t>AUDLIB10Y</t>
  </si>
  <si>
    <t>AUDLIB11M</t>
  </si>
  <si>
    <t>AUDLIB12Y</t>
  </si>
  <si>
    <t>AUDLIB15Y</t>
  </si>
  <si>
    <t>AUDLIB1W</t>
  </si>
  <si>
    <t>AUDLIB1Y</t>
  </si>
  <si>
    <t>AUDLIB20Y</t>
  </si>
  <si>
    <t>AUDLIB2W</t>
  </si>
  <si>
    <t>AUDLIB2Y</t>
  </si>
  <si>
    <t>AUDLIB30Y</t>
  </si>
  <si>
    <t>AUDLIB3Y</t>
  </si>
  <si>
    <t>AUDLIB4Y</t>
  </si>
  <si>
    <t>AUDLIB5M</t>
  </si>
  <si>
    <t>AUDLIB5Y</t>
  </si>
  <si>
    <t>AUDLIB6Y</t>
  </si>
  <si>
    <t>AUDLIB7M</t>
  </si>
  <si>
    <t>AUDLIB7Y</t>
  </si>
  <si>
    <t>AUDLIB8M</t>
  </si>
  <si>
    <t>AUDLIB8Y</t>
  </si>
  <si>
    <t>AUDLIB9M</t>
  </si>
  <si>
    <t>AUDLIB9Y</t>
  </si>
  <si>
    <t>OISAUD50Y</t>
  </si>
  <si>
    <t>BHDLIB50Y</t>
  </si>
  <si>
    <t>CADBA10M</t>
  </si>
  <si>
    <t>CADBA10Y</t>
  </si>
  <si>
    <t>CADBA11M</t>
  </si>
  <si>
    <t>CADBA11Y</t>
  </si>
  <si>
    <t>CADBA12Y</t>
  </si>
  <si>
    <t>CADBA15Y</t>
  </si>
  <si>
    <t>CADBA1W</t>
  </si>
  <si>
    <t>CADBA1Y</t>
  </si>
  <si>
    <t>CADBA20Y</t>
  </si>
  <si>
    <t>CADBA2Y</t>
  </si>
  <si>
    <t>CADBA30Y</t>
  </si>
  <si>
    <t>CADBA3Y</t>
  </si>
  <si>
    <t>CADBA4M</t>
  </si>
  <si>
    <t>CADBA4Y</t>
  </si>
  <si>
    <t>CADBA5M</t>
  </si>
  <si>
    <t>CADBA5Y</t>
  </si>
  <si>
    <t>CADBA6M</t>
  </si>
  <si>
    <t>CADBA6Y</t>
  </si>
  <si>
    <t>CADBA7M</t>
  </si>
  <si>
    <t>CADBA7Y</t>
  </si>
  <si>
    <t>CADBA8M</t>
  </si>
  <si>
    <t>CADBA8Y</t>
  </si>
  <si>
    <t>CADBA9M</t>
  </si>
  <si>
    <t>CADBA9Y</t>
  </si>
  <si>
    <t>CLPIBOR10Y</t>
  </si>
  <si>
    <t>CLPIBOR1M</t>
  </si>
  <si>
    <t>CLPIBOR1Y</t>
  </si>
  <si>
    <t>CLPIBOR2M</t>
  </si>
  <si>
    <t>CLPIBOR2Y</t>
  </si>
  <si>
    <t>CLPIBOR3M</t>
  </si>
  <si>
    <t>CLPIBOR3Y</t>
  </si>
  <si>
    <t>CLPIBOR5Y</t>
  </si>
  <si>
    <t>CLPIBOR6M</t>
  </si>
  <si>
    <t>CNHIBOR10Y</t>
  </si>
  <si>
    <t>CNHIBOR12M1J</t>
  </si>
  <si>
    <t>CNHIBOR1M</t>
  </si>
  <si>
    <t>CNHIBOR1W</t>
  </si>
  <si>
    <t>CNHIBOR1Y</t>
  </si>
  <si>
    <t>CNHIBOR2M</t>
  </si>
  <si>
    <t>CNHIBOR2W</t>
  </si>
  <si>
    <t>CNHIBOR2Y</t>
  </si>
  <si>
    <t>CNHIBOR3M</t>
  </si>
  <si>
    <t>CNHIBOR3Y</t>
  </si>
  <si>
    <t>CNHIBOR4Y</t>
  </si>
  <si>
    <t>CNHIBOR5Y</t>
  </si>
  <si>
    <t>CNHIBOR6M</t>
  </si>
  <si>
    <t>CNHIBOR7Y</t>
  </si>
  <si>
    <t>CZKIBOR10Y</t>
  </si>
  <si>
    <t>CZKIBOR12Y</t>
  </si>
  <si>
    <t>CZKIBOR15Y</t>
  </si>
  <si>
    <t>CZKIBOR1M</t>
  </si>
  <si>
    <t>CZKIBOR1W</t>
  </si>
  <si>
    <t>CZKIBOR1Y</t>
  </si>
  <si>
    <t>CZKIBOR20Y</t>
  </si>
  <si>
    <t>CZKIBOR2M</t>
  </si>
  <si>
    <t>CZKIBOR2W</t>
  </si>
  <si>
    <t>CZKIBOR2Y</t>
  </si>
  <si>
    <t>CZKIBOR3Y</t>
  </si>
  <si>
    <t>CZKIBOR4Y</t>
  </si>
  <si>
    <t>CZKIBOR5Y</t>
  </si>
  <si>
    <t>CZKIBOR6Y</t>
  </si>
  <si>
    <t>CZKIBOR7Y</t>
  </si>
  <si>
    <t>CZKIBOR8Y</t>
  </si>
  <si>
    <t>CZKIBOR9M</t>
  </si>
  <si>
    <t>CZKIBOR9Y</t>
  </si>
  <si>
    <t>DKKCIBOR10M</t>
  </si>
  <si>
    <t>DKKCIBOR10Y</t>
  </si>
  <si>
    <t>DKKCIBOR11M</t>
  </si>
  <si>
    <t>DKKCIBOR1W</t>
  </si>
  <si>
    <t>DKKCIBOR2M</t>
  </si>
  <si>
    <t>DKKCIBOR2W</t>
  </si>
  <si>
    <t>DKKCIBOR2Y</t>
  </si>
  <si>
    <t>DKKCIBOR3Y</t>
  </si>
  <si>
    <t>DKKCIBOR4M</t>
  </si>
  <si>
    <t>DKKCIBOR4Y</t>
  </si>
  <si>
    <t>DKKCIBOR5M</t>
  </si>
  <si>
    <t>DKKCIBOR5Y</t>
  </si>
  <si>
    <t>DKKCIBOR6Y</t>
  </si>
  <si>
    <t>DKKCIBOR7M</t>
  </si>
  <si>
    <t>DKKCIBOR7Y</t>
  </si>
  <si>
    <t>DKKCIBOR8M</t>
  </si>
  <si>
    <t>DKKCIBOR8Y</t>
  </si>
  <si>
    <t>DKKCIBOR9M</t>
  </si>
  <si>
    <t>DKKCIBOR9Y</t>
  </si>
  <si>
    <t>TXUSPART50Y</t>
  </si>
  <si>
    <t>TXUSUPART</t>
  </si>
  <si>
    <t>TXUSPMAAI50Y</t>
  </si>
  <si>
    <t>TXUSUPMAAI</t>
  </si>
  <si>
    <t>TXUSPMSAI50Y</t>
  </si>
  <si>
    <t>TXUSUPMSAI</t>
  </si>
  <si>
    <t>EURFDR1D</t>
  </si>
  <si>
    <t>EURFDR50Y</t>
  </si>
  <si>
    <t>EURIB6MM-2</t>
  </si>
  <si>
    <t>EURIB12M1J</t>
  </si>
  <si>
    <t>EURINFM-2</t>
  </si>
  <si>
    <t>EURLIVBBT</t>
  </si>
  <si>
    <t>TX_ER1D</t>
  </si>
  <si>
    <t>OIS10M</t>
  </si>
  <si>
    <t>OIS11M</t>
  </si>
  <si>
    <t>OIS12M</t>
  </si>
  <si>
    <t>OIS1M</t>
  </si>
  <si>
    <t>OIS2M</t>
  </si>
  <si>
    <t>OIS3M</t>
  </si>
  <si>
    <t>OIS4M</t>
  </si>
  <si>
    <t>OIS5M</t>
  </si>
  <si>
    <t>OIS6M</t>
  </si>
  <si>
    <t>OIS7M</t>
  </si>
  <si>
    <t>OIS8M</t>
  </si>
  <si>
    <t>OIS9M</t>
  </si>
  <si>
    <t>TCDAV95010M</t>
  </si>
  <si>
    <t>TCDAV95010Y</t>
  </si>
  <si>
    <t>TCDAV95011M</t>
  </si>
  <si>
    <t>TCDAV95012M</t>
  </si>
  <si>
    <t>TCDAV95012Y</t>
  </si>
  <si>
    <t>TCDAV95015Y</t>
  </si>
  <si>
    <t>TCDAV9501D</t>
  </si>
  <si>
    <t>TCDAV9501M</t>
  </si>
  <si>
    <t>TCDAV95020Y</t>
  </si>
  <si>
    <t>TCDAV95025Y</t>
  </si>
  <si>
    <t>TCDAV9502M</t>
  </si>
  <si>
    <t>TCDAV9502Y</t>
  </si>
  <si>
    <t>TCDAV95030Y</t>
  </si>
  <si>
    <t>TCDAV9503M</t>
  </si>
  <si>
    <t>TCDAV9503Y</t>
  </si>
  <si>
    <t>TCDAV95040Y</t>
  </si>
  <si>
    <t>TCDAV9504M</t>
  </si>
  <si>
    <t>TCDAV9504Y</t>
  </si>
  <si>
    <t>TCDAV95050Y</t>
  </si>
  <si>
    <t>TCDAV9505M</t>
  </si>
  <si>
    <t>TCDAV9505Y</t>
  </si>
  <si>
    <t>TCDAV9506M</t>
  </si>
  <si>
    <t>TCDAV9506Y</t>
  </si>
  <si>
    <t>TCDAV9507M</t>
  </si>
  <si>
    <t>TCDAV9507Y</t>
  </si>
  <si>
    <t>TCDAV9508M</t>
  </si>
  <si>
    <t>TCDAV9508Y</t>
  </si>
  <si>
    <t>TCDAV9509M</t>
  </si>
  <si>
    <t>TCDAV9509Y</t>
  </si>
  <si>
    <t>EURTREAS15Y</t>
  </si>
  <si>
    <t>EURTREAS2Y</t>
  </si>
  <si>
    <t>EURTREAS3Y</t>
  </si>
  <si>
    <t>EURTREAS4Y</t>
  </si>
  <si>
    <t>EURTREAS6Y</t>
  </si>
  <si>
    <t>EURTREAS7Y</t>
  </si>
  <si>
    <t>EURTREAS8Y</t>
  </si>
  <si>
    <t>EURTREAS9Y</t>
  </si>
  <si>
    <t>HKDHIBOR10M</t>
  </si>
  <si>
    <t>HKDHIBOR10Y</t>
  </si>
  <si>
    <t>HKDHIBOR11M</t>
  </si>
  <si>
    <t>HKDHIBOR1W</t>
  </si>
  <si>
    <t>HKDHIBOR1Y</t>
  </si>
  <si>
    <t>HKDHIBOR2M</t>
  </si>
  <si>
    <t>HKDHIBOR2Y</t>
  </si>
  <si>
    <t>HKDHIBOR3Y</t>
  </si>
  <si>
    <t>HKDHIBOR4M</t>
  </si>
  <si>
    <t>HKDHIBOR4Y</t>
  </si>
  <si>
    <t>HKDHIBOR5M</t>
  </si>
  <si>
    <t>HKDHIBOR5Y</t>
  </si>
  <si>
    <t>HKDHIBOR7M</t>
  </si>
  <si>
    <t>HKDHIBOR7Y</t>
  </si>
  <si>
    <t>HKDHIBOR8M</t>
  </si>
  <si>
    <t>HKDHIBOR9M</t>
  </si>
  <si>
    <t>HUFBUBOR10M</t>
  </si>
  <si>
    <t>HUFBUBOR10Y</t>
  </si>
  <si>
    <t>HUFBUBOR11M</t>
  </si>
  <si>
    <t>HUFBUBOR12Y</t>
  </si>
  <si>
    <t>HUFBUBOR15Y</t>
  </si>
  <si>
    <t>HUFBUBOR1W</t>
  </si>
  <si>
    <t>HUFBUBOR2M</t>
  </si>
  <si>
    <t>HUFBUBOR2W</t>
  </si>
  <si>
    <t>HUFBUBOR2Y</t>
  </si>
  <si>
    <t>HUFBUBOR3Y</t>
  </si>
  <si>
    <t>HUFBUBOR4M</t>
  </si>
  <si>
    <t>HUFBUBOR4Y</t>
  </si>
  <si>
    <t>HUFBUBOR5M</t>
  </si>
  <si>
    <t>HUFBUBOR5Y</t>
  </si>
  <si>
    <t>HUFBUBOR6Y</t>
  </si>
  <si>
    <t>HUFBUBOR7M</t>
  </si>
  <si>
    <t>HUFBUBOR7Y</t>
  </si>
  <si>
    <t>HUFBUBOR8M</t>
  </si>
  <si>
    <t>HUFBUBOR8Y</t>
  </si>
  <si>
    <t>HUFBUBOR9M</t>
  </si>
  <si>
    <t>HUFBUBOR9Y</t>
  </si>
  <si>
    <t>iCC</t>
  </si>
  <si>
    <t>IDRLIB50Y</t>
  </si>
  <si>
    <t>ILSIBOR10Y</t>
  </si>
  <si>
    <t>ILSIBOR12M</t>
  </si>
  <si>
    <t>ILSIBOR1M</t>
  </si>
  <si>
    <t>ILSIBOR1W</t>
  </si>
  <si>
    <t>ILSIBOR2M</t>
  </si>
  <si>
    <t>ILSIBOR2Y</t>
  </si>
  <si>
    <t>ILSIBOR3Y</t>
  </si>
  <si>
    <t>ILSIBOR5Y</t>
  </si>
  <si>
    <t>ILSIBOR6M</t>
  </si>
  <si>
    <t>ILSIBOR7Y</t>
  </si>
  <si>
    <t>ILSIBOR9M</t>
  </si>
  <si>
    <t>iNIKKEI225</t>
  </si>
  <si>
    <t>INRLIB50Y</t>
  </si>
  <si>
    <t>iPRBNC</t>
  </si>
  <si>
    <t>ISKIBOR12M</t>
  </si>
  <si>
    <t>ISKIBOR1M</t>
  </si>
  <si>
    <t>ISKIBOR1W</t>
  </si>
  <si>
    <t>ISKIBOR2M</t>
  </si>
  <si>
    <t>ISKIBOR2W</t>
  </si>
  <si>
    <t>ISKIBOR2Y</t>
  </si>
  <si>
    <t>ISKIBOR3M</t>
  </si>
  <si>
    <t>ISKIBOR3Y</t>
  </si>
  <si>
    <t>ISKIBOR4Y</t>
  </si>
  <si>
    <t>ISKIBOR5Y</t>
  </si>
  <si>
    <t>ISKIBOR6M</t>
  </si>
  <si>
    <t>ISKIBOR9M</t>
  </si>
  <si>
    <t>iSTOXX</t>
  </si>
  <si>
    <t>iTBBBAF</t>
  </si>
  <si>
    <t>iTBBBI</t>
  </si>
  <si>
    <t>iTBBCI</t>
  </si>
  <si>
    <t>iTBBICEC</t>
  </si>
  <si>
    <t>iTBBMOI</t>
  </si>
  <si>
    <t>iTBBNCEUR</t>
  </si>
  <si>
    <t>iTBBNCJPY</t>
  </si>
  <si>
    <t>iTBBNCNZD</t>
  </si>
  <si>
    <t>iTBBR</t>
  </si>
  <si>
    <t>iTBBTAUD</t>
  </si>
  <si>
    <t>iTBBTCAD</t>
  </si>
  <si>
    <t>iTBBTNZD</t>
  </si>
  <si>
    <t>iTRE</t>
  </si>
  <si>
    <t>JPYLIB1W</t>
  </si>
  <si>
    <t>KESDEPO10M</t>
  </si>
  <si>
    <t>KESDEPO11M</t>
  </si>
  <si>
    <t>KESDEPO12M</t>
  </si>
  <si>
    <t>KESDEPO1D</t>
  </si>
  <si>
    <t>KESDEPO1M</t>
  </si>
  <si>
    <t>KESDEPO1W</t>
  </si>
  <si>
    <t>KESDEPO2M</t>
  </si>
  <si>
    <t>KESDEPO3M</t>
  </si>
  <si>
    <t>KESDEPO4M</t>
  </si>
  <si>
    <t>KESDEPO5M</t>
  </si>
  <si>
    <t>KESDEPO6M</t>
  </si>
  <si>
    <t>KESDEPO7M</t>
  </si>
  <si>
    <t>KESDEPO8M</t>
  </si>
  <si>
    <t>KESDEPO9M</t>
  </si>
  <si>
    <t>KESTMM</t>
  </si>
  <si>
    <t>KRWLIB1M</t>
  </si>
  <si>
    <t>KRWLIB1Y</t>
  </si>
  <si>
    <t>KRWLIB2M</t>
  </si>
  <si>
    <t>KRWLIB3M</t>
  </si>
  <si>
    <t>KRWLIB6M</t>
  </si>
  <si>
    <t>KRWLIB9M</t>
  </si>
  <si>
    <t>KZTDEPO1Y</t>
  </si>
  <si>
    <t>KZTDEPO9M</t>
  </si>
  <si>
    <t>KZTIBOR1D</t>
  </si>
  <si>
    <t>KZTIBOR1M</t>
  </si>
  <si>
    <t>KZTIBOR1W</t>
  </si>
  <si>
    <t>KZTIBOR2M</t>
  </si>
  <si>
    <t>KZTIBOR3M</t>
  </si>
  <si>
    <t>KZTIBOR6M</t>
  </si>
  <si>
    <t>VILIBOR1D</t>
  </si>
  <si>
    <t>VILIBOR1M</t>
  </si>
  <si>
    <t>VILIBOR1W</t>
  </si>
  <si>
    <t>VILIBOR1Y</t>
  </si>
  <si>
    <t>VILIBOR2W</t>
  </si>
  <si>
    <t>VILIBOR3M</t>
  </si>
  <si>
    <t>VILIBOR6M</t>
  </si>
  <si>
    <t>MADIBOR1Y</t>
  </si>
  <si>
    <t>MADIBOR2M</t>
  </si>
  <si>
    <t>MADIBOR3M</t>
  </si>
  <si>
    <t>MADIBOR6M</t>
  </si>
  <si>
    <t>MGADEPO12M</t>
  </si>
  <si>
    <t>MGADEPO1D</t>
  </si>
  <si>
    <t>iBCM</t>
  </si>
  <si>
    <t>MMKIBB1D</t>
  </si>
  <si>
    <t>MMKIBB50Y</t>
  </si>
  <si>
    <t>MXNLIB1M</t>
  </si>
  <si>
    <t>MXNLIB1Y</t>
  </si>
  <si>
    <t>MXNLIB2M</t>
  </si>
  <si>
    <t>MXNLIB2Y</t>
  </si>
  <si>
    <t>MXNLIB3M</t>
  </si>
  <si>
    <t>MXNLIB3Y</t>
  </si>
  <si>
    <t>MXNLIB4Y</t>
  </si>
  <si>
    <t>MXNLIB5Y</t>
  </si>
  <si>
    <t>MXNLIB6M</t>
  </si>
  <si>
    <t>MXNLIB9M</t>
  </si>
  <si>
    <t>MYRLIB50Y</t>
  </si>
  <si>
    <t>NOKNIBOR10Y</t>
  </si>
  <si>
    <t>NOKNIBOR1Y</t>
  </si>
  <si>
    <t>NOKNIBOR2M</t>
  </si>
  <si>
    <t>NOKNIBOR2Y</t>
  </si>
  <si>
    <t>NOKNIBOR3Y</t>
  </si>
  <si>
    <t>NOKNIBOR4M</t>
  </si>
  <si>
    <t>NOKNIBOR4Y</t>
  </si>
  <si>
    <t>NOKNIBOR5M</t>
  </si>
  <si>
    <t>NOKNIBOR5Y</t>
  </si>
  <si>
    <t>NOKNIBOR6Y</t>
  </si>
  <si>
    <t>NOKNIBOR7Y</t>
  </si>
  <si>
    <t>NOKNIBOR8Y</t>
  </si>
  <si>
    <t>NOKNIBOR9M</t>
  </si>
  <si>
    <t>NOKNIBOR9Y</t>
  </si>
  <si>
    <t>NZDBA10M</t>
  </si>
  <si>
    <t>NZDBA10Y</t>
  </si>
  <si>
    <t>NZDBA11M</t>
  </si>
  <si>
    <t>NZDBA15Y</t>
  </si>
  <si>
    <t>NZDBA1W</t>
  </si>
  <si>
    <t>NZDBA1Y</t>
  </si>
  <si>
    <t>NZDBA20Y</t>
  </si>
  <si>
    <t>NZDBA2M</t>
  </si>
  <si>
    <t>NZDBA2Y</t>
  </si>
  <si>
    <t>NZDBA30Y</t>
  </si>
  <si>
    <t>NZDBA3Y</t>
  </si>
  <si>
    <t>NZDBA4Y</t>
  </si>
  <si>
    <t>NZDBA5M</t>
  </si>
  <si>
    <t>NZDBA5Y</t>
  </si>
  <si>
    <t>NZDBA6M</t>
  </si>
  <si>
    <t>NZDBA6Y</t>
  </si>
  <si>
    <t>NZDBA7M</t>
  </si>
  <si>
    <t>NZDBA7Y</t>
  </si>
  <si>
    <t>NZDBA8M</t>
  </si>
  <si>
    <t>NZDBA8Y</t>
  </si>
  <si>
    <t>NZDBA9M</t>
  </si>
  <si>
    <t>NZDBA9Y</t>
  </si>
  <si>
    <t>PLNIBOR10Y</t>
  </si>
  <si>
    <t>PLNIBOR12M</t>
  </si>
  <si>
    <t>PLNIBOR12Y</t>
  </si>
  <si>
    <t>PLNIBOR15Y</t>
  </si>
  <si>
    <t>PLNIBOR1W</t>
  </si>
  <si>
    <t>PLNIBOR20Y</t>
  </si>
  <si>
    <t>PLNIBOR2W</t>
  </si>
  <si>
    <t>PLNIBOR2Y</t>
  </si>
  <si>
    <t>PLNIBOR3Y</t>
  </si>
  <si>
    <t>PLNIBOR4Y</t>
  </si>
  <si>
    <t>PLNIBOR5Y</t>
  </si>
  <si>
    <t>PLNIBOR6Y</t>
  </si>
  <si>
    <t>PLNIBOR7Y</t>
  </si>
  <si>
    <t>PLNIBOR8Y</t>
  </si>
  <si>
    <t>PLNIBOR9M</t>
  </si>
  <si>
    <t>PLNIBOR9Y</t>
  </si>
  <si>
    <t>QARLIB1D</t>
  </si>
  <si>
    <t>QARLIB1M</t>
  </si>
  <si>
    <t>QARLIB1Y</t>
  </si>
  <si>
    <t>QARLIB2M</t>
  </si>
  <si>
    <t>QARLIB3M</t>
  </si>
  <si>
    <t>QARLIB6M</t>
  </si>
  <si>
    <t>QARLIB9M</t>
  </si>
  <si>
    <t>RONLIB50Y</t>
  </si>
  <si>
    <t>RUBUBOR10M</t>
  </si>
  <si>
    <t>RUBUBOR10Y</t>
  </si>
  <si>
    <t>RUBUBOR11M</t>
  </si>
  <si>
    <t>RUBUBOR12Y</t>
  </si>
  <si>
    <t>RUBUBOR15Y</t>
  </si>
  <si>
    <t>RUBUBOR1M</t>
  </si>
  <si>
    <t>RUBUBOR1W</t>
  </si>
  <si>
    <t>RUBUBOR2M</t>
  </si>
  <si>
    <t>RUBUBOR2W</t>
  </si>
  <si>
    <t>RUBUBOR2Y</t>
  </si>
  <si>
    <t>RUBUBOR3Y</t>
  </si>
  <si>
    <t>RUBUBOR4M</t>
  </si>
  <si>
    <t>RUBUBOR4Y</t>
  </si>
  <si>
    <t>RUBUBOR5M</t>
  </si>
  <si>
    <t>RUBUBOR5Y</t>
  </si>
  <si>
    <t>RUBUBOR6M</t>
  </si>
  <si>
    <t>RUBUBOR6Y</t>
  </si>
  <si>
    <t>RUBUBOR7M</t>
  </si>
  <si>
    <t>RUBUBOR7Y</t>
  </si>
  <si>
    <t>RUBUBOR8M</t>
  </si>
  <si>
    <t>RUBUBOR8Y</t>
  </si>
  <si>
    <t>RUBUBOR9M</t>
  </si>
  <si>
    <t>RUBUBOR9Y</t>
  </si>
  <si>
    <t>SEKSTIBO10Y</t>
  </si>
  <si>
    <t>SEKSTIBO1W</t>
  </si>
  <si>
    <t>SEKSTIBO1Y</t>
  </si>
  <si>
    <t>SEKSTIBO2M</t>
  </si>
  <si>
    <t>SEKSTIBO2Y</t>
  </si>
  <si>
    <t>SEKSTIBO3Y</t>
  </si>
  <si>
    <t>SEKSTIBO4Y</t>
  </si>
  <si>
    <t>SEKSTIBO5Y</t>
  </si>
  <si>
    <t>SEKSTIBO6Y</t>
  </si>
  <si>
    <t>SEKSTIBO7Y</t>
  </si>
  <si>
    <t>SEKSTIBO8Y</t>
  </si>
  <si>
    <t>SEKSTIBO9Y</t>
  </si>
  <si>
    <t>SGDSIBOR10Y</t>
  </si>
  <si>
    <t>SGDSIBOR12Y</t>
  </si>
  <si>
    <t>SGDSIBOR15Y</t>
  </si>
  <si>
    <t>SGDSIBOR1Y</t>
  </si>
  <si>
    <t>SGDSIBOR20Y</t>
  </si>
  <si>
    <t>SGDSIBOR2M</t>
  </si>
  <si>
    <t>SGDSIBOR2Y</t>
  </si>
  <si>
    <t>SGDSIBOR3Y</t>
  </si>
  <si>
    <t>SGDSIBOR4Y</t>
  </si>
  <si>
    <t>SGDSIBOR6Y</t>
  </si>
  <si>
    <t>SGDSIBOR7Y</t>
  </si>
  <si>
    <t>SGDSIBOR9M</t>
  </si>
  <si>
    <t>THBIBOR10Y</t>
  </si>
  <si>
    <t>THBIBOR12M</t>
  </si>
  <si>
    <t>THBIBOR1M</t>
  </si>
  <si>
    <t>THBIBOR1W</t>
  </si>
  <si>
    <t>THBIBOR2M</t>
  </si>
  <si>
    <t>THBIBOR2Y</t>
  </si>
  <si>
    <t>THBIBOR3Y</t>
  </si>
  <si>
    <t>THBIBOR4Y</t>
  </si>
  <si>
    <t>THBIBOR5Y</t>
  </si>
  <si>
    <t>THBIBOR6M</t>
  </si>
  <si>
    <t>THBIBOR7Y</t>
  </si>
  <si>
    <t>THBIBOR9M</t>
  </si>
  <si>
    <t>TNDDEPO10M</t>
  </si>
  <si>
    <t>TNDDEPO11M</t>
  </si>
  <si>
    <t>TNDDEPO12M</t>
  </si>
  <si>
    <t>TNDDEPO1M</t>
  </si>
  <si>
    <t>TNDDEPO1W</t>
  </si>
  <si>
    <t>TNDDEPO2M</t>
  </si>
  <si>
    <t>TNDDEPO3M</t>
  </si>
  <si>
    <t>TNDDEPO4M</t>
  </si>
  <si>
    <t>TNDDEPO5M</t>
  </si>
  <si>
    <t>TNDDEPO6M</t>
  </si>
  <si>
    <t>TNDDEPO7M</t>
  </si>
  <si>
    <t>TNDDEPO8M</t>
  </si>
  <si>
    <t>TNDDEPO9M</t>
  </si>
  <si>
    <t>TRYIBOR1W</t>
  </si>
  <si>
    <t>TRYIBOR1Y</t>
  </si>
  <si>
    <t>TRYIBOR2M</t>
  </si>
  <si>
    <t>TRYIBOR2Y</t>
  </si>
  <si>
    <t>TRYIBOR3M</t>
  </si>
  <si>
    <t>TRYIBOR3Y</t>
  </si>
  <si>
    <t>TRYIBOR4Y</t>
  </si>
  <si>
    <t>TRYIBOR5Y</t>
  </si>
  <si>
    <t>TRYIBOR6M</t>
  </si>
  <si>
    <t>TRYIBOR9M</t>
  </si>
  <si>
    <t>TWDLIB1M</t>
  </si>
  <si>
    <t>TWDLIB1Y</t>
  </si>
  <si>
    <t>TWDLIB2M</t>
  </si>
  <si>
    <t>TWDLIB6M</t>
  </si>
  <si>
    <t>TWDLIB9M</t>
  </si>
  <si>
    <t>UGXIBOR10Y</t>
  </si>
  <si>
    <t>UGXIBOR12Y</t>
  </si>
  <si>
    <t>UGXIBOR1D</t>
  </si>
  <si>
    <t>UGXIBOR1M</t>
  </si>
  <si>
    <t>UGXIBOR1Y</t>
  </si>
  <si>
    <t>UGXIBOR2W</t>
  </si>
  <si>
    <t>UGXIBOR3W</t>
  </si>
  <si>
    <t>UGXIBOR3Y</t>
  </si>
  <si>
    <t>UGXIBOR4Y</t>
  </si>
  <si>
    <t>UGXIBOR5Y</t>
  </si>
  <si>
    <t>UGXIBOR6M</t>
  </si>
  <si>
    <t>UGXIBOR6Y</t>
  </si>
  <si>
    <t>UGXIBOR7Y</t>
  </si>
  <si>
    <t>UGXIBOR8Y</t>
  </si>
  <si>
    <t>UGXIBOR9Y</t>
  </si>
  <si>
    <t>iTAO</t>
  </si>
  <si>
    <t>XOFDEPO10M</t>
  </si>
  <si>
    <t>XOFDEPO11M</t>
  </si>
  <si>
    <t>XOFDEPO12M</t>
  </si>
  <si>
    <t>XOFDEPO1D</t>
  </si>
  <si>
    <t>XOFDEPO1M</t>
  </si>
  <si>
    <t>XOFDEPO1W</t>
  </si>
  <si>
    <t>XOFDEPO2M</t>
  </si>
  <si>
    <t>XOFDEPO3M</t>
  </si>
  <si>
    <t>XOFDEPO4M</t>
  </si>
  <si>
    <t>XOFDEPO5M</t>
  </si>
  <si>
    <t>XOFDEPO6M</t>
  </si>
  <si>
    <t>XOFDEPO7M</t>
  </si>
  <si>
    <t>XOFDEPO8M</t>
  </si>
  <si>
    <t>XOFDEPO9M</t>
  </si>
  <si>
    <t>XOFTMM</t>
  </si>
  <si>
    <t>ZARLIB10Y</t>
  </si>
  <si>
    <t>ZARLIB12M</t>
  </si>
  <si>
    <t>ZARLIB12Y</t>
  </si>
  <si>
    <t>ZARLIB15Y</t>
  </si>
  <si>
    <t>ZARLIB20Y</t>
  </si>
  <si>
    <t>ZARLIB25Y</t>
  </si>
  <si>
    <t>ZARLIB2M</t>
  </si>
  <si>
    <t>ZARLIB2Y</t>
  </si>
  <si>
    <t>ZARLIB30Y</t>
  </si>
  <si>
    <t>ZARLIB3Y</t>
  </si>
  <si>
    <t>ZARLIB4Y</t>
  </si>
  <si>
    <t>ZARLIB5Y</t>
  </si>
  <si>
    <t>ZARLIB6M</t>
  </si>
  <si>
    <t>ZARLIB6Y</t>
  </si>
  <si>
    <t>ZARLIB7Y</t>
  </si>
  <si>
    <t>ZARLIB8Y</t>
  </si>
  <si>
    <t>ZARLIB9M</t>
  </si>
  <si>
    <t>ZARLIB9Y</t>
  </si>
  <si>
    <t>XAFDEPO1D</t>
  </si>
  <si>
    <t>XAFDEPO1M</t>
  </si>
  <si>
    <t>XAFDEPO2M</t>
  </si>
  <si>
    <t>XAFDEPO10M</t>
  </si>
  <si>
    <t>XAFDEPO11M</t>
  </si>
  <si>
    <t>XAFDEPO12M</t>
  </si>
  <si>
    <t>XAFDEPO3M</t>
  </si>
  <si>
    <t>XAFDEPO4M</t>
  </si>
  <si>
    <t>XAFDEPO5M</t>
  </si>
  <si>
    <t>XAFDEPO6M</t>
  </si>
  <si>
    <t>XAFDEPO1W</t>
  </si>
  <si>
    <t>XAFDEPO7M</t>
  </si>
  <si>
    <t>XAFDEPO8M</t>
  </si>
  <si>
    <t>XAFDEPO9M</t>
  </si>
  <si>
    <t>['6M','1D']</t>
  </si>
  <si>
    <t>['3M','1D']</t>
  </si>
  <si>
    <t>['ALL','ALL']</t>
  </si>
  <si>
    <t>C:\Users\HOSSAYNE\Documents\BPCE_ARCHIVES\SOURCES\SOURCES_RCO_2022_v3 -360 - ME\2023-09</t>
  </si>
  <si>
    <t>XPFCEL</t>
  </si>
  <si>
    <t>XPFTLJ</t>
  </si>
  <si>
    <t>STOCK CAP &amp; FLOOR</t>
  </si>
  <si>
    <t>STOCK ECH CR IMMO TF</t>
  </si>
  <si>
    <t>STOCK ECH CR IMMO TV</t>
  </si>
  <si>
    <t>STOCK ECH PRETS PERSO TF</t>
  </si>
  <si>
    <t>STOCK ECH PRETS PERSO TV</t>
  </si>
  <si>
    <t>STOCK ECH PRETS INTBQ TF</t>
  </si>
  <si>
    <t>STOCK ECH PRETS INTBQ TV</t>
  </si>
  <si>
    <t>STOCK ECH EMPRUNTS INTBQ TF</t>
  </si>
  <si>
    <t>STOCK ECH EMPRUNTS INTBQ TV</t>
  </si>
  <si>
    <t>STOCK ECH COMPTES A TERMES TF</t>
  </si>
  <si>
    <t>STOCK ECH COMPTES A TERMES TV</t>
  </si>
  <si>
    <t>STOCK ECH AUTRES ACTIFS TF</t>
  </si>
  <si>
    <t>STOCK ECH AUTRES ACTIFS TV</t>
  </si>
  <si>
    <t>STOCK ECH AUTRES PASSIFS TF</t>
  </si>
  <si>
    <t>STOCK ECH AUTRES PASSIFS TV</t>
  </si>
  <si>
    <t>STOCK ECH PRÊTS PTZ</t>
  </si>
  <si>
    <t>STOCK TOUT ECH (TRES LONG)</t>
  </si>
  <si>
    <t>STOCK TOUT ECH FIXE (TRES LONG)</t>
  </si>
  <si>
    <t>STOCK TOUT ECH VARIABLE</t>
  </si>
  <si>
    <t>SC CALCULATEUR</t>
  </si>
  <si>
    <t>TYPE PRODUIT</t>
  </si>
  <si>
    <t>PERIODE AMOR</t>
  </si>
  <si>
    <t>PERIODE INTERETS</t>
  </si>
  <si>
    <t>PROFIL AMOR</t>
  </si>
  <si>
    <t>BASE CALC</t>
  </si>
  <si>
    <t>M1EURIB1M</t>
  </si>
  <si>
    <t>M1EURIB3M</t>
  </si>
  <si>
    <t>M1EURIB6M</t>
  </si>
  <si>
    <t>M1EURIB1Y</t>
  </si>
  <si>
    <t>M3EURIB3M</t>
  </si>
  <si>
    <t>M3EURIB1Y</t>
  </si>
  <si>
    <t>MG12EURIB1Y</t>
  </si>
  <si>
    <t>MG3EURIB3M</t>
  </si>
  <si>
    <t>CMS3M</t>
  </si>
  <si>
    <t>CMS6M</t>
  </si>
  <si>
    <t>CMS1Y</t>
  </si>
  <si>
    <t>CMS2Y</t>
  </si>
  <si>
    <t>CMS3Y</t>
  </si>
  <si>
    <t>CMS4Y</t>
  </si>
  <si>
    <t>CMS5Y</t>
  </si>
  <si>
    <t>CMS6Y</t>
  </si>
  <si>
    <t>CMS7Y</t>
  </si>
  <si>
    <t>CMS8Y</t>
  </si>
  <si>
    <t>CMS9Y</t>
  </si>
  <si>
    <t>CMS10Y</t>
  </si>
  <si>
    <t>CMS12Y</t>
  </si>
  <si>
    <t>CMS15Y</t>
  </si>
  <si>
    <t>CMS20Y</t>
  </si>
  <si>
    <t>CMS25Y</t>
  </si>
  <si>
    <t>CMS30Y</t>
  </si>
  <si>
    <t>USDSP-1D</t>
  </si>
  <si>
    <t>USDSP-1M</t>
  </si>
  <si>
    <t>USDSP-2M</t>
  </si>
  <si>
    <t>USDSP-3M</t>
  </si>
  <si>
    <t>USDSP-4M</t>
  </si>
  <si>
    <t>USDSP-5M</t>
  </si>
  <si>
    <t>USDSP-6M</t>
  </si>
  <si>
    <t>USDSP-7M</t>
  </si>
  <si>
    <t>USDSP-8M</t>
  </si>
  <si>
    <t>USDSP-9M</t>
  </si>
  <si>
    <t>USDSP-10M</t>
  </si>
  <si>
    <t>USDSP-11M</t>
  </si>
  <si>
    <t>USDSP-1Y</t>
  </si>
  <si>
    <t>USDSP-2Y</t>
  </si>
  <si>
    <t>USDSP-3Y</t>
  </si>
  <si>
    <t>USDSP-4Y</t>
  </si>
  <si>
    <t>USDSP-5Y</t>
  </si>
  <si>
    <t>USDSP-6Y</t>
  </si>
  <si>
    <t>USDSP-7Y</t>
  </si>
  <si>
    <t>USDSP-8Y</t>
  </si>
  <si>
    <t>USDSP-9Y</t>
  </si>
  <si>
    <t>USDSP-10Y</t>
  </si>
  <si>
    <t>USDSP-12Y</t>
  </si>
  <si>
    <t>USDSP-15Y</t>
  </si>
  <si>
    <t>USDSP-20Y</t>
  </si>
  <si>
    <t>USDSP-25Y</t>
  </si>
  <si>
    <t>USDSP-30Y</t>
  </si>
  <si>
    <t>M1CHFLIB1M</t>
  </si>
  <si>
    <t>CHFSP-1D</t>
  </si>
  <si>
    <t>CHFSP-1M</t>
  </si>
  <si>
    <t>CHFSP-2M</t>
  </si>
  <si>
    <t>CHFSP-3M</t>
  </si>
  <si>
    <t>CHFSP-4M</t>
  </si>
  <si>
    <t>CHFSP-5M</t>
  </si>
  <si>
    <t>CHFSP-6M</t>
  </si>
  <si>
    <t>CHFSP-7M</t>
  </si>
  <si>
    <t>CHFSP-8M</t>
  </si>
  <si>
    <t>CHFSP-9M</t>
  </si>
  <si>
    <t>CHFSP-10M</t>
  </si>
  <si>
    <t>CHFSP-11M</t>
  </si>
  <si>
    <t>CHFSP-1Y</t>
  </si>
  <si>
    <t>CHFSP-2Y</t>
  </si>
  <si>
    <t>CHFSP-3Y</t>
  </si>
  <si>
    <t>CHFSP-4Y</t>
  </si>
  <si>
    <t>CHFSP-5Y</t>
  </si>
  <si>
    <t>CHFSP-6Y</t>
  </si>
  <si>
    <t>CHFSP-7Y</t>
  </si>
  <si>
    <t>CHFSP-8Y</t>
  </si>
  <si>
    <t>CHFSP-9Y</t>
  </si>
  <si>
    <t>CHFSP-10Y</t>
  </si>
  <si>
    <t>CHFSP-12Y</t>
  </si>
  <si>
    <t>CHFSP-15Y</t>
  </si>
  <si>
    <t>CHFSP-20Y</t>
  </si>
  <si>
    <t>CHFSP-25Y</t>
  </si>
  <si>
    <t>CHFSP-30Y</t>
  </si>
  <si>
    <t>NZDSP-1D</t>
  </si>
  <si>
    <t>NZDSP-1M</t>
  </si>
  <si>
    <t>NZDSP-2M</t>
  </si>
  <si>
    <t>NZDSP-3M</t>
  </si>
  <si>
    <t>NZDSP-4M</t>
  </si>
  <si>
    <t>NZDSP-5M</t>
  </si>
  <si>
    <t>NZDSP-6M</t>
  </si>
  <si>
    <t>NZDSP-7M</t>
  </si>
  <si>
    <t>NZDSP-8M</t>
  </si>
  <si>
    <t>NZDSP-9M</t>
  </si>
  <si>
    <t>NZDSP-10M</t>
  </si>
  <si>
    <t>NZDSP-11M</t>
  </si>
  <si>
    <t>NZDSP-1Y</t>
  </si>
  <si>
    <t>NZDSP-2Y</t>
  </si>
  <si>
    <t>NZDSP-3Y</t>
  </si>
  <si>
    <t>NZDSP-4Y</t>
  </si>
  <si>
    <t>NZDSP-5Y</t>
  </si>
  <si>
    <t>NZDSP-6Y</t>
  </si>
  <si>
    <t>NZDSP-7Y</t>
  </si>
  <si>
    <t>NZDSP-8Y</t>
  </si>
  <si>
    <t>NZDSP-9Y</t>
  </si>
  <si>
    <t>NZDSP-10Y</t>
  </si>
  <si>
    <t>NZDSP-15Y</t>
  </si>
  <si>
    <t>NZDSP-20Y</t>
  </si>
  <si>
    <t>NZDSP-30Y</t>
  </si>
  <si>
    <t>AUDSP-1D</t>
  </si>
  <si>
    <t>AUDSP-1M</t>
  </si>
  <si>
    <t>AUDSP-2M</t>
  </si>
  <si>
    <t>AUDSP-3M</t>
  </si>
  <si>
    <t>AUDSP-4M</t>
  </si>
  <si>
    <t>AUDSP-5M</t>
  </si>
  <si>
    <t>AUDSP-6M</t>
  </si>
  <si>
    <t>AUDSP-7M</t>
  </si>
  <si>
    <t>AUDSP-8M</t>
  </si>
  <si>
    <t>AUDSP-9M</t>
  </si>
  <si>
    <t>AUDSP-10M</t>
  </si>
  <si>
    <t>AUDSP-11M</t>
  </si>
  <si>
    <t>AUDSP-1Y</t>
  </si>
  <si>
    <t>AUDSP-2Y</t>
  </si>
  <si>
    <t>AUDSP-3Y</t>
  </si>
  <si>
    <t>AUDSP-4Y</t>
  </si>
  <si>
    <t>AUDSP-5Y</t>
  </si>
  <si>
    <t>AUDSP-6Y</t>
  </si>
  <si>
    <t>AUDSP-7Y</t>
  </si>
  <si>
    <t>AUDSP-8Y</t>
  </si>
  <si>
    <t>AUDSP-9Y</t>
  </si>
  <si>
    <t>AUDSP-10Y</t>
  </si>
  <si>
    <t>AUDSP-12Y</t>
  </si>
  <si>
    <t>AUDSP-15Y</t>
  </si>
  <si>
    <t>AUDSP-20Y</t>
  </si>
  <si>
    <t>AUDSP-25Y</t>
  </si>
  <si>
    <t>AUDSP-30Y</t>
  </si>
  <si>
    <t>GBPSP-1D</t>
  </si>
  <si>
    <t>GBPSP-1M</t>
  </si>
  <si>
    <t>GBPSP-2M</t>
  </si>
  <si>
    <t>GBPSP-3M</t>
  </si>
  <si>
    <t>GBPSP-4M</t>
  </si>
  <si>
    <t>GBPSP-5M</t>
  </si>
  <si>
    <t>GBPSP-6M</t>
  </si>
  <si>
    <t>GBPSP-7M</t>
  </si>
  <si>
    <t>GBPSP-8M</t>
  </si>
  <si>
    <t>GBPSP-9M</t>
  </si>
  <si>
    <t>GBPSP-10M</t>
  </si>
  <si>
    <t>GBPSP-11M</t>
  </si>
  <si>
    <t>GBPSP-1Y</t>
  </si>
  <si>
    <t>GBPSP-2Y</t>
  </si>
  <si>
    <t>GBPSP-3Y</t>
  </si>
  <si>
    <t>GBPSP-4Y</t>
  </si>
  <si>
    <t>GBPSP-5Y</t>
  </si>
  <si>
    <t>GBPSP-6Y</t>
  </si>
  <si>
    <t>GBPSP-7Y</t>
  </si>
  <si>
    <t>GBPSP-8Y</t>
  </si>
  <si>
    <t>GBPSP-9Y</t>
  </si>
  <si>
    <t>GBPSP-10Y</t>
  </si>
  <si>
    <t>GBPSP-12Y</t>
  </si>
  <si>
    <t>GBPSP-15Y</t>
  </si>
  <si>
    <t>GBPSP-20Y</t>
  </si>
  <si>
    <t>GBPSP-25Y</t>
  </si>
  <si>
    <t>GBPSP-30Y</t>
  </si>
  <si>
    <t>JPYSP-1D</t>
  </si>
  <si>
    <t>JPYSP-1M</t>
  </si>
  <si>
    <t>JPYSP-2M</t>
  </si>
  <si>
    <t>JPYSP-3M</t>
  </si>
  <si>
    <t>JPYSP-4M</t>
  </si>
  <si>
    <t>JPYSP-5M</t>
  </si>
  <si>
    <t>JPYSP-6M</t>
  </si>
  <si>
    <t>JPYSP-7M</t>
  </si>
  <si>
    <t>JPYSP-8M</t>
  </si>
  <si>
    <t>JPYSP-9M</t>
  </si>
  <si>
    <t>JPYSP-10M</t>
  </si>
  <si>
    <t>JPYSP-11M</t>
  </si>
  <si>
    <t>JPYSP-1Y</t>
  </si>
  <si>
    <t>JPYSP-2Y</t>
  </si>
  <si>
    <t>JPYSP-3Y</t>
  </si>
  <si>
    <t>JPYSP-4Y</t>
  </si>
  <si>
    <t>JPYSP-5Y</t>
  </si>
  <si>
    <t>JPYSP-6Y</t>
  </si>
  <si>
    <t>JPYSP-7Y</t>
  </si>
  <si>
    <t>JPYSP-8Y</t>
  </si>
  <si>
    <t>JPYSP-9Y</t>
  </si>
  <si>
    <t>JPYSP-10Y</t>
  </si>
  <si>
    <t>JPYSP-12Y</t>
  </si>
  <si>
    <t>JPYSP-15Y</t>
  </si>
  <si>
    <t>JPYSP-20Y</t>
  </si>
  <si>
    <t>JPYSP-25Y</t>
  </si>
  <si>
    <t>JPYSP-30Y</t>
  </si>
  <si>
    <t>CNYIBOR3M</t>
  </si>
  <si>
    <t>RUBUBOR12M</t>
  </si>
  <si>
    <t>XAFIBOR1D</t>
  </si>
  <si>
    <t>XAFIBOR1M</t>
  </si>
  <si>
    <t>XAFIBOR2M</t>
  </si>
  <si>
    <t>XAFIBOR3M</t>
  </si>
  <si>
    <t>XAFIBOR4M</t>
  </si>
  <si>
    <t>XAFIBOR5M</t>
  </si>
  <si>
    <t>XAFIBOR6M</t>
  </si>
  <si>
    <t>XAFIBOR9M</t>
  </si>
  <si>
    <t>XAFIBOR12M</t>
  </si>
  <si>
    <t>XAFIBOR2Y</t>
  </si>
  <si>
    <t>XAFIBOR3Y</t>
  </si>
  <si>
    <t>XAFIBOR4Y</t>
  </si>
  <si>
    <t>XAFIBOR5Y</t>
  </si>
  <si>
    <t>XAFIBOR6Y</t>
  </si>
  <si>
    <t>XAFIBOR7Y</t>
  </si>
  <si>
    <t>XAFIBOR8Y</t>
  </si>
  <si>
    <t>XAFIBOR9Y</t>
  </si>
  <si>
    <t>XAFIBOR10Y</t>
  </si>
  <si>
    <t>AONIAFLB1M</t>
  </si>
  <si>
    <t>AONIAFLB2M</t>
  </si>
  <si>
    <t>AONIAFLB3M</t>
  </si>
  <si>
    <t>AONIAFLB4M</t>
  </si>
  <si>
    <t>AONIAFLB5M</t>
  </si>
  <si>
    <t>AONIAFLB6M</t>
  </si>
  <si>
    <t>AONIAFLB7M</t>
  </si>
  <si>
    <t>AONIAFLB8M</t>
  </si>
  <si>
    <t>AONIAFLB9M</t>
  </si>
  <si>
    <t>AONIAFLB10M</t>
  </si>
  <si>
    <t>AONIAFLB11M</t>
  </si>
  <si>
    <t>AONIAFLB1Y</t>
  </si>
  <si>
    <t>CORRAFLB1M</t>
  </si>
  <si>
    <t>CORRAFLB2M</t>
  </si>
  <si>
    <t>CORRAFLB3M</t>
  </si>
  <si>
    <t>CORRAFLB4M</t>
  </si>
  <si>
    <t>CORRAFLB5M</t>
  </si>
  <si>
    <t>CORRAFLB6M</t>
  </si>
  <si>
    <t>CORRAFLB7M</t>
  </si>
  <si>
    <t>CORRAFLB8M</t>
  </si>
  <si>
    <t>CORRAFLB9M</t>
  </si>
  <si>
    <t>CORRAFLB10M</t>
  </si>
  <si>
    <t>CORRAFLB11M</t>
  </si>
  <si>
    <t>CORRAFLB1Y</t>
  </si>
  <si>
    <t>EURACRD1D</t>
  </si>
  <si>
    <t>EURACRD1M</t>
  </si>
  <si>
    <t>EURACRD2M</t>
  </si>
  <si>
    <t>EURACRD3M</t>
  </si>
  <si>
    <t>EURACRD4M</t>
  </si>
  <si>
    <t>EURACRD5M</t>
  </si>
  <si>
    <t>EURACRD6M</t>
  </si>
  <si>
    <t>EURACRD7M</t>
  </si>
  <si>
    <t>EURACRD8M</t>
  </si>
  <si>
    <t>EURACRD9M</t>
  </si>
  <si>
    <t>EURACRD10M</t>
  </si>
  <si>
    <t>EURACRD11M</t>
  </si>
  <si>
    <t>EURACRD1Y</t>
  </si>
  <si>
    <t>EURACRD2Y</t>
  </si>
  <si>
    <t>EURACRD3Y</t>
  </si>
  <si>
    <t>EURACRD4Y</t>
  </si>
  <si>
    <t>EURACRD5Y</t>
  </si>
  <si>
    <t>EURACRD6Y</t>
  </si>
  <si>
    <t>EURACRD7Y</t>
  </si>
  <si>
    <t>EURACRD8Y</t>
  </si>
  <si>
    <t>EURACRD9Y</t>
  </si>
  <si>
    <t>EURACRD10Y</t>
  </si>
  <si>
    <t>EURACRD12Y</t>
  </si>
  <si>
    <t>EURACRD15Y</t>
  </si>
  <si>
    <t>EURACRD20Y</t>
  </si>
  <si>
    <t>EURACRD25Y</t>
  </si>
  <si>
    <t>EURACRD30Y</t>
  </si>
  <si>
    <t>XPFXPFIB1M</t>
  </si>
  <si>
    <t>XPFXPFIB3M</t>
  </si>
  <si>
    <t>XPFXPFIB6M</t>
  </si>
  <si>
    <t>XPFXPFIB1Y</t>
  </si>
  <si>
    <t>M1BTAN3Y</t>
  </si>
  <si>
    <t>M1BTAN5Y</t>
  </si>
  <si>
    <t>USDBIDM1D</t>
  </si>
  <si>
    <t>USDBIDM1M</t>
  </si>
  <si>
    <t>USDBIDM2M</t>
  </si>
  <si>
    <t>USDBIDM3M</t>
  </si>
  <si>
    <t>USDBIDM4M</t>
  </si>
  <si>
    <t>USDBIDM5M</t>
  </si>
  <si>
    <t>USDBIDM6M</t>
  </si>
  <si>
    <t>USDBIDM7M</t>
  </si>
  <si>
    <t>USDBIDM8M</t>
  </si>
  <si>
    <t>USDBIDM9M</t>
  </si>
  <si>
    <t>USDBIDM10M</t>
  </si>
  <si>
    <t>USDBIDM11M</t>
  </si>
  <si>
    <t>USDBIDM1Y</t>
  </si>
  <si>
    <t>USDBIDM2Y</t>
  </si>
  <si>
    <t>USDBIDM3Y</t>
  </si>
  <si>
    <t>USDBIDM4Y</t>
  </si>
  <si>
    <t>USDBIDM5Y</t>
  </si>
  <si>
    <t>USDBIDM6Y</t>
  </si>
  <si>
    <t>USDBIDM7Y</t>
  </si>
  <si>
    <t>USDBIDM8Y</t>
  </si>
  <si>
    <t>USDBIDM9Y</t>
  </si>
  <si>
    <t>USDBIDM10Y</t>
  </si>
  <si>
    <t>USDBIDM12Y</t>
  </si>
  <si>
    <t>USDBIDM15Y</t>
  </si>
  <si>
    <t>USDBIDM20Y</t>
  </si>
  <si>
    <t>USDBIDM25Y</t>
  </si>
  <si>
    <t>USDBIDM30Y</t>
  </si>
  <si>
    <t>USDASKM1D</t>
  </si>
  <si>
    <t>USDASKM1M</t>
  </si>
  <si>
    <t>USDASKM2M</t>
  </si>
  <si>
    <t>USDASKM3M</t>
  </si>
  <si>
    <t>USDASKM4M</t>
  </si>
  <si>
    <t>USDASKM5M</t>
  </si>
  <si>
    <t>USDASKM6M</t>
  </si>
  <si>
    <t>USDASKM7M</t>
  </si>
  <si>
    <t>USDASKM8M</t>
  </si>
  <si>
    <t>USDASKM9M</t>
  </si>
  <si>
    <t>USDASKM10M</t>
  </si>
  <si>
    <t>USDASKM11M</t>
  </si>
  <si>
    <t>USDASKM1Y</t>
  </si>
  <si>
    <t>USDASKM2Y</t>
  </si>
  <si>
    <t>USDASKM3Y</t>
  </si>
  <si>
    <t>USDASKM4Y</t>
  </si>
  <si>
    <t>USDASKM5Y</t>
  </si>
  <si>
    <t>USDASKM6Y</t>
  </si>
  <si>
    <t>USDASKM7Y</t>
  </si>
  <si>
    <t>USDASKM8Y</t>
  </si>
  <si>
    <t>USDASKM9Y</t>
  </si>
  <si>
    <t>USDASKM10Y</t>
  </si>
  <si>
    <t>USDASKM12Y</t>
  </si>
  <si>
    <t>USDASKM15Y</t>
  </si>
  <si>
    <t>USDASKM20Y</t>
  </si>
  <si>
    <t>USDASKM25Y</t>
  </si>
  <si>
    <t>USDASKM30Y</t>
  </si>
  <si>
    <t>CHFASKM1D</t>
  </si>
  <si>
    <t>CHFASKM1M</t>
  </si>
  <si>
    <t>CHFASKM2M</t>
  </si>
  <si>
    <t>CHFASKM3M</t>
  </si>
  <si>
    <t>CHFASKM4M</t>
  </si>
  <si>
    <t>CHFASKM5M</t>
  </si>
  <si>
    <t>CHFASKM6M</t>
  </si>
  <si>
    <t>CHFASKM7M</t>
  </si>
  <si>
    <t>CHFASKM8M</t>
  </si>
  <si>
    <t>CHFASKM9M</t>
  </si>
  <si>
    <t>CHFASKM10M</t>
  </si>
  <si>
    <t>CHFASKM11M</t>
  </si>
  <si>
    <t>CHFASKM1Y</t>
  </si>
  <si>
    <t>CHFASKM2Y</t>
  </si>
  <si>
    <t>CHFASKM3Y</t>
  </si>
  <si>
    <t>CHFASKM4Y</t>
  </si>
  <si>
    <t>CHFASKM5Y</t>
  </si>
  <si>
    <t>CHFASKM6Y</t>
  </si>
  <si>
    <t>CHFASKM7Y</t>
  </si>
  <si>
    <t>CHFASKM8Y</t>
  </si>
  <si>
    <t>CHFASKM9Y</t>
  </si>
  <si>
    <t>CHFASKM10Y</t>
  </si>
  <si>
    <t>CHFASKM12Y</t>
  </si>
  <si>
    <t>CHFASKM15Y</t>
  </si>
  <si>
    <t>CHFASKM20Y</t>
  </si>
  <si>
    <t>CHFASKM25Y</t>
  </si>
  <si>
    <t>CHFASKM30Y</t>
  </si>
  <si>
    <t>NZDBIDM1D</t>
  </si>
  <si>
    <t>NZDBIDM1M</t>
  </si>
  <si>
    <t>NZDBIDM2M</t>
  </si>
  <si>
    <t>NZDBIDM3M</t>
  </si>
  <si>
    <t>NZDBIDM4M</t>
  </si>
  <si>
    <t>NZDBIDM5M</t>
  </si>
  <si>
    <t>NZDBIDM6M</t>
  </si>
  <si>
    <t>NZDBIDM7M</t>
  </si>
  <si>
    <t>NZDBIDM8M</t>
  </si>
  <si>
    <t>NZDBIDM9M</t>
  </si>
  <si>
    <t>NZDBIDM10M</t>
  </si>
  <si>
    <t>NZDBIDM11M</t>
  </si>
  <si>
    <t>NZDBIDM1Y</t>
  </si>
  <si>
    <t>NZDBIDM2Y</t>
  </si>
  <si>
    <t>NZDBIDM3Y</t>
  </si>
  <si>
    <t>NZDBIDM4Y</t>
  </si>
  <si>
    <t>NZDBIDM5Y</t>
  </si>
  <si>
    <t>NZDBIDM6Y</t>
  </si>
  <si>
    <t>NZDBIDM7Y</t>
  </si>
  <si>
    <t>NZDBIDM8Y</t>
  </si>
  <si>
    <t>NZDBIDM9Y</t>
  </si>
  <si>
    <t>NZDBIDM10Y</t>
  </si>
  <si>
    <t>NZDBIDM15Y</t>
  </si>
  <si>
    <t>NZDBIDM20Y</t>
  </si>
  <si>
    <t>NZDBIDM30Y</t>
  </si>
  <si>
    <t>NZDASKM1D</t>
  </si>
  <si>
    <t>NZDASKM1M</t>
  </si>
  <si>
    <t>NZDASKM2M</t>
  </si>
  <si>
    <t>NZDASKM3M</t>
  </si>
  <si>
    <t>NZDASKM4M</t>
  </si>
  <si>
    <t>NZDASKM5M</t>
  </si>
  <si>
    <t>NZDASKM6M</t>
  </si>
  <si>
    <t>NZDASKM7M</t>
  </si>
  <si>
    <t>NZDASKM8M</t>
  </si>
  <si>
    <t>NZDASKM9M</t>
  </si>
  <si>
    <t>NZDASKM10M</t>
  </si>
  <si>
    <t>NZDASKM11M</t>
  </si>
  <si>
    <t>NZDASKM1Y</t>
  </si>
  <si>
    <t>NZDASKM2Y</t>
  </si>
  <si>
    <t>NZDASKM3Y</t>
  </si>
  <si>
    <t>NZDASKM4Y</t>
  </si>
  <si>
    <t>NZDASKM5Y</t>
  </si>
  <si>
    <t>NZDASKM6Y</t>
  </si>
  <si>
    <t>NZDASKM7Y</t>
  </si>
  <si>
    <t>NZDASKM8Y</t>
  </si>
  <si>
    <t>NZDASKM9Y</t>
  </si>
  <si>
    <t>NZDASKM10Y</t>
  </si>
  <si>
    <t>NZDASKM15Y</t>
  </si>
  <si>
    <t>NZDASKM20Y</t>
  </si>
  <si>
    <t>NZDASKM30Y</t>
  </si>
  <si>
    <t>AUDBIDM1D</t>
  </si>
  <si>
    <t>AUDBIDM1M</t>
  </si>
  <si>
    <t>AUDBIDM2M</t>
  </si>
  <si>
    <t>AUDBIDM3M</t>
  </si>
  <si>
    <t>AUDBIDM4M</t>
  </si>
  <si>
    <t>AUDBIDM5M</t>
  </si>
  <si>
    <t>AUDBIDM6M</t>
  </si>
  <si>
    <t>AUDBIDM7M</t>
  </si>
  <si>
    <t>AUDBIDM8M</t>
  </si>
  <si>
    <t>AUDBIDM9M</t>
  </si>
  <si>
    <t>AUDBIDM10M</t>
  </si>
  <si>
    <t>AUDBIDM11M</t>
  </si>
  <si>
    <t>AUDBIDM1Y</t>
  </si>
  <si>
    <t>AUDBIDM2Y</t>
  </si>
  <si>
    <t>AUDBIDM3Y</t>
  </si>
  <si>
    <t>AUDBIDM4Y</t>
  </si>
  <si>
    <t>AUDBIDM5Y</t>
  </si>
  <si>
    <t>AUDBIDM6Y</t>
  </si>
  <si>
    <t>AUDBIDM7Y</t>
  </si>
  <si>
    <t>AUDBIDM8Y</t>
  </si>
  <si>
    <t>AUDBIDM9Y</t>
  </si>
  <si>
    <t>AUDBIDM10Y</t>
  </si>
  <si>
    <t>AUDBIDM15Y</t>
  </si>
  <si>
    <t>AUDBIDM20Y</t>
  </si>
  <si>
    <t>AUDBIDM30Y</t>
  </si>
  <si>
    <t>AUDASKM1D</t>
  </si>
  <si>
    <t>AUDASKM1M</t>
  </si>
  <si>
    <t>AUDASKM2M</t>
  </si>
  <si>
    <t>AUDASKM3M</t>
  </si>
  <si>
    <t>AUDASKM4M</t>
  </si>
  <si>
    <t>AUDASKM5M</t>
  </si>
  <si>
    <t>AUDASKM6M</t>
  </si>
  <si>
    <t>AUDASKM7M</t>
  </si>
  <si>
    <t>AUDASKM8M</t>
  </si>
  <si>
    <t>AUDASKM9M</t>
  </si>
  <si>
    <t>AUDASKM10M</t>
  </si>
  <si>
    <t>AUDASKM11M</t>
  </si>
  <si>
    <t>AUDASKM1Y</t>
  </si>
  <si>
    <t>AUDASKM2Y</t>
  </si>
  <si>
    <t>AUDASKM3Y</t>
  </si>
  <si>
    <t>AUDASKM4Y</t>
  </si>
  <si>
    <t>AUDASKM5Y</t>
  </si>
  <si>
    <t>AUDASKM6Y</t>
  </si>
  <si>
    <t>AUDASKM7Y</t>
  </si>
  <si>
    <t>AUDASKM8Y</t>
  </si>
  <si>
    <t>AUDASKM9Y</t>
  </si>
  <si>
    <t>AUDASKM10Y</t>
  </si>
  <si>
    <t>AUDASKM15Y</t>
  </si>
  <si>
    <t>AUDASKM20Y</t>
  </si>
  <si>
    <t>AUDASKM30Y</t>
  </si>
  <si>
    <t>CHFBIDM1D</t>
  </si>
  <si>
    <t>CHFBIDM1M</t>
  </si>
  <si>
    <t>CHFBIDM2M</t>
  </si>
  <si>
    <t>CHFBIDM3M</t>
  </si>
  <si>
    <t>CHFBIDM4M</t>
  </si>
  <si>
    <t>CHFBIDM5M</t>
  </si>
  <si>
    <t>CHFBIDM6M</t>
  </si>
  <si>
    <t>CHFBIDM7M</t>
  </si>
  <si>
    <t>CHFBIDM8M</t>
  </si>
  <si>
    <t>CHFBIDM9M</t>
  </si>
  <si>
    <t>CHFBIDM10M</t>
  </si>
  <si>
    <t>CHFBIDM11M</t>
  </si>
  <si>
    <t>CHFBIDM1Y</t>
  </si>
  <si>
    <t>CHFBIDM2Y</t>
  </si>
  <si>
    <t>CHFBIDM3Y</t>
  </si>
  <si>
    <t>CHFBIDM4Y</t>
  </si>
  <si>
    <t>CHFBIDM5Y</t>
  </si>
  <si>
    <t>CHFBIDM6Y</t>
  </si>
  <si>
    <t>CHFBIDM7Y</t>
  </si>
  <si>
    <t>CHFBIDM8Y</t>
  </si>
  <si>
    <t>CHFBIDM9Y</t>
  </si>
  <si>
    <t>CHFBIDM10Y</t>
  </si>
  <si>
    <t>CHFBIDM12Y</t>
  </si>
  <si>
    <t>CHFBIDM15Y</t>
  </si>
  <si>
    <t>CHFBIDM20Y</t>
  </si>
  <si>
    <t>CHFBIDM25Y</t>
  </si>
  <si>
    <t>CHFBIDM30Y</t>
  </si>
  <si>
    <t>GBPBIDM1D</t>
  </si>
  <si>
    <t>GBPBIDM1M</t>
  </si>
  <si>
    <t>GBPBIDM2M</t>
  </si>
  <si>
    <t>GBPBIDM3M</t>
  </si>
  <si>
    <t>GBPBIDM4M</t>
  </si>
  <si>
    <t>GBPBIDM5M</t>
  </si>
  <si>
    <t>GBPBIDM6M</t>
  </si>
  <si>
    <t>GBPBIDM7M</t>
  </si>
  <si>
    <t>GBPBIDM8M</t>
  </si>
  <si>
    <t>GBPBIDM9M</t>
  </si>
  <si>
    <t>GBPBIDM10M</t>
  </si>
  <si>
    <t>GBPBIDM11M</t>
  </si>
  <si>
    <t>GBPBIDM1Y</t>
  </si>
  <si>
    <t>GBPBIDM2Y</t>
  </si>
  <si>
    <t>GBPBIDM3Y</t>
  </si>
  <si>
    <t>GBPBIDM4Y</t>
  </si>
  <si>
    <t>GBPBIDM5Y</t>
  </si>
  <si>
    <t>GBPBIDM6Y</t>
  </si>
  <si>
    <t>GBPBIDM7Y</t>
  </si>
  <si>
    <t>GBPBIDM8Y</t>
  </si>
  <si>
    <t>GBPBIDM9Y</t>
  </si>
  <si>
    <t>GBPBIDM10Y</t>
  </si>
  <si>
    <t>GBPBIDM12Y</t>
  </si>
  <si>
    <t>GBPBIDM15Y</t>
  </si>
  <si>
    <t>GBPBIDM20Y</t>
  </si>
  <si>
    <t>GBPBIDM25Y</t>
  </si>
  <si>
    <t>GBPBIDM30Y</t>
  </si>
  <si>
    <t>GBPASKM1D</t>
  </si>
  <si>
    <t>GBPASKM1M</t>
  </si>
  <si>
    <t>GBPASKM2M</t>
  </si>
  <si>
    <t>GBPASKM3M</t>
  </si>
  <si>
    <t>GBPASKM4M</t>
  </si>
  <si>
    <t>GBPASKM5M</t>
  </si>
  <si>
    <t>GBPASKM6M</t>
  </si>
  <si>
    <t>GBPASKM7M</t>
  </si>
  <si>
    <t>GBPASKM8M</t>
  </si>
  <si>
    <t>GBPASKM9M</t>
  </si>
  <si>
    <t>GBPASKM10M</t>
  </si>
  <si>
    <t>GBPASKM11M</t>
  </si>
  <si>
    <t>GBPASKM1Y</t>
  </si>
  <si>
    <t>GBPASKM2Y</t>
  </si>
  <si>
    <t>GBPASKM3Y</t>
  </si>
  <si>
    <t>GBPASKM4Y</t>
  </si>
  <si>
    <t>GBPASKM5Y</t>
  </si>
  <si>
    <t>GBPASKM6Y</t>
  </si>
  <si>
    <t>GBPASKM7Y</t>
  </si>
  <si>
    <t>GBPASKM8Y</t>
  </si>
  <si>
    <t>GBPASKM9Y</t>
  </si>
  <si>
    <t>GBPASKM10Y</t>
  </si>
  <si>
    <t>GBPASKM12Y</t>
  </si>
  <si>
    <t>GBPASKM15Y</t>
  </si>
  <si>
    <t>GBPASKM20Y</t>
  </si>
  <si>
    <t>GBPASKM25Y</t>
  </si>
  <si>
    <t>GBPASKM30Y</t>
  </si>
  <si>
    <t>JPYBIDM1D</t>
  </si>
  <si>
    <t>JPYBIDM1M</t>
  </si>
  <si>
    <t>JPYBIDM2M</t>
  </si>
  <si>
    <t>JPYBIDM3M</t>
  </si>
  <si>
    <t>JPYBIDM4M</t>
  </si>
  <si>
    <t>JPYBIDM5M</t>
  </si>
  <si>
    <t>JPYBIDM6M</t>
  </si>
  <si>
    <t>JPYBIDM7M</t>
  </si>
  <si>
    <t>JPYBIDM8M</t>
  </si>
  <si>
    <t>JPYBIDM9M</t>
  </si>
  <si>
    <t>JPYBIDM10M</t>
  </si>
  <si>
    <t>JPYBIDM11M</t>
  </si>
  <si>
    <t>JPYBIDM1Y</t>
  </si>
  <si>
    <t>JPYBIDM2Y</t>
  </si>
  <si>
    <t>JPYBIDM3Y</t>
  </si>
  <si>
    <t>JPYBIDM4Y</t>
  </si>
  <si>
    <t>JPYBIDM5Y</t>
  </si>
  <si>
    <t>JPYBIDM6Y</t>
  </si>
  <si>
    <t>JPYBIDM7Y</t>
  </si>
  <si>
    <t>JPYBIDM8Y</t>
  </si>
  <si>
    <t>JPYBIDM9Y</t>
  </si>
  <si>
    <t>JPYBIDM10Y</t>
  </si>
  <si>
    <t>JPYBIDM12Y</t>
  </si>
  <si>
    <t>JPYBIDM15Y</t>
  </si>
  <si>
    <t>JPYBIDM20Y</t>
  </si>
  <si>
    <t>JPYBIDM25Y</t>
  </si>
  <si>
    <t>JPYBIDM30Y</t>
  </si>
  <si>
    <t>JPYASKM1D</t>
  </si>
  <si>
    <t>JPYASKM1M</t>
  </si>
  <si>
    <t>JPYASKM2M</t>
  </si>
  <si>
    <t>JPYASKM3M</t>
  </si>
  <si>
    <t>JPYASKM4M</t>
  </si>
  <si>
    <t>JPYASKM5M</t>
  </si>
  <si>
    <t>JPYASKM6M</t>
  </si>
  <si>
    <t>JPYASKM7M</t>
  </si>
  <si>
    <t>JPYASKM8M</t>
  </si>
  <si>
    <t>JPYASKM9M</t>
  </si>
  <si>
    <t>JPYASKM10M</t>
  </si>
  <si>
    <t>JPYASKM11M</t>
  </si>
  <si>
    <t>JPYASKM1Y</t>
  </si>
  <si>
    <t>JPYASKM2Y</t>
  </si>
  <si>
    <t>JPYASKM3Y</t>
  </si>
  <si>
    <t>JPYASKM4Y</t>
  </si>
  <si>
    <t>JPYASKM5Y</t>
  </si>
  <si>
    <t>JPYASKM6Y</t>
  </si>
  <si>
    <t>JPYASKM7Y</t>
  </si>
  <si>
    <t>JPYASKM8Y</t>
  </si>
  <si>
    <t>JPYASKM9Y</t>
  </si>
  <si>
    <t>JPYASKM10Y</t>
  </si>
  <si>
    <t>JPYASKM12Y</t>
  </si>
  <si>
    <t>JPYASKM15Y</t>
  </si>
  <si>
    <t>JPYASKM20Y</t>
  </si>
  <si>
    <t>JPYASKM25Y</t>
  </si>
  <si>
    <t>JPYASKM30Y</t>
  </si>
  <si>
    <t>CNYASKM1D</t>
  </si>
  <si>
    <t>CNYASKM1M</t>
  </si>
  <si>
    <t>CNYASKM2M</t>
  </si>
  <si>
    <t>CNYASKM3M</t>
  </si>
  <si>
    <t>CNYASKM4M</t>
  </si>
  <si>
    <t>CNYASKM5M</t>
  </si>
  <si>
    <t>CNYASKM6M</t>
  </si>
  <si>
    <t>CNYASKM7M</t>
  </si>
  <si>
    <t>CNYASKM8M</t>
  </si>
  <si>
    <t>CNYASKM9M</t>
  </si>
  <si>
    <t>CNYASKM10M</t>
  </si>
  <si>
    <t>CNYASKM11M</t>
  </si>
  <si>
    <t>CNYASKM1Y</t>
  </si>
  <si>
    <t>CNYASKM2Y</t>
  </si>
  <si>
    <t>CNYASKM3Y</t>
  </si>
  <si>
    <t>CNYASKM4Y</t>
  </si>
  <si>
    <t>CNYASKM5Y</t>
  </si>
  <si>
    <t>CNYASKM6Y</t>
  </si>
  <si>
    <t>CNYASKM7Y</t>
  </si>
  <si>
    <t>CNYASKM8Y</t>
  </si>
  <si>
    <t>CNYASKM9Y</t>
  </si>
  <si>
    <t>CNYASKM10Y</t>
  </si>
  <si>
    <t>CNYASKM15Y</t>
  </si>
  <si>
    <t>CNYASKM20Y</t>
  </si>
  <si>
    <t>CNYASKM30Y</t>
  </si>
  <si>
    <t>CNHBIDM1D</t>
  </si>
  <si>
    <t>CNHBIDM1M</t>
  </si>
  <si>
    <t>CNHBIDM2M</t>
  </si>
  <si>
    <t>CNHBIDM3M</t>
  </si>
  <si>
    <t>CNHBIDM4M</t>
  </si>
  <si>
    <t>CNHBIDM5M</t>
  </si>
  <si>
    <t>CNHBIDM6M</t>
  </si>
  <si>
    <t>CNHBIDM7M</t>
  </si>
  <si>
    <t>CNHBIDM8M</t>
  </si>
  <si>
    <t>CNHBIDM9M</t>
  </si>
  <si>
    <t>CNHBIDM10M</t>
  </si>
  <si>
    <t>CNHBIDM11M</t>
  </si>
  <si>
    <t>CNHBIDM1Y</t>
  </si>
  <si>
    <t>CNHBIDM2Y</t>
  </si>
  <si>
    <t>CNHBIDM3Y</t>
  </si>
  <si>
    <t>CNHBIDM4Y</t>
  </si>
  <si>
    <t>CNHBIDM5Y</t>
  </si>
  <si>
    <t>CNHBIDM6Y</t>
  </si>
  <si>
    <t>CNHBIDM7Y</t>
  </si>
  <si>
    <t>CNHBIDM8Y</t>
  </si>
  <si>
    <t>CNHBIDM9Y</t>
  </si>
  <si>
    <t>CNHBIDM10Y</t>
  </si>
  <si>
    <t>CNHBIDM15Y</t>
  </si>
  <si>
    <t>CNHBIDM20Y</t>
  </si>
  <si>
    <t>CNHBIDM30Y</t>
  </si>
  <si>
    <t>CNHASKM1D</t>
  </si>
  <si>
    <t>CNHASKM1M</t>
  </si>
  <si>
    <t>CNHASKM2M</t>
  </si>
  <si>
    <t>CNHASKM3M</t>
  </si>
  <si>
    <t>CNHASKM4M</t>
  </si>
  <si>
    <t>CNHASKM5M</t>
  </si>
  <si>
    <t>CNHASKM6M</t>
  </si>
  <si>
    <t>CNHASKM7M</t>
  </si>
  <si>
    <t>CNHASKM8M</t>
  </si>
  <si>
    <t>CNHASKM9M</t>
  </si>
  <si>
    <t>CNHASKM10M</t>
  </si>
  <si>
    <t>CNHASKM11M</t>
  </si>
  <si>
    <t>CNHASKM1Y</t>
  </si>
  <si>
    <t>CNHASKM2Y</t>
  </si>
  <si>
    <t>CNHASKM3Y</t>
  </si>
  <si>
    <t>CNHASKM4Y</t>
  </si>
  <si>
    <t>CNHASKM5Y</t>
  </si>
  <si>
    <t>CNHASKM6Y</t>
  </si>
  <si>
    <t>CNHASKM7Y</t>
  </si>
  <si>
    <t>CNHASKM8Y</t>
  </si>
  <si>
    <t>CNHASKM9Y</t>
  </si>
  <si>
    <t>CNHASKM10Y</t>
  </si>
  <si>
    <t>CNHASKM15Y</t>
  </si>
  <si>
    <t>CNHASKM20Y</t>
  </si>
  <si>
    <t>CNHASKM30Y</t>
  </si>
  <si>
    <t>CADBIDM1D</t>
  </si>
  <si>
    <t>CADBIDM1M</t>
  </si>
  <si>
    <t>CADBIDM2M</t>
  </si>
  <si>
    <t>CADBIDM3M</t>
  </si>
  <si>
    <t>CADBIDM4M</t>
  </si>
  <si>
    <t>CADBIDM5M</t>
  </si>
  <si>
    <t>CADBIDM6M</t>
  </si>
  <si>
    <t>CADBIDM7M</t>
  </si>
  <si>
    <t>CADBIDM8M</t>
  </si>
  <si>
    <t>CADBIDM9M</t>
  </si>
  <si>
    <t>CADBIDM10M</t>
  </si>
  <si>
    <t>CADBIDM11M</t>
  </si>
  <si>
    <t>CADBIDM1Y</t>
  </si>
  <si>
    <t>CADBIDM2Y</t>
  </si>
  <si>
    <t>CADBIDM3Y</t>
  </si>
  <si>
    <t>CADBIDM4Y</t>
  </si>
  <si>
    <t>CADBIDM5Y</t>
  </si>
  <si>
    <t>CADBIDM6Y</t>
  </si>
  <si>
    <t>CADBIDM7Y</t>
  </si>
  <si>
    <t>CADBIDM8Y</t>
  </si>
  <si>
    <t>CADBIDM9Y</t>
  </si>
  <si>
    <t>CADBIDM10Y</t>
  </si>
  <si>
    <t>CADBIDM15Y</t>
  </si>
  <si>
    <t>CADBIDM20Y</t>
  </si>
  <si>
    <t>CADBIDM30Y</t>
  </si>
  <si>
    <t>CADASKM1D</t>
  </si>
  <si>
    <t>CADASKM1M</t>
  </si>
  <si>
    <t>CADASKM2M</t>
  </si>
  <si>
    <t>CADASKM3M</t>
  </si>
  <si>
    <t>CADASKM4M</t>
  </si>
  <si>
    <t>CADASKM5M</t>
  </si>
  <si>
    <t>CADASKM6M</t>
  </si>
  <si>
    <t>CADASKM7M</t>
  </si>
  <si>
    <t>CADASKM8M</t>
  </si>
  <si>
    <t>CADASKM9M</t>
  </si>
  <si>
    <t>CADASKM10M</t>
  </si>
  <si>
    <t>CADASKM11M</t>
  </si>
  <si>
    <t>CADASKM1Y</t>
  </si>
  <si>
    <t>CADASKM2Y</t>
  </si>
  <si>
    <t>CADASKM3Y</t>
  </si>
  <si>
    <t>CADASKM4Y</t>
  </si>
  <si>
    <t>CADASKM5Y</t>
  </si>
  <si>
    <t>CADASKM6Y</t>
  </si>
  <si>
    <t>CADASKM7Y</t>
  </si>
  <si>
    <t>CADASKM8Y</t>
  </si>
  <si>
    <t>CADASKM9Y</t>
  </si>
  <si>
    <t>CADASKM10Y</t>
  </si>
  <si>
    <t>CADASKM15Y</t>
  </si>
  <si>
    <t>CADASKM20Y</t>
  </si>
  <si>
    <t>CADASKM30Y</t>
  </si>
  <si>
    <t>BHDBIDM1D</t>
  </si>
  <si>
    <t>BHDBIDM1M</t>
  </si>
  <si>
    <t>BHDBIDM2M</t>
  </si>
  <si>
    <t>BHDBIDM3M</t>
  </si>
  <si>
    <t>BHDBIDM4M</t>
  </si>
  <si>
    <t>BHDBIDM5M</t>
  </si>
  <si>
    <t>BHDBIDM6M</t>
  </si>
  <si>
    <t>BHDBIDM7M</t>
  </si>
  <si>
    <t>BHDBIDM8M</t>
  </si>
  <si>
    <t>BHDBIDM9M</t>
  </si>
  <si>
    <t>BHDBIDM10M</t>
  </si>
  <si>
    <t>BHDBIDM11M</t>
  </si>
  <si>
    <t>BHDBIDM1Y</t>
  </si>
  <si>
    <t>BHDBIDM2Y</t>
  </si>
  <si>
    <t>BHDBIDM3Y</t>
  </si>
  <si>
    <t>BHDBIDM4Y</t>
  </si>
  <si>
    <t>BHDBIDM5Y</t>
  </si>
  <si>
    <t>BHDBIDM6Y</t>
  </si>
  <si>
    <t>BHDBIDM7Y</t>
  </si>
  <si>
    <t>BHDBIDM8Y</t>
  </si>
  <si>
    <t>BHDBIDM9Y</t>
  </si>
  <si>
    <t>BHDBIDM10Y</t>
  </si>
  <si>
    <t>BHDBIDM15Y</t>
  </si>
  <si>
    <t>BHDBIDM20Y</t>
  </si>
  <si>
    <t>BHDBIDM30Y</t>
  </si>
  <si>
    <t>BHDASKM1D</t>
  </si>
  <si>
    <t>BHDASKM1M</t>
  </si>
  <si>
    <t>BHDASKM2M</t>
  </si>
  <si>
    <t>BHDASKM3M</t>
  </si>
  <si>
    <t>BHDASKM4M</t>
  </si>
  <si>
    <t>BHDASKM5M</t>
  </si>
  <si>
    <t>BHDASKM6M</t>
  </si>
  <si>
    <t>BHDASKM7M</t>
  </si>
  <si>
    <t>BHDASKM8M</t>
  </si>
  <si>
    <t>BHDASKM9M</t>
  </si>
  <si>
    <t>BHDASKM10M</t>
  </si>
  <si>
    <t>BHDASKM11M</t>
  </si>
  <si>
    <t>BHDASKM1Y</t>
  </si>
  <si>
    <t>BHDASKM2Y</t>
  </si>
  <si>
    <t>BHDASKM3Y</t>
  </si>
  <si>
    <t>BHDASKM4Y</t>
  </si>
  <si>
    <t>BHDASKM5Y</t>
  </si>
  <si>
    <t>BHDASKM6Y</t>
  </si>
  <si>
    <t>BHDASKM7Y</t>
  </si>
  <si>
    <t>BHDASKM8Y</t>
  </si>
  <si>
    <t>BHDASKM9Y</t>
  </si>
  <si>
    <t>BHDASKM10Y</t>
  </si>
  <si>
    <t>BHDASKM15Y</t>
  </si>
  <si>
    <t>BHDASKM20Y</t>
  </si>
  <si>
    <t>BHDASKM30Y</t>
  </si>
  <si>
    <t>AEDBIDM1D</t>
  </si>
  <si>
    <t>AEDBIDM1M</t>
  </si>
  <si>
    <t>AEDBIDM2M</t>
  </si>
  <si>
    <t>AEDBIDM3M</t>
  </si>
  <si>
    <t>AEDBIDM4M</t>
  </si>
  <si>
    <t>AEDBIDM5M</t>
  </si>
  <si>
    <t>AEDBIDM6M</t>
  </si>
  <si>
    <t>AEDBIDM7M</t>
  </si>
  <si>
    <t>AEDBIDM8M</t>
  </si>
  <si>
    <t>AEDBIDM9M</t>
  </si>
  <si>
    <t>AEDBIDM10M</t>
  </si>
  <si>
    <t>AEDBIDM11M</t>
  </si>
  <si>
    <t>AEDBIDM1Y</t>
  </si>
  <si>
    <t>AEDBIDM2Y</t>
  </si>
  <si>
    <t>AEDBIDM3Y</t>
  </si>
  <si>
    <t>AEDBIDM4Y</t>
  </si>
  <si>
    <t>AEDBIDM5Y</t>
  </si>
  <si>
    <t>AEDBIDM6Y</t>
  </si>
  <si>
    <t>AEDBIDM7Y</t>
  </si>
  <si>
    <t>AEDBIDM8Y</t>
  </si>
  <si>
    <t>AEDBIDM9Y</t>
  </si>
  <si>
    <t>AEDBIDM10Y</t>
  </si>
  <si>
    <t>AEDBIDM15Y</t>
  </si>
  <si>
    <t>AEDBIDM20Y</t>
  </si>
  <si>
    <t>AEDBIDM30Y</t>
  </si>
  <si>
    <t>AEDASKM1D</t>
  </si>
  <si>
    <t>AEDASKM1M</t>
  </si>
  <si>
    <t>AEDASKM2M</t>
  </si>
  <si>
    <t>AEDASKM3M</t>
  </si>
  <si>
    <t>AEDASKM4M</t>
  </si>
  <si>
    <t>AEDASKM5M</t>
  </si>
  <si>
    <t>AEDASKM6M</t>
  </si>
  <si>
    <t>AEDASKM7M</t>
  </si>
  <si>
    <t>AEDASKM8M</t>
  </si>
  <si>
    <t>AEDASKM9M</t>
  </si>
  <si>
    <t>AEDASKM10M</t>
  </si>
  <si>
    <t>AEDASKM11M</t>
  </si>
  <si>
    <t>AEDASKM1Y</t>
  </si>
  <si>
    <t>AEDASKM2Y</t>
  </si>
  <si>
    <t>AEDASKM3Y</t>
  </si>
  <si>
    <t>AEDASKM4Y</t>
  </si>
  <si>
    <t>AEDASKM5Y</t>
  </si>
  <si>
    <t>AEDASKM6Y</t>
  </si>
  <si>
    <t>AEDASKM7Y</t>
  </si>
  <si>
    <t>AEDASKM8Y</t>
  </si>
  <si>
    <t>AEDASKM9Y</t>
  </si>
  <si>
    <t>AEDASKM10Y</t>
  </si>
  <si>
    <t>AEDASKM15Y</t>
  </si>
  <si>
    <t>AEDASKM20Y</t>
  </si>
  <si>
    <t>AEDASKM30Y</t>
  </si>
  <si>
    <t>CNYBIDM1D</t>
  </si>
  <si>
    <t>CNYBIDM1M</t>
  </si>
  <si>
    <t>CNYBIDM2M</t>
  </si>
  <si>
    <t>CNYBIDM3M</t>
  </si>
  <si>
    <t>CNYBIDM4M</t>
  </si>
  <si>
    <t>CNYBIDM5M</t>
  </si>
  <si>
    <t>CNYBIDM6M</t>
  </si>
  <si>
    <t>CNYBIDM7M</t>
  </si>
  <si>
    <t>CNYBIDM8M</t>
  </si>
  <si>
    <t>CNYBIDM9M</t>
  </si>
  <si>
    <t>CNYBIDM10M</t>
  </si>
  <si>
    <t>CNYBIDM11M</t>
  </si>
  <si>
    <t>CNYBIDM1Y</t>
  </si>
  <si>
    <t>CNYBIDM2Y</t>
  </si>
  <si>
    <t>CNYBIDM3Y</t>
  </si>
  <si>
    <t>CNYBIDM4Y</t>
  </si>
  <si>
    <t>CNYBIDM5Y</t>
  </si>
  <si>
    <t>CNYBIDM6Y</t>
  </si>
  <si>
    <t>CNYBIDM7Y</t>
  </si>
  <si>
    <t>CNYBIDM8Y</t>
  </si>
  <si>
    <t>CNYBIDM9Y</t>
  </si>
  <si>
    <t>CNYBIDM10Y</t>
  </si>
  <si>
    <t>CNYBIDM15Y</t>
  </si>
  <si>
    <t>CNYBIDM20Y</t>
  </si>
  <si>
    <t>CNYBIDM30Y</t>
  </si>
  <si>
    <t>CZKASKM1D</t>
  </si>
  <si>
    <t>CZKASKM1M</t>
  </si>
  <si>
    <t>CZKASKM2M</t>
  </si>
  <si>
    <t>CZKASKM3M</t>
  </si>
  <si>
    <t>CZKASKM4M</t>
  </si>
  <si>
    <t>CZKASKM5M</t>
  </si>
  <si>
    <t>CZKASKM6M</t>
  </si>
  <si>
    <t>CZKASKM7M</t>
  </si>
  <si>
    <t>CZKASKM8M</t>
  </si>
  <si>
    <t>CZKASKM9M</t>
  </si>
  <si>
    <t>CZKASKM10M</t>
  </si>
  <si>
    <t>CZKASKM11M</t>
  </si>
  <si>
    <t>CZKASKM1Y</t>
  </si>
  <si>
    <t>CZKASKM2Y</t>
  </si>
  <si>
    <t>CZKASKM3Y</t>
  </si>
  <si>
    <t>CZKASKM4Y</t>
  </si>
  <si>
    <t>CZKASKM5Y</t>
  </si>
  <si>
    <t>CZKASKM6Y</t>
  </si>
  <si>
    <t>CZKASKM7Y</t>
  </si>
  <si>
    <t>CZKASKM8Y</t>
  </si>
  <si>
    <t>CZKASKM9Y</t>
  </si>
  <si>
    <t>CZKASKM10Y</t>
  </si>
  <si>
    <t>CZKASKM15Y</t>
  </si>
  <si>
    <t>CZKASKM20Y</t>
  </si>
  <si>
    <t>CZKASKM30Y</t>
  </si>
  <si>
    <t>NOKBIDM1D</t>
  </si>
  <si>
    <t>NOKBIDM1M</t>
  </si>
  <si>
    <t>NOKBIDM2M</t>
  </si>
  <si>
    <t>NOKBIDM3M</t>
  </si>
  <si>
    <t>NOKBIDM4M</t>
  </si>
  <si>
    <t>NOKBIDM5M</t>
  </si>
  <si>
    <t>NOKBIDM6M</t>
  </si>
  <si>
    <t>NOKBIDM7M</t>
  </si>
  <si>
    <t>NOKBIDM8M</t>
  </si>
  <si>
    <t>NOKBIDM9M</t>
  </si>
  <si>
    <t>NOKBIDM10M</t>
  </si>
  <si>
    <t>NOKBIDM11M</t>
  </si>
  <si>
    <t>NOKBIDM1Y</t>
  </si>
  <si>
    <t>NOKBIDM2Y</t>
  </si>
  <si>
    <t>NOKBIDM3Y</t>
  </si>
  <si>
    <t>NOKBIDM4Y</t>
  </si>
  <si>
    <t>NOKBIDM5Y</t>
  </si>
  <si>
    <t>NOKBIDM6Y</t>
  </si>
  <si>
    <t>NOKBIDM7Y</t>
  </si>
  <si>
    <t>NOKBIDM8Y</t>
  </si>
  <si>
    <t>NOKBIDM9Y</t>
  </si>
  <si>
    <t>NOKBIDM10Y</t>
  </si>
  <si>
    <t>NOKBIDM15Y</t>
  </si>
  <si>
    <t>NOKBIDM20Y</t>
  </si>
  <si>
    <t>NOKBIDM30Y</t>
  </si>
  <si>
    <t>SEKBIDM1D</t>
  </si>
  <si>
    <t>SEKBIDM1M</t>
  </si>
  <si>
    <t>SEKBIDM2M</t>
  </si>
  <si>
    <t>SEKBIDM3M</t>
  </si>
  <si>
    <t>SEKBIDM4M</t>
  </si>
  <si>
    <t>SEKBIDM5M</t>
  </si>
  <si>
    <t>SEKBIDM6M</t>
  </si>
  <si>
    <t>SEKBIDM7M</t>
  </si>
  <si>
    <t>SEKBIDM8M</t>
  </si>
  <si>
    <t>SEKBIDM9M</t>
  </si>
  <si>
    <t>SEKBIDM10M</t>
  </si>
  <si>
    <t>SEKBIDM11M</t>
  </si>
  <si>
    <t>SEKBIDM1Y</t>
  </si>
  <si>
    <t>SEKBIDM2Y</t>
  </si>
  <si>
    <t>SEKBIDM3Y</t>
  </si>
  <si>
    <t>SEKBIDM4Y</t>
  </si>
  <si>
    <t>SEKBIDM5Y</t>
  </si>
  <si>
    <t>SEKBIDM6Y</t>
  </si>
  <si>
    <t>SEKBIDM7Y</t>
  </si>
  <si>
    <t>SEKBIDM8Y</t>
  </si>
  <si>
    <t>SEKBIDM9Y</t>
  </si>
  <si>
    <t>SEKBIDM10Y</t>
  </si>
  <si>
    <t>SEKBIDM15Y</t>
  </si>
  <si>
    <t>SEKBIDM20Y</t>
  </si>
  <si>
    <t>SEKBIDM30Y</t>
  </si>
  <si>
    <t>SEKASKM1D</t>
  </si>
  <si>
    <t>SEKASKM1M</t>
  </si>
  <si>
    <t>SEKASKM2M</t>
  </si>
  <si>
    <t>SEKASKM3M</t>
  </si>
  <si>
    <t>SEKASKM4M</t>
  </si>
  <si>
    <t>SEKASKM5M</t>
  </si>
  <si>
    <t>SEKASKM6M</t>
  </si>
  <si>
    <t>SEKASKM7M</t>
  </si>
  <si>
    <t>SEKASKM8M</t>
  </si>
  <si>
    <t>SEKASKM9M</t>
  </si>
  <si>
    <t>SEKASKM10M</t>
  </si>
  <si>
    <t>SEKASKM11M</t>
  </si>
  <si>
    <t>SEKASKM1Y</t>
  </si>
  <si>
    <t>SEKASKM2Y</t>
  </si>
  <si>
    <t>SEKASKM3Y</t>
  </si>
  <si>
    <t>SEKASKM4Y</t>
  </si>
  <si>
    <t>SEKASKM5Y</t>
  </si>
  <si>
    <t>SEKASKM6Y</t>
  </si>
  <si>
    <t>SEKASKM7Y</t>
  </si>
  <si>
    <t>SEKASKM8Y</t>
  </si>
  <si>
    <t>SEKASKM9Y</t>
  </si>
  <si>
    <t>SEKASKM10Y</t>
  </si>
  <si>
    <t>SEKASKM15Y</t>
  </si>
  <si>
    <t>SEKASKM20Y</t>
  </si>
  <si>
    <t>SEKASKM30Y</t>
  </si>
  <si>
    <t>SARBIDM1D</t>
  </si>
  <si>
    <t>SARBIDM1M</t>
  </si>
  <si>
    <t>SARBIDM2M</t>
  </si>
  <si>
    <t>SARBIDM3M</t>
  </si>
  <si>
    <t>SARBIDM4M</t>
  </si>
  <si>
    <t>SARBIDM5M</t>
  </si>
  <si>
    <t>SARBIDM6M</t>
  </si>
  <si>
    <t>SARBIDM7M</t>
  </si>
  <si>
    <t>SARBIDM8M</t>
  </si>
  <si>
    <t>SARBIDM9M</t>
  </si>
  <si>
    <t>SARBIDM10M</t>
  </si>
  <si>
    <t>SARBIDM11M</t>
  </si>
  <si>
    <t>SARBIDM1Y</t>
  </si>
  <si>
    <t>SARBIDM2Y</t>
  </si>
  <si>
    <t>SARBIDM3Y</t>
  </si>
  <si>
    <t>SARBIDM4Y</t>
  </si>
  <si>
    <t>SARBIDM5Y</t>
  </si>
  <si>
    <t>SARBIDM6Y</t>
  </si>
  <si>
    <t>SARBIDM7Y</t>
  </si>
  <si>
    <t>SARBIDM8Y</t>
  </si>
  <si>
    <t>SARBIDM9Y</t>
  </si>
  <si>
    <t>SARBIDM10Y</t>
  </si>
  <si>
    <t>SARBIDM15Y</t>
  </si>
  <si>
    <t>SARBIDM20Y</t>
  </si>
  <si>
    <t>SARBIDM30Y</t>
  </si>
  <si>
    <t>SARASKM1D</t>
  </si>
  <si>
    <t>SARASKM1M</t>
  </si>
  <si>
    <t>SARASKM2M</t>
  </si>
  <si>
    <t>SARASKM3M</t>
  </si>
  <si>
    <t>SARASKM4M</t>
  </si>
  <si>
    <t>SARASKM5M</t>
  </si>
  <si>
    <t>SARASKM6M</t>
  </si>
  <si>
    <t>SARASKM7M</t>
  </si>
  <si>
    <t>SARASKM8M</t>
  </si>
  <si>
    <t>SARASKM9M</t>
  </si>
  <si>
    <t>SARASKM10M</t>
  </si>
  <si>
    <t>SARASKM11M</t>
  </si>
  <si>
    <t>SARASKM1Y</t>
  </si>
  <si>
    <t>SARASKM2Y</t>
  </si>
  <si>
    <t>SARASKM3Y</t>
  </si>
  <si>
    <t>SARASKM4Y</t>
  </si>
  <si>
    <t>SARASKM5Y</t>
  </si>
  <si>
    <t>SARASKM6Y</t>
  </si>
  <si>
    <t>SARASKM7Y</t>
  </si>
  <si>
    <t>SARASKM8Y</t>
  </si>
  <si>
    <t>SARASKM9Y</t>
  </si>
  <si>
    <t>SARASKM10Y</t>
  </si>
  <si>
    <t>SARASKM15Y</t>
  </si>
  <si>
    <t>SARASKM20Y</t>
  </si>
  <si>
    <t>SARASKM30Y</t>
  </si>
  <si>
    <t>SGDASKM1D</t>
  </si>
  <si>
    <t>SGDASKM1M</t>
  </si>
  <si>
    <t>SGDASKM2M</t>
  </si>
  <si>
    <t>SGDASKM3M</t>
  </si>
  <si>
    <t>SGDASKM4M</t>
  </si>
  <si>
    <t>SGDASKM5M</t>
  </si>
  <si>
    <t>SGDASKM6M</t>
  </si>
  <si>
    <t>SGDASKM7M</t>
  </si>
  <si>
    <t>SGDASKM8M</t>
  </si>
  <si>
    <t>SGDASKM9M</t>
  </si>
  <si>
    <t>SGDASKM10M</t>
  </si>
  <si>
    <t>SGDASKM11M</t>
  </si>
  <si>
    <t>SGDASKM1Y</t>
  </si>
  <si>
    <t>SGDASKM2Y</t>
  </si>
  <si>
    <t>SGDASKM3Y</t>
  </si>
  <si>
    <t>SGDASKM4Y</t>
  </si>
  <si>
    <t>SGDASKM5Y</t>
  </si>
  <si>
    <t>SGDASKM6Y</t>
  </si>
  <si>
    <t>SGDASKM7Y</t>
  </si>
  <si>
    <t>SGDASKM8Y</t>
  </si>
  <si>
    <t>SGDASKM9Y</t>
  </si>
  <si>
    <t>SGDASKM10Y</t>
  </si>
  <si>
    <t>SGDASKM15Y</t>
  </si>
  <si>
    <t>SGDASKM20Y</t>
  </si>
  <si>
    <t>SGDASKM30Y</t>
  </si>
  <si>
    <t>RUBBIDM1D</t>
  </si>
  <si>
    <t>RUBBIDM1M</t>
  </si>
  <si>
    <t>RUBBIDM2M</t>
  </si>
  <si>
    <t>RUBBIDM3M</t>
  </si>
  <si>
    <t>RUBBIDM4M</t>
  </si>
  <si>
    <t>RUBBIDM5M</t>
  </si>
  <si>
    <t>RUBBIDM6M</t>
  </si>
  <si>
    <t>RUBBIDM7M</t>
  </si>
  <si>
    <t>RUBBIDM8M</t>
  </si>
  <si>
    <t>RUBBIDM9M</t>
  </si>
  <si>
    <t>RUBBIDM10M</t>
  </si>
  <si>
    <t>RUBBIDM11M</t>
  </si>
  <si>
    <t>RUBBIDM1Y</t>
  </si>
  <si>
    <t>RUBBIDM2Y</t>
  </si>
  <si>
    <t>RUBBIDM3Y</t>
  </si>
  <si>
    <t>RUBBIDM4Y</t>
  </si>
  <si>
    <t>RUBBIDM5Y</t>
  </si>
  <si>
    <t>RUBBIDM6Y</t>
  </si>
  <si>
    <t>RUBBIDM7Y</t>
  </si>
  <si>
    <t>RUBBIDM8Y</t>
  </si>
  <si>
    <t>RUBBIDM9Y</t>
  </si>
  <si>
    <t>RUBBIDM10Y</t>
  </si>
  <si>
    <t>RUBBIDM15Y</t>
  </si>
  <si>
    <t>RUBBIDM20Y</t>
  </si>
  <si>
    <t>RUBBIDM30Y</t>
  </si>
  <si>
    <t>RONBIDM1D</t>
  </si>
  <si>
    <t>RONBIDM1M</t>
  </si>
  <si>
    <t>RONBIDM2M</t>
  </si>
  <si>
    <t>RONBIDM3M</t>
  </si>
  <si>
    <t>RONBIDM4M</t>
  </si>
  <si>
    <t>RONBIDM5M</t>
  </si>
  <si>
    <t>RONBIDM6M</t>
  </si>
  <si>
    <t>RONBIDM7M</t>
  </si>
  <si>
    <t>RONBIDM8M</t>
  </si>
  <si>
    <t>RONBIDM9M</t>
  </si>
  <si>
    <t>RONBIDM10M</t>
  </si>
  <si>
    <t>RONBIDM11M</t>
  </si>
  <si>
    <t>RONBIDM1Y</t>
  </si>
  <si>
    <t>RONBIDM2Y</t>
  </si>
  <si>
    <t>RONBIDM3Y</t>
  </si>
  <si>
    <t>RONBIDM4Y</t>
  </si>
  <si>
    <t>RONBIDM5Y</t>
  </si>
  <si>
    <t>RONBIDM6Y</t>
  </si>
  <si>
    <t>RONBIDM7Y</t>
  </si>
  <si>
    <t>RONBIDM8Y</t>
  </si>
  <si>
    <t>RONBIDM9Y</t>
  </si>
  <si>
    <t>RONBIDM10Y</t>
  </si>
  <si>
    <t>RONBIDM15Y</t>
  </si>
  <si>
    <t>RONBIDM20Y</t>
  </si>
  <si>
    <t>RONBIDM30Y</t>
  </si>
  <si>
    <t>RONASKM1D</t>
  </si>
  <si>
    <t>RONASKM1M</t>
  </si>
  <si>
    <t>RONASKM2M</t>
  </si>
  <si>
    <t>RONASKM3M</t>
  </si>
  <si>
    <t>RONASKM4M</t>
  </si>
  <si>
    <t>RONASKM5M</t>
  </si>
  <si>
    <t>RONASKM6M</t>
  </si>
  <si>
    <t>RONASKM7M</t>
  </si>
  <si>
    <t>RONASKM8M</t>
  </si>
  <si>
    <t>RONASKM9M</t>
  </si>
  <si>
    <t>RONASKM10M</t>
  </si>
  <si>
    <t>RONASKM11M</t>
  </si>
  <si>
    <t>RONASKM1Y</t>
  </si>
  <si>
    <t>RONASKM2Y</t>
  </si>
  <si>
    <t>RONASKM3Y</t>
  </si>
  <si>
    <t>RONASKM4Y</t>
  </si>
  <si>
    <t>RONASKM5Y</t>
  </si>
  <si>
    <t>RONASKM6Y</t>
  </si>
  <si>
    <t>RONASKM7Y</t>
  </si>
  <si>
    <t>RONASKM8Y</t>
  </si>
  <si>
    <t>RONASKM9Y</t>
  </si>
  <si>
    <t>RONASKM10Y</t>
  </si>
  <si>
    <t>RONASKM15Y</t>
  </si>
  <si>
    <t>RONASKM20Y</t>
  </si>
  <si>
    <t>RONASKM30Y</t>
  </si>
  <si>
    <t>PLNBIDM1D</t>
  </si>
  <si>
    <t>PLNBIDM1M</t>
  </si>
  <si>
    <t>PLNBIDM2M</t>
  </si>
  <si>
    <t>PLNBIDM3M</t>
  </si>
  <si>
    <t>PLNBIDM4M</t>
  </si>
  <si>
    <t>PLNBIDM5M</t>
  </si>
  <si>
    <t>PLNBIDM6M</t>
  </si>
  <si>
    <t>PLNBIDM7M</t>
  </si>
  <si>
    <t>PLNBIDM8M</t>
  </si>
  <si>
    <t>PLNBIDM9M</t>
  </si>
  <si>
    <t>PLNBIDM10M</t>
  </si>
  <si>
    <t>PLNBIDM11M</t>
  </si>
  <si>
    <t>PLNBIDM1Y</t>
  </si>
  <si>
    <t>PLNBIDM2Y</t>
  </si>
  <si>
    <t>PLNBIDM3Y</t>
  </si>
  <si>
    <t>PLNBIDM4Y</t>
  </si>
  <si>
    <t>PLNBIDM5Y</t>
  </si>
  <si>
    <t>PLNBIDM6Y</t>
  </si>
  <si>
    <t>PLNBIDM7Y</t>
  </si>
  <si>
    <t>PLNBIDM8Y</t>
  </si>
  <si>
    <t>PLNBIDM9Y</t>
  </si>
  <si>
    <t>PLNBIDM10Y</t>
  </si>
  <si>
    <t>PLNBIDM15Y</t>
  </si>
  <si>
    <t>PLNBIDM20Y</t>
  </si>
  <si>
    <t>PLNBIDM30Y</t>
  </si>
  <si>
    <t>PLNASKM1D</t>
  </si>
  <si>
    <t>PLNASKM1M</t>
  </si>
  <si>
    <t>PLNASKM2M</t>
  </si>
  <si>
    <t>PLNASKM3M</t>
  </si>
  <si>
    <t>PLNASKM4M</t>
  </si>
  <si>
    <t>PLNASKM5M</t>
  </si>
  <si>
    <t>PLNASKM6M</t>
  </si>
  <si>
    <t>PLNASKM7M</t>
  </si>
  <si>
    <t>PLNASKM8M</t>
  </si>
  <si>
    <t>PLNASKM9M</t>
  </si>
  <si>
    <t>PLNASKM10M</t>
  </si>
  <si>
    <t>PLNASKM11M</t>
  </si>
  <si>
    <t>PLNASKM1Y</t>
  </si>
  <si>
    <t>PLNASKM2Y</t>
  </si>
  <si>
    <t>PLNASKM3Y</t>
  </si>
  <si>
    <t>PLNASKM4Y</t>
  </si>
  <si>
    <t>PLNASKM5Y</t>
  </si>
  <si>
    <t>PLNASKM6Y</t>
  </si>
  <si>
    <t>PLNASKM7Y</t>
  </si>
  <si>
    <t>PLNASKM8Y</t>
  </si>
  <si>
    <t>PLNASKM9Y</t>
  </si>
  <si>
    <t>PLNASKM10Y</t>
  </si>
  <si>
    <t>PLNASKM15Y</t>
  </si>
  <si>
    <t>PLNASKM20Y</t>
  </si>
  <si>
    <t>PLNASKM30Y</t>
  </si>
  <si>
    <t>RUBASKM1D</t>
  </si>
  <si>
    <t>RUBASKM1M</t>
  </si>
  <si>
    <t>RUBASKM2M</t>
  </si>
  <si>
    <t>RUBASKM3M</t>
  </si>
  <si>
    <t>RUBASKM4M</t>
  </si>
  <si>
    <t>RUBASKM5M</t>
  </si>
  <si>
    <t>RUBASKM6M</t>
  </si>
  <si>
    <t>RUBASKM7M</t>
  </si>
  <si>
    <t>RUBASKM8M</t>
  </si>
  <si>
    <t>RUBASKM9M</t>
  </si>
  <si>
    <t>RUBASKM10M</t>
  </si>
  <si>
    <t>RUBASKM11M</t>
  </si>
  <si>
    <t>RUBASKM1Y</t>
  </si>
  <si>
    <t>RUBASKM2Y</t>
  </si>
  <si>
    <t>RUBASKM3Y</t>
  </si>
  <si>
    <t>RUBASKM4Y</t>
  </si>
  <si>
    <t>RUBASKM5Y</t>
  </si>
  <si>
    <t>RUBASKM6Y</t>
  </si>
  <si>
    <t>RUBASKM7Y</t>
  </si>
  <si>
    <t>RUBASKM8Y</t>
  </si>
  <si>
    <t>RUBASKM9Y</t>
  </si>
  <si>
    <t>RUBASKM10Y</t>
  </si>
  <si>
    <t>RUBASKM15Y</t>
  </si>
  <si>
    <t>RUBASKM20Y</t>
  </si>
  <si>
    <t>RUBASKM30Y</t>
  </si>
  <si>
    <t>NOKASKM1D</t>
  </si>
  <si>
    <t>NOKASKM1M</t>
  </si>
  <si>
    <t>NOKASKM2M</t>
  </si>
  <si>
    <t>NOKASKM3M</t>
  </si>
  <si>
    <t>NOKASKM4M</t>
  </si>
  <si>
    <t>NOKASKM5M</t>
  </si>
  <si>
    <t>NOKASKM6M</t>
  </si>
  <si>
    <t>NOKASKM7M</t>
  </si>
  <si>
    <t>NOKASKM8M</t>
  </si>
  <si>
    <t>NOKASKM9M</t>
  </si>
  <si>
    <t>NOKASKM10M</t>
  </si>
  <si>
    <t>NOKASKM11M</t>
  </si>
  <si>
    <t>NOKASKM1Y</t>
  </si>
  <si>
    <t>NOKASKM2Y</t>
  </si>
  <si>
    <t>NOKASKM3Y</t>
  </si>
  <si>
    <t>NOKASKM4Y</t>
  </si>
  <si>
    <t>NOKASKM5Y</t>
  </si>
  <si>
    <t>NOKASKM6Y</t>
  </si>
  <si>
    <t>NOKASKM7Y</t>
  </si>
  <si>
    <t>NOKASKM8Y</t>
  </si>
  <si>
    <t>NOKASKM9Y</t>
  </si>
  <si>
    <t>NOKASKM10Y</t>
  </si>
  <si>
    <t>NOKASKM15Y</t>
  </si>
  <si>
    <t>NOKASKM20Y</t>
  </si>
  <si>
    <t>NOKASKM30Y</t>
  </si>
  <si>
    <t>SGDBIDM1D</t>
  </si>
  <si>
    <t>SGDBIDM1M</t>
  </si>
  <si>
    <t>SGDBIDM2M</t>
  </si>
  <si>
    <t>SGDBIDM3M</t>
  </si>
  <si>
    <t>SGDBIDM4M</t>
  </si>
  <si>
    <t>SGDBIDM5M</t>
  </si>
  <si>
    <t>SGDBIDM6M</t>
  </si>
  <si>
    <t>SGDBIDM7M</t>
  </si>
  <si>
    <t>SGDBIDM8M</t>
  </si>
  <si>
    <t>SGDBIDM9M</t>
  </si>
  <si>
    <t>SGDBIDM10M</t>
  </si>
  <si>
    <t>SGDBIDM11M</t>
  </si>
  <si>
    <t>SGDBIDM1Y</t>
  </si>
  <si>
    <t>SGDBIDM2Y</t>
  </si>
  <si>
    <t>SGDBIDM3Y</t>
  </si>
  <si>
    <t>SGDBIDM4Y</t>
  </si>
  <si>
    <t>SGDBIDM5Y</t>
  </si>
  <si>
    <t>SGDBIDM6Y</t>
  </si>
  <si>
    <t>SGDBIDM7Y</t>
  </si>
  <si>
    <t>SGDBIDM8Y</t>
  </si>
  <si>
    <t>SGDBIDM9Y</t>
  </si>
  <si>
    <t>SGDBIDM10Y</t>
  </si>
  <si>
    <t>SGDBIDM15Y</t>
  </si>
  <si>
    <t>SGDBIDM20Y</t>
  </si>
  <si>
    <t>SGDBIDM30Y</t>
  </si>
  <si>
    <t>ZARBIDM1D</t>
  </si>
  <si>
    <t>ZARBIDM1M</t>
  </si>
  <si>
    <t>ZARBIDM2M</t>
  </si>
  <si>
    <t>ZARBIDM3M</t>
  </si>
  <si>
    <t>ZARBIDM4M</t>
  </si>
  <si>
    <t>ZARBIDM5M</t>
  </si>
  <si>
    <t>ZARBIDM6M</t>
  </si>
  <si>
    <t>ZARBIDM7M</t>
  </si>
  <si>
    <t>ZARBIDM8M</t>
  </si>
  <si>
    <t>ZARBIDM9M</t>
  </si>
  <si>
    <t>ZARBIDM10M</t>
  </si>
  <si>
    <t>ZARBIDM11M</t>
  </si>
  <si>
    <t>ZARBIDM1Y</t>
  </si>
  <si>
    <t>ZARBIDM2Y</t>
  </si>
  <si>
    <t>ZARBIDM3Y</t>
  </si>
  <si>
    <t>ZARBIDM4Y</t>
  </si>
  <si>
    <t>ZARBIDM5Y</t>
  </si>
  <si>
    <t>ZARBIDM6Y</t>
  </si>
  <si>
    <t>ZARBIDM7Y</t>
  </si>
  <si>
    <t>ZARBIDM8Y</t>
  </si>
  <si>
    <t>ZARBIDM9Y</t>
  </si>
  <si>
    <t>ZARBIDM10Y</t>
  </si>
  <si>
    <t>ZARBIDM15Y</t>
  </si>
  <si>
    <t>ZARBIDM20Y</t>
  </si>
  <si>
    <t>ZARBIDM30Y</t>
  </si>
  <si>
    <t>ZARASKM1D</t>
  </si>
  <si>
    <t>ZARASKM1M</t>
  </si>
  <si>
    <t>ZARASKM2M</t>
  </si>
  <si>
    <t>ZARASKM3M</t>
  </si>
  <si>
    <t>ZARASKM4M</t>
  </si>
  <si>
    <t>ZARASKM5M</t>
  </si>
  <si>
    <t>ZARASKM6M</t>
  </si>
  <si>
    <t>ZARASKM7M</t>
  </si>
  <si>
    <t>ZARASKM8M</t>
  </si>
  <si>
    <t>ZARASKM9M</t>
  </si>
  <si>
    <t>ZARASKM10M</t>
  </si>
  <si>
    <t>ZARASKM11M</t>
  </si>
  <si>
    <t>ZARASKM1Y</t>
  </si>
  <si>
    <t>ZARASKM2Y</t>
  </si>
  <si>
    <t>ZARASKM3Y</t>
  </si>
  <si>
    <t>ZARASKM4Y</t>
  </si>
  <si>
    <t>ZARASKM5Y</t>
  </si>
  <si>
    <t>ZARASKM6Y</t>
  </si>
  <si>
    <t>ZARASKM7Y</t>
  </si>
  <si>
    <t>ZARASKM8Y</t>
  </si>
  <si>
    <t>ZARASKM9Y</t>
  </si>
  <si>
    <t>ZARASKM10Y</t>
  </si>
  <si>
    <t>ZARASKM15Y</t>
  </si>
  <si>
    <t>ZARASKM20Y</t>
  </si>
  <si>
    <t>ZARASKM30Y</t>
  </si>
  <si>
    <t>CZKBIDM1D</t>
  </si>
  <si>
    <t>CZKBIDM1M</t>
  </si>
  <si>
    <t>CZKBIDM2M</t>
  </si>
  <si>
    <t>CZKBIDM3M</t>
  </si>
  <si>
    <t>CZKBIDM4M</t>
  </si>
  <si>
    <t>CZKBIDM5M</t>
  </si>
  <si>
    <t>CZKBIDM6M</t>
  </si>
  <si>
    <t>CZKBIDM7M</t>
  </si>
  <si>
    <t>CZKBIDM8M</t>
  </si>
  <si>
    <t>CZKBIDM9M</t>
  </si>
  <si>
    <t>CZKBIDM10M</t>
  </si>
  <si>
    <t>CZKBIDM11M</t>
  </si>
  <si>
    <t>CZKBIDM1Y</t>
  </si>
  <si>
    <t>CZKBIDM2Y</t>
  </si>
  <si>
    <t>CZKBIDM3Y</t>
  </si>
  <si>
    <t>CZKBIDM4Y</t>
  </si>
  <si>
    <t>CZKBIDM5Y</t>
  </si>
  <si>
    <t>CZKBIDM6Y</t>
  </si>
  <si>
    <t>CZKBIDM7Y</t>
  </si>
  <si>
    <t>CZKBIDM8Y</t>
  </si>
  <si>
    <t>CZKBIDM9Y</t>
  </si>
  <si>
    <t>CZKBIDM10Y</t>
  </si>
  <si>
    <t>CZKBIDM15Y</t>
  </si>
  <si>
    <t>CZKBIDM20Y</t>
  </si>
  <si>
    <t>CZKBIDM30Y</t>
  </si>
  <si>
    <t>TRYASKM1D</t>
  </si>
  <si>
    <t>TRYASKM1M</t>
  </si>
  <si>
    <t>TRYASKM2M</t>
  </si>
  <si>
    <t>TRYASKM3M</t>
  </si>
  <si>
    <t>TRYASKM4M</t>
  </si>
  <si>
    <t>TRYASKM5M</t>
  </si>
  <si>
    <t>TRYASKM6M</t>
  </si>
  <si>
    <t>TRYASKM7M</t>
  </si>
  <si>
    <t>TRYASKM8M</t>
  </si>
  <si>
    <t>TRYASKM9M</t>
  </si>
  <si>
    <t>TRYASKM10M</t>
  </si>
  <si>
    <t>TRYASKM11M</t>
  </si>
  <si>
    <t>TRYASKM1Y</t>
  </si>
  <si>
    <t>TRYASKM2Y</t>
  </si>
  <si>
    <t>TRYASKM3Y</t>
  </si>
  <si>
    <t>TRYASKM4Y</t>
  </si>
  <si>
    <t>TRYASKM5Y</t>
  </si>
  <si>
    <t>TRYASKM6Y</t>
  </si>
  <si>
    <t>TRYASKM7Y</t>
  </si>
  <si>
    <t>TRYASKM8Y</t>
  </si>
  <si>
    <t>TRYASKM9Y</t>
  </si>
  <si>
    <t>TRYASKM10Y</t>
  </si>
  <si>
    <t>TRYASKM15Y</t>
  </si>
  <si>
    <t>TRYASKM20Y</t>
  </si>
  <si>
    <t>TRYASKM30Y</t>
  </si>
  <si>
    <t>THBBIDM1D</t>
  </si>
  <si>
    <t>THBBIDM1M</t>
  </si>
  <si>
    <t>THBBIDM2M</t>
  </si>
  <si>
    <t>THBBIDM3M</t>
  </si>
  <si>
    <t>THBBIDM4M</t>
  </si>
  <si>
    <t>THBBIDM5M</t>
  </si>
  <si>
    <t>THBBIDM6M</t>
  </si>
  <si>
    <t>THBBIDM7M</t>
  </si>
  <si>
    <t>THBBIDM8M</t>
  </si>
  <si>
    <t>THBBIDM9M</t>
  </si>
  <si>
    <t>THBBIDM10M</t>
  </si>
  <si>
    <t>THBBIDM11M</t>
  </si>
  <si>
    <t>THBBIDM1Y</t>
  </si>
  <si>
    <t>THBBIDM2Y</t>
  </si>
  <si>
    <t>THBBIDM3Y</t>
  </si>
  <si>
    <t>THBBIDM4Y</t>
  </si>
  <si>
    <t>THBBIDM5Y</t>
  </si>
  <si>
    <t>THBBIDM6Y</t>
  </si>
  <si>
    <t>THBBIDM7Y</t>
  </si>
  <si>
    <t>THBBIDM8Y</t>
  </si>
  <si>
    <t>THBBIDM9Y</t>
  </si>
  <si>
    <t>THBBIDM10Y</t>
  </si>
  <si>
    <t>THBBIDM15Y</t>
  </si>
  <si>
    <t>THBBIDM20Y</t>
  </si>
  <si>
    <t>THBBIDM30Y</t>
  </si>
  <si>
    <t>THBASKM1D</t>
  </si>
  <si>
    <t>THBASKM1M</t>
  </si>
  <si>
    <t>THBASKM2M</t>
  </si>
  <si>
    <t>THBASKM3M</t>
  </si>
  <si>
    <t>THBASKM4M</t>
  </si>
  <si>
    <t>THBASKM5M</t>
  </si>
  <si>
    <t>THBASKM6M</t>
  </si>
  <si>
    <t>THBASKM7M</t>
  </si>
  <si>
    <t>THBASKM8M</t>
  </si>
  <si>
    <t>THBASKM9M</t>
  </si>
  <si>
    <t>THBASKM10M</t>
  </si>
  <si>
    <t>THBASKM11M</t>
  </si>
  <si>
    <t>THBASKM1Y</t>
  </si>
  <si>
    <t>THBASKM2Y</t>
  </si>
  <si>
    <t>THBASKM3Y</t>
  </si>
  <si>
    <t>THBASKM4Y</t>
  </si>
  <si>
    <t>THBASKM5Y</t>
  </si>
  <si>
    <t>THBASKM6Y</t>
  </si>
  <si>
    <t>THBASKM7Y</t>
  </si>
  <si>
    <t>THBASKM8Y</t>
  </si>
  <si>
    <t>THBASKM9Y</t>
  </si>
  <si>
    <t>THBASKM10Y</t>
  </si>
  <si>
    <t>THBASKM15Y</t>
  </si>
  <si>
    <t>THBASKM20Y</t>
  </si>
  <si>
    <t>THBASKM30Y</t>
  </si>
  <si>
    <t>TRYBIDM1D</t>
  </si>
  <si>
    <t>TRYBIDM1M</t>
  </si>
  <si>
    <t>TRYBIDM2M</t>
  </si>
  <si>
    <t>TRYBIDM3M</t>
  </si>
  <si>
    <t>TRYBIDM4M</t>
  </si>
  <si>
    <t>TRYBIDM5M</t>
  </si>
  <si>
    <t>TRYBIDM6M</t>
  </si>
  <si>
    <t>TRYBIDM7M</t>
  </si>
  <si>
    <t>TRYBIDM8M</t>
  </si>
  <si>
    <t>TRYBIDM9M</t>
  </si>
  <si>
    <t>TRYBIDM10M</t>
  </si>
  <si>
    <t>TRYBIDM11M</t>
  </si>
  <si>
    <t>TRYBIDM1Y</t>
  </si>
  <si>
    <t>TRYBIDM2Y</t>
  </si>
  <si>
    <t>TRYBIDM3Y</t>
  </si>
  <si>
    <t>TRYBIDM4Y</t>
  </si>
  <si>
    <t>TRYBIDM5Y</t>
  </si>
  <si>
    <t>TRYBIDM6Y</t>
  </si>
  <si>
    <t>TRYBIDM7Y</t>
  </si>
  <si>
    <t>TRYBIDM8Y</t>
  </si>
  <si>
    <t>TRYBIDM9Y</t>
  </si>
  <si>
    <t>TRYBIDM10Y</t>
  </si>
  <si>
    <t>TRYBIDM15Y</t>
  </si>
  <si>
    <t>TRYBIDM20Y</t>
  </si>
  <si>
    <t>TRYBIDM30Y</t>
  </si>
  <si>
    <t>MYRBIDM1D</t>
  </si>
  <si>
    <t>MYRBIDM1M</t>
  </si>
  <si>
    <t>MYRBIDM2M</t>
  </si>
  <si>
    <t>MYRBIDM3M</t>
  </si>
  <si>
    <t>MYRBIDM4M</t>
  </si>
  <si>
    <t>MYRBIDM5M</t>
  </si>
  <si>
    <t>MYRBIDM6M</t>
  </si>
  <si>
    <t>MYRBIDM7M</t>
  </si>
  <si>
    <t>MYRBIDM8M</t>
  </si>
  <si>
    <t>MYRBIDM9M</t>
  </si>
  <si>
    <t>MYRBIDM10M</t>
  </si>
  <si>
    <t>MYRBIDM11M</t>
  </si>
  <si>
    <t>MYRBIDM1Y</t>
  </si>
  <si>
    <t>MYRBIDM2Y</t>
  </si>
  <si>
    <t>MYRBIDM3Y</t>
  </si>
  <si>
    <t>MYRBIDM4Y</t>
  </si>
  <si>
    <t>MYRBIDM5Y</t>
  </si>
  <si>
    <t>MYRBIDM6Y</t>
  </si>
  <si>
    <t>MYRBIDM7Y</t>
  </si>
  <si>
    <t>MYRBIDM8Y</t>
  </si>
  <si>
    <t>MYRBIDM9Y</t>
  </si>
  <si>
    <t>MYRBIDM10Y</t>
  </si>
  <si>
    <t>MYRBIDM15Y</t>
  </si>
  <si>
    <t>MYRBIDM20Y</t>
  </si>
  <si>
    <t>MYRBIDM30Y</t>
  </si>
  <si>
    <t>HUFBIDM1D</t>
  </si>
  <si>
    <t>HUFBIDM1M</t>
  </si>
  <si>
    <t>HUFBIDM2M</t>
  </si>
  <si>
    <t>HUFBIDM3M</t>
  </si>
  <si>
    <t>HUFBIDM4M</t>
  </si>
  <si>
    <t>HUFBIDM5M</t>
  </si>
  <si>
    <t>HUFBIDM6M</t>
  </si>
  <si>
    <t>HUFBIDM7M</t>
  </si>
  <si>
    <t>HUFBIDM8M</t>
  </si>
  <si>
    <t>HUFBIDM9M</t>
  </si>
  <si>
    <t>HUFBIDM10M</t>
  </si>
  <si>
    <t>HUFBIDM11M</t>
  </si>
  <si>
    <t>HUFBIDM1Y</t>
  </si>
  <si>
    <t>HUFBIDM2Y</t>
  </si>
  <si>
    <t>HUFBIDM3Y</t>
  </si>
  <si>
    <t>HUFBIDM4Y</t>
  </si>
  <si>
    <t>HUFBIDM5Y</t>
  </si>
  <si>
    <t>HUFBIDM6Y</t>
  </si>
  <si>
    <t>HUFBIDM7Y</t>
  </si>
  <si>
    <t>HUFBIDM8Y</t>
  </si>
  <si>
    <t>HUFBIDM9Y</t>
  </si>
  <si>
    <t>HUFBIDM10Y</t>
  </si>
  <si>
    <t>HUFBIDM15Y</t>
  </si>
  <si>
    <t>HUFBIDM20Y</t>
  </si>
  <si>
    <t>HUFBIDM30Y</t>
  </si>
  <si>
    <t>HKDBIDM1D</t>
  </si>
  <si>
    <t>HKDBIDM1M</t>
  </si>
  <si>
    <t>HKDBIDM2M</t>
  </si>
  <si>
    <t>HKDBIDM3M</t>
  </si>
  <si>
    <t>HKDBIDM4M</t>
  </si>
  <si>
    <t>HKDBIDM5M</t>
  </si>
  <si>
    <t>HKDBIDM6M</t>
  </si>
  <si>
    <t>HKDBIDM7M</t>
  </si>
  <si>
    <t>HKDBIDM8M</t>
  </si>
  <si>
    <t>HKDBIDM9M</t>
  </si>
  <si>
    <t>HKDBIDM10M</t>
  </si>
  <si>
    <t>HKDBIDM11M</t>
  </si>
  <si>
    <t>HKDBIDM1Y</t>
  </si>
  <si>
    <t>HKDBIDM2Y</t>
  </si>
  <si>
    <t>HKDBIDM3Y</t>
  </si>
  <si>
    <t>HKDBIDM4Y</t>
  </si>
  <si>
    <t>HKDBIDM5Y</t>
  </si>
  <si>
    <t>HKDBIDM6Y</t>
  </si>
  <si>
    <t>HKDBIDM7Y</t>
  </si>
  <si>
    <t>HKDBIDM8Y</t>
  </si>
  <si>
    <t>HKDBIDM9Y</t>
  </si>
  <si>
    <t>HKDBIDM10Y</t>
  </si>
  <si>
    <t>HKDBIDM15Y</t>
  </si>
  <si>
    <t>HKDBIDM20Y</t>
  </si>
  <si>
    <t>HKDBIDM30Y</t>
  </si>
  <si>
    <t>IDRASKM1D</t>
  </si>
  <si>
    <t>IDRASKM1M</t>
  </si>
  <si>
    <t>IDRASKM2M</t>
  </si>
  <si>
    <t>IDRASKM3M</t>
  </si>
  <si>
    <t>IDRASKM4M</t>
  </si>
  <si>
    <t>IDRASKM5M</t>
  </si>
  <si>
    <t>IDRASKM6M</t>
  </si>
  <si>
    <t>IDRASKM7M</t>
  </si>
  <si>
    <t>IDRASKM8M</t>
  </si>
  <si>
    <t>IDRASKM9M</t>
  </si>
  <si>
    <t>IDRASKM10M</t>
  </si>
  <si>
    <t>IDRASKM11M</t>
  </si>
  <si>
    <t>IDRASKM1Y</t>
  </si>
  <si>
    <t>IDRASKM2Y</t>
  </si>
  <si>
    <t>IDRASKM3Y</t>
  </si>
  <si>
    <t>IDRASKM4Y</t>
  </si>
  <si>
    <t>IDRASKM5Y</t>
  </si>
  <si>
    <t>IDRASKM6Y</t>
  </si>
  <si>
    <t>IDRASKM7Y</t>
  </si>
  <si>
    <t>IDRASKM8Y</t>
  </si>
  <si>
    <t>IDRASKM9Y</t>
  </si>
  <si>
    <t>IDRASKM10Y</t>
  </si>
  <si>
    <t>IDRASKM15Y</t>
  </si>
  <si>
    <t>IDRASKM20Y</t>
  </si>
  <si>
    <t>IDRASKM30Y</t>
  </si>
  <si>
    <t>HKDASKM1D</t>
  </si>
  <si>
    <t>HKDASKM1M</t>
  </si>
  <si>
    <t>HKDASKM2M</t>
  </si>
  <si>
    <t>HKDASKM3M</t>
  </si>
  <si>
    <t>HKDASKM4M</t>
  </si>
  <si>
    <t>HKDASKM5M</t>
  </si>
  <si>
    <t>HKDASKM6M</t>
  </si>
  <si>
    <t>HKDASKM7M</t>
  </si>
  <si>
    <t>HKDASKM8M</t>
  </si>
  <si>
    <t>HKDASKM9M</t>
  </si>
  <si>
    <t>HKDASKM10M</t>
  </si>
  <si>
    <t>HKDASKM11M</t>
  </si>
  <si>
    <t>HKDASKM1Y</t>
  </si>
  <si>
    <t>HKDASKM2Y</t>
  </si>
  <si>
    <t>HKDASKM3Y</t>
  </si>
  <si>
    <t>HKDASKM4Y</t>
  </si>
  <si>
    <t>HKDASKM5Y</t>
  </si>
  <si>
    <t>HKDASKM6Y</t>
  </si>
  <si>
    <t>HKDASKM7Y</t>
  </si>
  <si>
    <t>HKDASKM8Y</t>
  </si>
  <si>
    <t>HKDASKM9Y</t>
  </si>
  <si>
    <t>HKDASKM10Y</t>
  </si>
  <si>
    <t>HKDASKM15Y</t>
  </si>
  <si>
    <t>HKDASKM20Y</t>
  </si>
  <si>
    <t>HKDASKM30Y</t>
  </si>
  <si>
    <t>IDRBIDM1D</t>
  </si>
  <si>
    <t>IDRBIDM1M</t>
  </si>
  <si>
    <t>IDRBIDM2M</t>
  </si>
  <si>
    <t>IDRBIDM3M</t>
  </si>
  <si>
    <t>IDRBIDM4M</t>
  </si>
  <si>
    <t>IDRBIDM5M</t>
  </si>
  <si>
    <t>IDRBIDM6M</t>
  </si>
  <si>
    <t>IDRBIDM7M</t>
  </si>
  <si>
    <t>IDRBIDM8M</t>
  </si>
  <si>
    <t>IDRBIDM9M</t>
  </si>
  <si>
    <t>IDRBIDM10M</t>
  </si>
  <si>
    <t>IDRBIDM11M</t>
  </si>
  <si>
    <t>IDRBIDM1Y</t>
  </si>
  <si>
    <t>IDRBIDM2Y</t>
  </si>
  <si>
    <t>IDRBIDM3Y</t>
  </si>
  <si>
    <t>IDRBIDM4Y</t>
  </si>
  <si>
    <t>IDRBIDM5Y</t>
  </si>
  <si>
    <t>IDRBIDM6Y</t>
  </si>
  <si>
    <t>IDRBIDM7Y</t>
  </si>
  <si>
    <t>IDRBIDM8Y</t>
  </si>
  <si>
    <t>IDRBIDM9Y</t>
  </si>
  <si>
    <t>IDRBIDM10Y</t>
  </si>
  <si>
    <t>IDRBIDM15Y</t>
  </si>
  <si>
    <t>IDRBIDM20Y</t>
  </si>
  <si>
    <t>IDRBIDM30Y</t>
  </si>
  <si>
    <t>ILSASKM1D</t>
  </si>
  <si>
    <t>ILSASKM1M</t>
  </si>
  <si>
    <t>ILSASKM2M</t>
  </si>
  <si>
    <t>ILSASKM3M</t>
  </si>
  <si>
    <t>ILSASKM4M</t>
  </si>
  <si>
    <t>ILSASKM5M</t>
  </si>
  <si>
    <t>ILSASKM6M</t>
  </si>
  <si>
    <t>ILSASKM7M</t>
  </si>
  <si>
    <t>ILSASKM8M</t>
  </si>
  <si>
    <t>ILSASKM9M</t>
  </si>
  <si>
    <t>ILSASKM10M</t>
  </si>
  <si>
    <t>ILSASKM11M</t>
  </si>
  <si>
    <t>ILSASKM1Y</t>
  </si>
  <si>
    <t>ILSASKM2Y</t>
  </si>
  <si>
    <t>ILSASKM3Y</t>
  </si>
  <si>
    <t>ILSASKM4Y</t>
  </si>
  <si>
    <t>ILSASKM5Y</t>
  </si>
  <si>
    <t>ILSASKM6Y</t>
  </si>
  <si>
    <t>ILSASKM7Y</t>
  </si>
  <si>
    <t>ILSASKM8Y</t>
  </si>
  <si>
    <t>ILSASKM9Y</t>
  </si>
  <si>
    <t>ILSASKM10Y</t>
  </si>
  <si>
    <t>ILSASKM15Y</t>
  </si>
  <si>
    <t>ILSASKM20Y</t>
  </si>
  <si>
    <t>ILSASKM30Y</t>
  </si>
  <si>
    <t>ILSBIDM1D</t>
  </si>
  <si>
    <t>ILSBIDM1M</t>
  </si>
  <si>
    <t>ILSBIDM2M</t>
  </si>
  <si>
    <t>ILSBIDM3M</t>
  </si>
  <si>
    <t>ILSBIDM4M</t>
  </si>
  <si>
    <t>ILSBIDM5M</t>
  </si>
  <si>
    <t>ILSBIDM6M</t>
  </si>
  <si>
    <t>ILSBIDM7M</t>
  </si>
  <si>
    <t>ILSBIDM8M</t>
  </si>
  <si>
    <t>ILSBIDM9M</t>
  </si>
  <si>
    <t>ILSBIDM10M</t>
  </si>
  <si>
    <t>ILSBIDM11M</t>
  </si>
  <si>
    <t>ILSBIDM1Y</t>
  </si>
  <si>
    <t>ILSBIDM2Y</t>
  </si>
  <si>
    <t>ILSBIDM3Y</t>
  </si>
  <si>
    <t>ILSBIDM4Y</t>
  </si>
  <si>
    <t>ILSBIDM5Y</t>
  </si>
  <si>
    <t>ILSBIDM6Y</t>
  </si>
  <si>
    <t>ILSBIDM7Y</t>
  </si>
  <si>
    <t>ILSBIDM8Y</t>
  </si>
  <si>
    <t>ILSBIDM9Y</t>
  </si>
  <si>
    <t>ILSBIDM10Y</t>
  </si>
  <si>
    <t>ILSBIDM15Y</t>
  </si>
  <si>
    <t>ILSBIDM20Y</t>
  </si>
  <si>
    <t>ILSBIDM30Y</t>
  </si>
  <si>
    <t>INRASKM1D</t>
  </si>
  <si>
    <t>INRASKM1M</t>
  </si>
  <si>
    <t>INRASKM2M</t>
  </si>
  <si>
    <t>INRASKM3M</t>
  </si>
  <si>
    <t>INRASKM4M</t>
  </si>
  <si>
    <t>INRASKM5M</t>
  </si>
  <si>
    <t>INRASKM6M</t>
  </si>
  <si>
    <t>INRASKM7M</t>
  </si>
  <si>
    <t>INRASKM8M</t>
  </si>
  <si>
    <t>INRASKM9M</t>
  </si>
  <si>
    <t>INRASKM10M</t>
  </si>
  <si>
    <t>INRASKM11M</t>
  </si>
  <si>
    <t>INRASKM1Y</t>
  </si>
  <si>
    <t>INRASKM2Y</t>
  </si>
  <si>
    <t>INRASKM3Y</t>
  </si>
  <si>
    <t>INRASKM4Y</t>
  </si>
  <si>
    <t>INRASKM5Y</t>
  </si>
  <si>
    <t>INRASKM6Y</t>
  </si>
  <si>
    <t>INRASKM7Y</t>
  </si>
  <si>
    <t>INRASKM8Y</t>
  </si>
  <si>
    <t>INRASKM9Y</t>
  </si>
  <si>
    <t>INRASKM10Y</t>
  </si>
  <si>
    <t>INRASKM15Y</t>
  </si>
  <si>
    <t>INRASKM20Y</t>
  </si>
  <si>
    <t>INRASKM30Y</t>
  </si>
  <si>
    <t>INRBIDM1D</t>
  </si>
  <si>
    <t>INRBIDM1M</t>
  </si>
  <si>
    <t>INRBIDM2M</t>
  </si>
  <si>
    <t>INRBIDM3M</t>
  </si>
  <si>
    <t>INRBIDM4M</t>
  </si>
  <si>
    <t>INRBIDM5M</t>
  </si>
  <si>
    <t>INRBIDM6M</t>
  </si>
  <si>
    <t>INRBIDM7M</t>
  </si>
  <si>
    <t>INRBIDM8M</t>
  </si>
  <si>
    <t>INRBIDM9M</t>
  </si>
  <si>
    <t>INRBIDM10M</t>
  </si>
  <si>
    <t>INRBIDM11M</t>
  </si>
  <si>
    <t>INRBIDM1Y</t>
  </si>
  <si>
    <t>INRBIDM2Y</t>
  </si>
  <si>
    <t>INRBIDM3Y</t>
  </si>
  <si>
    <t>INRBIDM4Y</t>
  </si>
  <si>
    <t>INRBIDM5Y</t>
  </si>
  <si>
    <t>INRBIDM6Y</t>
  </si>
  <si>
    <t>INRBIDM7Y</t>
  </si>
  <si>
    <t>INRBIDM8Y</t>
  </si>
  <si>
    <t>INRBIDM9Y</t>
  </si>
  <si>
    <t>INRBIDM10Y</t>
  </si>
  <si>
    <t>INRBIDM15Y</t>
  </si>
  <si>
    <t>INRBIDM20Y</t>
  </si>
  <si>
    <t>INRBIDM30Y</t>
  </si>
  <si>
    <t>HUFASKM1D</t>
  </si>
  <si>
    <t>HUFASKM1M</t>
  </si>
  <si>
    <t>HUFASKM2M</t>
  </si>
  <si>
    <t>HUFASKM3M</t>
  </si>
  <si>
    <t>HUFASKM4M</t>
  </si>
  <si>
    <t>HUFASKM5M</t>
  </si>
  <si>
    <t>HUFASKM6M</t>
  </si>
  <si>
    <t>HUFASKM7M</t>
  </si>
  <si>
    <t>HUFASKM8M</t>
  </si>
  <si>
    <t>HUFASKM9M</t>
  </si>
  <si>
    <t>HUFASKM10M</t>
  </si>
  <si>
    <t>HUFASKM11M</t>
  </si>
  <si>
    <t>HUFASKM1Y</t>
  </si>
  <si>
    <t>HUFASKM2Y</t>
  </si>
  <si>
    <t>HUFASKM3Y</t>
  </si>
  <si>
    <t>HUFASKM4Y</t>
  </si>
  <si>
    <t>HUFASKM5Y</t>
  </si>
  <si>
    <t>HUFASKM6Y</t>
  </si>
  <si>
    <t>HUFASKM7Y</t>
  </si>
  <si>
    <t>HUFASKM8Y</t>
  </si>
  <si>
    <t>HUFASKM9Y</t>
  </si>
  <si>
    <t>HUFASKM10Y</t>
  </si>
  <si>
    <t>HUFASKM15Y</t>
  </si>
  <si>
    <t>HUFASKM20Y</t>
  </si>
  <si>
    <t>HUFASKM30Y</t>
  </si>
  <si>
    <t>ISKBIDM1D</t>
  </si>
  <si>
    <t>ISKBIDM1M</t>
  </si>
  <si>
    <t>ISKBIDM2M</t>
  </si>
  <si>
    <t>ISKBIDM3M</t>
  </si>
  <si>
    <t>ISKBIDM4M</t>
  </si>
  <si>
    <t>ISKBIDM5M</t>
  </si>
  <si>
    <t>ISKBIDM6M</t>
  </si>
  <si>
    <t>ISKBIDM7M</t>
  </si>
  <si>
    <t>ISKBIDM8M</t>
  </si>
  <si>
    <t>ISKBIDM9M</t>
  </si>
  <si>
    <t>ISKBIDM10M</t>
  </si>
  <si>
    <t>ISKBIDM11M</t>
  </si>
  <si>
    <t>ISKBIDM1Y</t>
  </si>
  <si>
    <t>ISKBIDM2Y</t>
  </si>
  <si>
    <t>ISKBIDM3Y</t>
  </si>
  <si>
    <t>ISKBIDM4Y</t>
  </si>
  <si>
    <t>ISKBIDM5Y</t>
  </si>
  <si>
    <t>ISKBIDM6Y</t>
  </si>
  <si>
    <t>ISKBIDM7Y</t>
  </si>
  <si>
    <t>ISKBIDM8Y</t>
  </si>
  <si>
    <t>ISKBIDM9Y</t>
  </si>
  <si>
    <t>ISKBIDM10Y</t>
  </si>
  <si>
    <t>ISKBIDM15Y</t>
  </si>
  <si>
    <t>ISKBIDM20Y</t>
  </si>
  <si>
    <t>ISKBIDM30Y</t>
  </si>
  <si>
    <t>DKKBIDM1D</t>
  </si>
  <si>
    <t>DKKBIDM1M</t>
  </si>
  <si>
    <t>DKKBIDM2M</t>
  </si>
  <si>
    <t>DKKBIDM3M</t>
  </si>
  <si>
    <t>DKKBIDM4M</t>
  </si>
  <si>
    <t>DKKBIDM5M</t>
  </si>
  <si>
    <t>DKKBIDM6M</t>
  </si>
  <si>
    <t>DKKBIDM7M</t>
  </si>
  <si>
    <t>DKKBIDM8M</t>
  </si>
  <si>
    <t>DKKBIDM9M</t>
  </si>
  <si>
    <t>DKKBIDM10M</t>
  </si>
  <si>
    <t>DKKBIDM11M</t>
  </si>
  <si>
    <t>DKKBIDM1Y</t>
  </si>
  <si>
    <t>DKKBIDM2Y</t>
  </si>
  <si>
    <t>DKKBIDM3Y</t>
  </si>
  <si>
    <t>DKKBIDM4Y</t>
  </si>
  <si>
    <t>DKKBIDM5Y</t>
  </si>
  <si>
    <t>DKKBIDM6Y</t>
  </si>
  <si>
    <t>DKKBIDM7Y</t>
  </si>
  <si>
    <t>DKKBIDM8Y</t>
  </si>
  <si>
    <t>DKKBIDM9Y</t>
  </si>
  <si>
    <t>DKKBIDM10Y</t>
  </si>
  <si>
    <t>DKKBIDM15Y</t>
  </si>
  <si>
    <t>DKKBIDM20Y</t>
  </si>
  <si>
    <t>DKKBIDM30Y</t>
  </si>
  <si>
    <t>KRWASKM1D</t>
  </si>
  <si>
    <t>KRWASKM1M</t>
  </si>
  <si>
    <t>KRWASKM2M</t>
  </si>
  <si>
    <t>KRWASKM3M</t>
  </si>
  <si>
    <t>KRWASKM4M</t>
  </si>
  <si>
    <t>KRWASKM5M</t>
  </si>
  <si>
    <t>KRWASKM6M</t>
  </si>
  <si>
    <t>KRWASKM7M</t>
  </si>
  <si>
    <t>KRWASKM8M</t>
  </si>
  <si>
    <t>KRWASKM9M</t>
  </si>
  <si>
    <t>KRWASKM10M</t>
  </si>
  <si>
    <t>KRWASKM11M</t>
  </si>
  <si>
    <t>KRWASKM1Y</t>
  </si>
  <si>
    <t>KRWASKM2Y</t>
  </si>
  <si>
    <t>KRWASKM3Y</t>
  </si>
  <si>
    <t>KRWASKM4Y</t>
  </si>
  <si>
    <t>KRWASKM5Y</t>
  </si>
  <si>
    <t>KRWASKM6Y</t>
  </si>
  <si>
    <t>KRWASKM7Y</t>
  </si>
  <si>
    <t>KRWASKM8Y</t>
  </si>
  <si>
    <t>KRWASKM9Y</t>
  </si>
  <si>
    <t>KRWASKM10Y</t>
  </si>
  <si>
    <t>KRWASKM15Y</t>
  </si>
  <si>
    <t>KRWASKM20Y</t>
  </si>
  <si>
    <t>KRWASKM30Y</t>
  </si>
  <si>
    <t>KRWBIDM1D</t>
  </si>
  <si>
    <t>KRWBIDM1M</t>
  </si>
  <si>
    <t>KRWBIDM2M</t>
  </si>
  <si>
    <t>KRWBIDM3M</t>
  </si>
  <si>
    <t>KRWBIDM4M</t>
  </si>
  <si>
    <t>KRWBIDM5M</t>
  </si>
  <si>
    <t>KRWBIDM6M</t>
  </si>
  <si>
    <t>KRWBIDM7M</t>
  </si>
  <si>
    <t>KRWBIDM8M</t>
  </si>
  <si>
    <t>KRWBIDM9M</t>
  </si>
  <si>
    <t>KRWBIDM10M</t>
  </si>
  <si>
    <t>KRWBIDM11M</t>
  </si>
  <si>
    <t>KRWBIDM1Y</t>
  </si>
  <si>
    <t>KRWBIDM2Y</t>
  </si>
  <si>
    <t>KRWBIDM3Y</t>
  </si>
  <si>
    <t>KRWBIDM4Y</t>
  </si>
  <si>
    <t>KRWBIDM5Y</t>
  </si>
  <si>
    <t>KRWBIDM6Y</t>
  </si>
  <si>
    <t>KRWBIDM7Y</t>
  </si>
  <si>
    <t>KRWBIDM8Y</t>
  </si>
  <si>
    <t>KRWBIDM9Y</t>
  </si>
  <si>
    <t>KRWBIDM10Y</t>
  </si>
  <si>
    <t>KRWBIDM15Y</t>
  </si>
  <si>
    <t>KRWBIDM20Y</t>
  </si>
  <si>
    <t>KRWBIDM30Y</t>
  </si>
  <si>
    <t>DKKASKM1D</t>
  </si>
  <si>
    <t>DKKASKM1M</t>
  </si>
  <si>
    <t>DKKASKM2M</t>
  </si>
  <si>
    <t>DKKASKM3M</t>
  </si>
  <si>
    <t>DKKASKM4M</t>
  </si>
  <si>
    <t>DKKASKM5M</t>
  </si>
  <si>
    <t>DKKASKM6M</t>
  </si>
  <si>
    <t>DKKASKM7M</t>
  </si>
  <si>
    <t>DKKASKM8M</t>
  </si>
  <si>
    <t>DKKASKM9M</t>
  </si>
  <si>
    <t>DKKASKM10M</t>
  </si>
  <si>
    <t>DKKASKM11M</t>
  </si>
  <si>
    <t>DKKASKM1Y</t>
  </si>
  <si>
    <t>DKKASKM2Y</t>
  </si>
  <si>
    <t>DKKASKM3Y</t>
  </si>
  <si>
    <t>DKKASKM4Y</t>
  </si>
  <si>
    <t>DKKASKM5Y</t>
  </si>
  <si>
    <t>DKKASKM6Y</t>
  </si>
  <si>
    <t>DKKASKM7Y</t>
  </si>
  <si>
    <t>DKKASKM8Y</t>
  </si>
  <si>
    <t>DKKASKM9Y</t>
  </si>
  <si>
    <t>DKKASKM10Y</t>
  </si>
  <si>
    <t>DKKASKM15Y</t>
  </si>
  <si>
    <t>DKKASKM20Y</t>
  </si>
  <si>
    <t>DKKASKM30Y</t>
  </si>
  <si>
    <t>MXNASKM1D</t>
  </si>
  <si>
    <t>MXNASKM1M</t>
  </si>
  <si>
    <t>MXNASKM2M</t>
  </si>
  <si>
    <t>MXNASKM3M</t>
  </si>
  <si>
    <t>MXNASKM4M</t>
  </si>
  <si>
    <t>MXNASKM5M</t>
  </si>
  <si>
    <t>MXNASKM6M</t>
  </si>
  <si>
    <t>MXNASKM7M</t>
  </si>
  <si>
    <t>MXNASKM8M</t>
  </si>
  <si>
    <t>MXNASKM9M</t>
  </si>
  <si>
    <t>MXNASKM10M</t>
  </si>
  <si>
    <t>MXNASKM11M</t>
  </si>
  <si>
    <t>MXNASKM1Y</t>
  </si>
  <si>
    <t>MXNASKM2Y</t>
  </si>
  <si>
    <t>MXNASKM3Y</t>
  </si>
  <si>
    <t>MXNASKM4Y</t>
  </si>
  <si>
    <t>MXNASKM5Y</t>
  </si>
  <si>
    <t>MXNASKM6Y</t>
  </si>
  <si>
    <t>MXNASKM7Y</t>
  </si>
  <si>
    <t>MXNASKM8Y</t>
  </si>
  <si>
    <t>MXNASKM9Y</t>
  </si>
  <si>
    <t>MXNASKM10Y</t>
  </si>
  <si>
    <t>MXNASKM15Y</t>
  </si>
  <si>
    <t>MXNASKM20Y</t>
  </si>
  <si>
    <t>MXNASKM30Y</t>
  </si>
  <si>
    <t>MXNBIDM1D</t>
  </si>
  <si>
    <t>MXNBIDM1M</t>
  </si>
  <si>
    <t>MXNBIDM2M</t>
  </si>
  <si>
    <t>MXNBIDM3M</t>
  </si>
  <si>
    <t>MXNBIDM4M</t>
  </si>
  <si>
    <t>MXNBIDM5M</t>
  </si>
  <si>
    <t>MXNBIDM6M</t>
  </si>
  <si>
    <t>MXNBIDM7M</t>
  </si>
  <si>
    <t>MXNBIDM8M</t>
  </si>
  <si>
    <t>MXNBIDM9M</t>
  </si>
  <si>
    <t>MXNBIDM10M</t>
  </si>
  <si>
    <t>MXNBIDM11M</t>
  </si>
  <si>
    <t>MXNBIDM1Y</t>
  </si>
  <si>
    <t>MXNBIDM2Y</t>
  </si>
  <si>
    <t>MXNBIDM3Y</t>
  </si>
  <si>
    <t>MXNBIDM4Y</t>
  </si>
  <si>
    <t>MXNBIDM5Y</t>
  </si>
  <si>
    <t>MXNBIDM6Y</t>
  </si>
  <si>
    <t>MXNBIDM7Y</t>
  </si>
  <si>
    <t>MXNBIDM8Y</t>
  </si>
  <si>
    <t>MXNBIDM9Y</t>
  </si>
  <si>
    <t>MXNBIDM10Y</t>
  </si>
  <si>
    <t>MXNBIDM15Y</t>
  </si>
  <si>
    <t>MXNBIDM20Y</t>
  </si>
  <si>
    <t>MXNBIDM30Y</t>
  </si>
  <si>
    <t>MYRASKM1D</t>
  </si>
  <si>
    <t>MYRASKM1M</t>
  </si>
  <si>
    <t>MYRASKM2M</t>
  </si>
  <si>
    <t>MYRASKM3M</t>
  </si>
  <si>
    <t>MYRASKM4M</t>
  </si>
  <si>
    <t>MYRASKM5M</t>
  </si>
  <si>
    <t>MYRASKM6M</t>
  </si>
  <si>
    <t>MYRASKM7M</t>
  </si>
  <si>
    <t>MYRASKM8M</t>
  </si>
  <si>
    <t>MYRASKM9M</t>
  </si>
  <si>
    <t>MYRASKM10M</t>
  </si>
  <si>
    <t>MYRASKM11M</t>
  </si>
  <si>
    <t>MYRASKM1Y</t>
  </si>
  <si>
    <t>MYRASKM2Y</t>
  </si>
  <si>
    <t>MYRASKM3Y</t>
  </si>
  <si>
    <t>MYRASKM4Y</t>
  </si>
  <si>
    <t>MYRASKM5Y</t>
  </si>
  <si>
    <t>MYRASKM6Y</t>
  </si>
  <si>
    <t>MYRASKM7Y</t>
  </si>
  <si>
    <t>MYRASKM8Y</t>
  </si>
  <si>
    <t>MYRASKM9Y</t>
  </si>
  <si>
    <t>MYRASKM10Y</t>
  </si>
  <si>
    <t>MYRASKM15Y</t>
  </si>
  <si>
    <t>MYRASKM20Y</t>
  </si>
  <si>
    <t>MYRASKM30Y</t>
  </si>
  <si>
    <t>ISKASKM1D</t>
  </si>
  <si>
    <t>ISKASKM1M</t>
  </si>
  <si>
    <t>ISKASKM2M</t>
  </si>
  <si>
    <t>ISKASKM3M</t>
  </si>
  <si>
    <t>ISKASKM4M</t>
  </si>
  <si>
    <t>ISKASKM5M</t>
  </si>
  <si>
    <t>ISKASKM6M</t>
  </si>
  <si>
    <t>ISKASKM7M</t>
  </si>
  <si>
    <t>ISKASKM8M</t>
  </si>
  <si>
    <t>ISKASKM9M</t>
  </si>
  <si>
    <t>ISKASKM10M</t>
  </si>
  <si>
    <t>ISKASKM11M</t>
  </si>
  <si>
    <t>ISKASKM1Y</t>
  </si>
  <si>
    <t>ISKASKM2Y</t>
  </si>
  <si>
    <t>ISKASKM3Y</t>
  </si>
  <si>
    <t>ISKASKM4Y</t>
  </si>
  <si>
    <t>ISKASKM5Y</t>
  </si>
  <si>
    <t>ISKASKM6Y</t>
  </si>
  <si>
    <t>ISKASKM7Y</t>
  </si>
  <si>
    <t>ISKASKM8Y</t>
  </si>
  <si>
    <t>ISKASKM9Y</t>
  </si>
  <si>
    <t>ISKASKM10Y</t>
  </si>
  <si>
    <t>ISKASKM15Y</t>
  </si>
  <si>
    <t>ISKASKM20Y</t>
  </si>
  <si>
    <t>ISKASKM30Y</t>
  </si>
  <si>
    <t>400bps</t>
  </si>
  <si>
    <t>RECALCUL1</t>
  </si>
  <si>
    <t>STOCK ECH CREDITS EQUIPEMENTS TF</t>
  </si>
  <si>
    <t>STOCK ECH CREDITS EQUIPEMENTS TV</t>
  </si>
  <si>
    <t>NOM MODELE</t>
  </si>
  <si>
    <t>NOME MODELE</t>
  </si>
  <si>
    <t>FICHIER MODELE DAV</t>
  </si>
  <si>
    <t>SENSI_REVENU</t>
  </si>
  <si>
    <t>@FORWARD_SENSI_REVENU</t>
  </si>
  <si>
    <t>MODELE</t>
  </si>
  <si>
    <t>NOM FICHIER MODELE</t>
  </si>
  <si>
    <t>TEST_BPCE</t>
  </si>
  <si>
    <t>C:\Users\HOSSAYNE\Documents\BPCE_ARCHIVES\RESULTATS\5.4\BPCE\recup_bpce\2 - SC BP</t>
  </si>
  <si>
    <t>Sans SC PN BPCE</t>
  </si>
  <si>
    <t>Surcouche_0</t>
  </si>
  <si>
    <t>Baisse_Rev</t>
  </si>
  <si>
    <t>Pentif_Rev</t>
  </si>
  <si>
    <t>Aplati_Rev</t>
  </si>
  <si>
    <t>Hausse_Rev</t>
  </si>
  <si>
    <t>Surcouche_33%</t>
  </si>
  <si>
    <t>Surcouche_100%</t>
  </si>
  <si>
    <t>Baisse_Rev_Proj</t>
  </si>
  <si>
    <t>Pentif_Rev_Proj</t>
  </si>
  <si>
    <t>Hausse_Rev_Proj</t>
  </si>
  <si>
    <t>Aplati_Rev_Proj</t>
  </si>
  <si>
    <t>ECH,NMD,PEL</t>
  </si>
  <si>
    <t>NPS</t>
  </si>
  <si>
    <t>CONSO_CFF</t>
  </si>
  <si>
    <t>Fait le 2024/04/02</t>
  </si>
  <si>
    <t>TYPE PROJECTION NMD</t>
  </si>
  <si>
    <t>RCO BASELINE1</t>
  </si>
  <si>
    <t>ENCOURS CIBLE</t>
  </si>
  <si>
    <t>Type courbe</t>
  </si>
  <si>
    <t>bps</t>
  </si>
  <si>
    <t>TYPE MODELE</t>
  </si>
  <si>
    <t>FlEM</t>
  </si>
  <si>
    <t>REGLE DEBLOCAGE</t>
  </si>
  <si>
    <t>TEST</t>
  </si>
  <si>
    <t>NMD-U2</t>
  </si>
  <si>
    <t>TEST2</t>
  </si>
  <si>
    <t>TYPE AJOUT</t>
  </si>
  <si>
    <t>REMPLACEMENT</t>
  </si>
  <si>
    <t>AJOUT</t>
  </si>
  <si>
    <t>NMD-U3</t>
  </si>
  <si>
    <t>EURFIXE</t>
  </si>
  <si>
    <t>ECH-U4</t>
  </si>
  <si>
    <t>ECH-U5</t>
  </si>
  <si>
    <t>ECH-U6</t>
  </si>
  <si>
    <t>NMD-U7</t>
  </si>
  <si>
    <t>NMD-U8</t>
  </si>
  <si>
    <t>Sans choc de TX</t>
  </si>
  <si>
    <t>FORWARD</t>
  </si>
  <si>
    <t>MODELES_PEL_2024-03-31.xlsx</t>
  </si>
  <si>
    <t>RATE CODE</t>
  </si>
  <si>
    <t>AUDASKM12M1J</t>
  </si>
  <si>
    <t>AUDBIDM12M1J</t>
  </si>
  <si>
    <t>AUDSP-12M1J</t>
  </si>
  <si>
    <t>CADASKM12M1J</t>
  </si>
  <si>
    <t>CHFASKM12M1J</t>
  </si>
  <si>
    <t>CHFBIDM12M1J</t>
  </si>
  <si>
    <t>CHFSP-12M1J</t>
  </si>
  <si>
    <t>CLPIBOR12M1J</t>
  </si>
  <si>
    <t>CVBASKM12M1J</t>
  </si>
  <si>
    <t>EURACRD12M1J</t>
  </si>
  <si>
    <t>GBPASKM12M1J</t>
  </si>
  <si>
    <t>GBPBIDM12M1J</t>
  </si>
  <si>
    <t>GBPSP-12M1J</t>
  </si>
  <si>
    <t>JPYASKM12M1J</t>
  </si>
  <si>
    <t>JPYBIDM12M1J</t>
  </si>
  <si>
    <t>JPYSP-12M1J</t>
  </si>
  <si>
    <t>KZTDEPO12M1J</t>
  </si>
  <si>
    <t>LDDASKM12M1J</t>
  </si>
  <si>
    <t>NZDASKM12M1J</t>
  </si>
  <si>
    <t>NZDBIDM12M1J</t>
  </si>
  <si>
    <t>NZDSP-12M1J</t>
  </si>
  <si>
    <t>PLSASKM12M1J</t>
  </si>
  <si>
    <t>SCFASKH12M1J</t>
  </si>
  <si>
    <t>TCASKM12M1J</t>
  </si>
  <si>
    <t>TCBIDM12M1J</t>
  </si>
  <si>
    <t>TCSP-12M1J</t>
  </si>
  <si>
    <t>UGXIBOR12M1J</t>
  </si>
  <si>
    <t>USDASKM12M1J</t>
  </si>
  <si>
    <t>USDBIDM12M1J</t>
  </si>
  <si>
    <t>USDSP-12M1J</t>
  </si>
  <si>
    <t>VILIBOR12M1J</t>
  </si>
  <si>
    <t>AEDLIB50Y</t>
  </si>
  <si>
    <t>AUDSP-1W</t>
  </si>
  <si>
    <t>AUDSP-2W</t>
  </si>
  <si>
    <t>AUDSP-50Y</t>
  </si>
  <si>
    <t>CHFASKM1W</t>
  </si>
  <si>
    <t>CHFASKM2W</t>
  </si>
  <si>
    <t>CHFASKM50Y</t>
  </si>
  <si>
    <t>CHFBIDM1W</t>
  </si>
  <si>
    <t>CHFBIDM2W</t>
  </si>
  <si>
    <t>CHFBIDM50Y</t>
  </si>
  <si>
    <t>CHFSP-1W</t>
  </si>
  <si>
    <t>CHFSP-50Y</t>
  </si>
  <si>
    <t>CMS10YLIBEUR</t>
  </si>
  <si>
    <t>CMS40Y</t>
  </si>
  <si>
    <t>CMS50Y</t>
  </si>
  <si>
    <t>CVBASKM10M</t>
  </si>
  <si>
    <t>CVBASKM10Y</t>
  </si>
  <si>
    <t>CVBASKM11M</t>
  </si>
  <si>
    <t>CVBASKM12M</t>
  </si>
  <si>
    <t>CVBASKM12Y</t>
  </si>
  <si>
    <t>CVBASKM15Y</t>
  </si>
  <si>
    <t>CVBASKM1D</t>
  </si>
  <si>
    <t>CVBASKM1M</t>
  </si>
  <si>
    <t>CVBASKM1W</t>
  </si>
  <si>
    <t>CVBASKM20Y</t>
  </si>
  <si>
    <t>CVBASKM25Y</t>
  </si>
  <si>
    <t>CVBASKM2M</t>
  </si>
  <si>
    <t>CVBASKM2W</t>
  </si>
  <si>
    <t>CVBASKM2Y</t>
  </si>
  <si>
    <t>CVBASKM30Y</t>
  </si>
  <si>
    <t>CVBASKM3M</t>
  </si>
  <si>
    <t>CVBASKM3Y</t>
  </si>
  <si>
    <t>CVBASKM4M</t>
  </si>
  <si>
    <t>CVBASKM4Y</t>
  </si>
  <si>
    <t>CVBASKM50Y</t>
  </si>
  <si>
    <t>CVBASKM5M</t>
  </si>
  <si>
    <t>CVBASKM5Y</t>
  </si>
  <si>
    <t>CVBASKM6M</t>
  </si>
  <si>
    <t>CVBASKM6Y</t>
  </si>
  <si>
    <t>CVBASKM7M</t>
  </si>
  <si>
    <t>CVBASKM7Y</t>
  </si>
  <si>
    <t>CVBASKM8M</t>
  </si>
  <si>
    <t>CVBASKM8Y</t>
  </si>
  <si>
    <t>CVBASKM9M</t>
  </si>
  <si>
    <t>CVBASKM9Y</t>
  </si>
  <si>
    <t>DZDIBOR1D</t>
  </si>
  <si>
    <t>EURACRD1W</t>
  </si>
  <si>
    <t>EURACRD2W</t>
  </si>
  <si>
    <t>EURACRD3W</t>
  </si>
  <si>
    <t>EURACRD40Y</t>
  </si>
  <si>
    <t>EURACRD50Y</t>
  </si>
  <si>
    <t>EURPEL111D</t>
  </si>
  <si>
    <t>EURLEP-E3M</t>
  </si>
  <si>
    <t>EURLIVA_NF</t>
  </si>
  <si>
    <t>EURPEL1D</t>
  </si>
  <si>
    <t>EURPEL50Y</t>
  </si>
  <si>
    <t>EURPELHIS1D</t>
  </si>
  <si>
    <t>EURPELHIS50Y</t>
  </si>
  <si>
    <t>EURT4M</t>
  </si>
  <si>
    <t>EURT4MTBB</t>
  </si>
  <si>
    <t>EURPEL121D</t>
  </si>
  <si>
    <t>EURPEL131D</t>
  </si>
  <si>
    <t>FLAT1D</t>
  </si>
  <si>
    <t>FLAT30Y</t>
  </si>
  <si>
    <t>GBPASKM1W</t>
  </si>
  <si>
    <t>GBPASKM2W</t>
  </si>
  <si>
    <t>GBPASKM50Y</t>
  </si>
  <si>
    <t>GBPBIDM1W</t>
  </si>
  <si>
    <t>GBPBIDM2W</t>
  </si>
  <si>
    <t>GBPBIDM50Y</t>
  </si>
  <si>
    <t>GBPSP-1W</t>
  </si>
  <si>
    <t>GBPSP-50Y</t>
  </si>
  <si>
    <t>iBeibor</t>
  </si>
  <si>
    <t>iBeiborUSD</t>
  </si>
  <si>
    <t>IBOR</t>
  </si>
  <si>
    <t>iFORM</t>
  </si>
  <si>
    <t>iSTOCK</t>
  </si>
  <si>
    <t>iTDIEOM</t>
  </si>
  <si>
    <t>iTIEOM</t>
  </si>
  <si>
    <t>JPYASKM1W</t>
  </si>
  <si>
    <t>JPYASKM2W</t>
  </si>
  <si>
    <t>JPYASKM50Y</t>
  </si>
  <si>
    <t>JPYBIDM1W</t>
  </si>
  <si>
    <t>JPYBIDM2W</t>
  </si>
  <si>
    <t>JPYBIDM50Y</t>
  </si>
  <si>
    <t>JPYSP-1W</t>
  </si>
  <si>
    <t>JPYSP-50Y</t>
  </si>
  <si>
    <t>LALIVABP10M</t>
  </si>
  <si>
    <t>LALIVABP10Y</t>
  </si>
  <si>
    <t>LALIVABP11M</t>
  </si>
  <si>
    <t>LALIVABP15Y</t>
  </si>
  <si>
    <t>LALIVABP1D</t>
  </si>
  <si>
    <t>LALIVABP1M</t>
  </si>
  <si>
    <t>LALIVABP1Y</t>
  </si>
  <si>
    <t>LALIVABP20Y</t>
  </si>
  <si>
    <t>LALIVABP2M</t>
  </si>
  <si>
    <t>LALIVABP2Y</t>
  </si>
  <si>
    <t>LALIVABP30Y</t>
  </si>
  <si>
    <t>LALIVABP3M</t>
  </si>
  <si>
    <t>LALIVABP3Y</t>
  </si>
  <si>
    <t>LALIVABP4M</t>
  </si>
  <si>
    <t>LALIVABP4Y</t>
  </si>
  <si>
    <t>LALIVABP5M</t>
  </si>
  <si>
    <t>LALIVABP5Y</t>
  </si>
  <si>
    <t>LALIVABP6M</t>
  </si>
  <si>
    <t>LALIVABP6Y</t>
  </si>
  <si>
    <t>LALIVABP7M</t>
  </si>
  <si>
    <t>LALIVABP7Y</t>
  </si>
  <si>
    <t>LALIVABP8M</t>
  </si>
  <si>
    <t>LALIVABP8Y</t>
  </si>
  <si>
    <t>LALIVABP9M</t>
  </si>
  <si>
    <t>LALIVABP9Y</t>
  </si>
  <si>
    <t>LALIVACEP10M</t>
  </si>
  <si>
    <t>LALIVACEP10Y</t>
  </si>
  <si>
    <t>LALIVACEP11M</t>
  </si>
  <si>
    <t>LALIVACEP15Y</t>
  </si>
  <si>
    <t>LALIVACEP1D</t>
  </si>
  <si>
    <t>LALIVACEP1M</t>
  </si>
  <si>
    <t>LALIVACEP1Y</t>
  </si>
  <si>
    <t>LALIVACEP20Y</t>
  </si>
  <si>
    <t>LALIVACEP2M</t>
  </si>
  <si>
    <t>LALIVACEP2Y</t>
  </si>
  <si>
    <t>LALIVACEP30Y</t>
  </si>
  <si>
    <t>LALIVACEP3M</t>
  </si>
  <si>
    <t>LALIVACEP3Y</t>
  </si>
  <si>
    <t>LALIVACEP4M</t>
  </si>
  <si>
    <t>LALIVACEP4Y</t>
  </si>
  <si>
    <t>LALIVACEP5M</t>
  </si>
  <si>
    <t>LALIVACEP5Y</t>
  </si>
  <si>
    <t>LALIVACEP6M</t>
  </si>
  <si>
    <t>LALIVACEP6Y</t>
  </si>
  <si>
    <t>LALIVACEP7M</t>
  </si>
  <si>
    <t>LALIVACEP7Y</t>
  </si>
  <si>
    <t>LALIVACEP8M</t>
  </si>
  <si>
    <t>LALIVACEP8Y</t>
  </si>
  <si>
    <t>LALIVACEP9M</t>
  </si>
  <si>
    <t>LALIVACEP9Y</t>
  </si>
  <si>
    <t>LDDASKM10M</t>
  </si>
  <si>
    <t>LDDASKM10Y</t>
  </si>
  <si>
    <t>LDDASKM11M</t>
  </si>
  <si>
    <t>LDDASKM12Y</t>
  </si>
  <si>
    <t>LDDASKM15Y</t>
  </si>
  <si>
    <t>LDDASKM1D</t>
  </si>
  <si>
    <t>LDDASKM1M</t>
  </si>
  <si>
    <t>LDDASKM1Y</t>
  </si>
  <si>
    <t>LDDASKM20Y</t>
  </si>
  <si>
    <t>LDDASKM25Y</t>
  </si>
  <si>
    <t>LDDASKM2M</t>
  </si>
  <si>
    <t>LDDASKM2Y</t>
  </si>
  <si>
    <t>LDDASKM30Y</t>
  </si>
  <si>
    <t>LDDASKM3M</t>
  </si>
  <si>
    <t>LDDASKM3Y</t>
  </si>
  <si>
    <t>LDDASKM40Y</t>
  </si>
  <si>
    <t>LDDASKM4M</t>
  </si>
  <si>
    <t>LDDASKM4Y</t>
  </si>
  <si>
    <t>LDDASKM50Y</t>
  </si>
  <si>
    <t>LDDASKM5M</t>
  </si>
  <si>
    <t>LDDASKM5Y</t>
  </si>
  <si>
    <t>LDDASKM6M</t>
  </si>
  <si>
    <t>LDDASKM6Y</t>
  </si>
  <si>
    <t>LDDASKM7M</t>
  </si>
  <si>
    <t>LDDASKM7Y</t>
  </si>
  <si>
    <t>LDDASKM8M</t>
  </si>
  <si>
    <t>LDDASKM8Y</t>
  </si>
  <si>
    <t>LDDASKM9M</t>
  </si>
  <si>
    <t>LDDASKM9Y</t>
  </si>
  <si>
    <t>LEONIASKH10M</t>
  </si>
  <si>
    <t>LEONIASKH10Y</t>
  </si>
  <si>
    <t>LEONIASKH11M</t>
  </si>
  <si>
    <t>LEONIASKH12Y</t>
  </si>
  <si>
    <t>LEONIASKH15Y</t>
  </si>
  <si>
    <t>LEONIASKH1D</t>
  </si>
  <si>
    <t>LEONIASKH1M</t>
  </si>
  <si>
    <t>LEONIASKH1W</t>
  </si>
  <si>
    <t>LEONIASKH1Y</t>
  </si>
  <si>
    <t>LEONIASKH20Y</t>
  </si>
  <si>
    <t>LEONIASKH25Y</t>
  </si>
  <si>
    <t>LEONIASKH2M</t>
  </si>
  <si>
    <t>LEONIASKH2W</t>
  </si>
  <si>
    <t>LEONIASKH2Y</t>
  </si>
  <si>
    <t>LEONIASKH30Y</t>
  </si>
  <si>
    <t>LEONIASKH3M</t>
  </si>
  <si>
    <t>LEONIASKH3Y</t>
  </si>
  <si>
    <t>LEONIASKH4M</t>
  </si>
  <si>
    <t>LEONIASKH4Y</t>
  </si>
  <si>
    <t>LEONIASKH50Y</t>
  </si>
  <si>
    <t>LEONIASKH5M</t>
  </si>
  <si>
    <t>LEONIASKH5Y</t>
  </si>
  <si>
    <t>LEONIASKH6M</t>
  </si>
  <si>
    <t>LEONIASKH6Y</t>
  </si>
  <si>
    <t>LEONIASKH7M</t>
  </si>
  <si>
    <t>LEONIASKH7Y</t>
  </si>
  <si>
    <t>LEONIASKH8M</t>
  </si>
  <si>
    <t>LEONIASKH8Y</t>
  </si>
  <si>
    <t>LEONIASKH9M</t>
  </si>
  <si>
    <t>LEONIASKH9Y</t>
  </si>
  <si>
    <t>LEONIASKM10M</t>
  </si>
  <si>
    <t>LEONIASKM10Y</t>
  </si>
  <si>
    <t>LEONIASKM11M</t>
  </si>
  <si>
    <t>LEONIASKM12Y</t>
  </si>
  <si>
    <t>LEONIASKM15Y</t>
  </si>
  <si>
    <t>LEONIASKM1D</t>
  </si>
  <si>
    <t>LEONIASKM1M</t>
  </si>
  <si>
    <t>LEONIASKM1W</t>
  </si>
  <si>
    <t>LEONIASKM1Y</t>
  </si>
  <si>
    <t>LEONIASKM20Y</t>
  </si>
  <si>
    <t>LEONIASKM25Y</t>
  </si>
  <si>
    <t>LEONIASKM2M</t>
  </si>
  <si>
    <t>LEONIASKM2W</t>
  </si>
  <si>
    <t>LEONIASKM2Y</t>
  </si>
  <si>
    <t>LEONIASKM30Y</t>
  </si>
  <si>
    <t>LEONIASKM3M</t>
  </si>
  <si>
    <t>LEONIASKM3Y</t>
  </si>
  <si>
    <t>LEONIASKM4M</t>
  </si>
  <si>
    <t>LEONIASKM4Y</t>
  </si>
  <si>
    <t>LEONIASKM50Y</t>
  </si>
  <si>
    <t>LEONIASKM5M</t>
  </si>
  <si>
    <t>LEONIASKM5Y</t>
  </si>
  <si>
    <t>LEONIASKM6M</t>
  </si>
  <si>
    <t>LEONIASKM6Y</t>
  </si>
  <si>
    <t>LEONIASKM7M</t>
  </si>
  <si>
    <t>LEONIASKM7Y</t>
  </si>
  <si>
    <t>LEONIASKM8M</t>
  </si>
  <si>
    <t>LEONIASKM8Y</t>
  </si>
  <si>
    <t>LEONIASKM9M</t>
  </si>
  <si>
    <t>LEONIASKM9Y</t>
  </si>
  <si>
    <t>LEONIBIDH10M</t>
  </si>
  <si>
    <t>LEONIBIDH10Y</t>
  </si>
  <si>
    <t>LEONIBIDH11M</t>
  </si>
  <si>
    <t>LEONIBIDH12Y</t>
  </si>
  <si>
    <t>LEONIBIDH15Y</t>
  </si>
  <si>
    <t>LEONIBIDH1D</t>
  </si>
  <si>
    <t>LEONIBIDH1M</t>
  </si>
  <si>
    <t>LEONIBIDH1W</t>
  </si>
  <si>
    <t>LEONIBIDH1Y</t>
  </si>
  <si>
    <t>LEONIBIDH20Y</t>
  </si>
  <si>
    <t>LEONIBIDH25Y</t>
  </si>
  <si>
    <t>LEONIBIDH2M</t>
  </si>
  <si>
    <t>LEONIBIDH2W</t>
  </si>
  <si>
    <t>LEONIBIDH2Y</t>
  </si>
  <si>
    <t>LEONIBIDH30Y</t>
  </si>
  <si>
    <t>LEONIBIDH3M</t>
  </si>
  <si>
    <t>LEONIBIDH3Y</t>
  </si>
  <si>
    <t>LEONIBIDH4M</t>
  </si>
  <si>
    <t>LEONIBIDH4Y</t>
  </si>
  <si>
    <t>LEONIBIDH50Y</t>
  </si>
  <si>
    <t>LEONIBIDH5M</t>
  </si>
  <si>
    <t>LEONIBIDH5Y</t>
  </si>
  <si>
    <t>LEONIBIDH6M</t>
  </si>
  <si>
    <t>LEONIBIDH6Y</t>
  </si>
  <si>
    <t>LEONIBIDH7M</t>
  </si>
  <si>
    <t>LEONIBIDH7Y</t>
  </si>
  <si>
    <t>LEONIBIDH8M</t>
  </si>
  <si>
    <t>LEONIBIDH8Y</t>
  </si>
  <si>
    <t>LEONIBIDH9M</t>
  </si>
  <si>
    <t>LEONIBIDH9Y</t>
  </si>
  <si>
    <t>LEONIBIDM10M</t>
  </si>
  <si>
    <t>LEONIBIDM10Y</t>
  </si>
  <si>
    <t>LEONIBIDM11M</t>
  </si>
  <si>
    <t>LEONIBIDM12Y</t>
  </si>
  <si>
    <t>LEONIBIDM15Y</t>
  </si>
  <si>
    <t>LEONIBIDM1D</t>
  </si>
  <si>
    <t>LEONIBIDM1M</t>
  </si>
  <si>
    <t>LEONIBIDM1W</t>
  </si>
  <si>
    <t>LEONIBIDM1Y</t>
  </si>
  <si>
    <t>LEONIBIDM20Y</t>
  </si>
  <si>
    <t>LEONIBIDM25Y</t>
  </si>
  <si>
    <t>LEONIBIDM2M</t>
  </si>
  <si>
    <t>LEONIBIDM2W</t>
  </si>
  <si>
    <t>LEONIBIDM2Y</t>
  </si>
  <si>
    <t>LEONIBIDM30Y</t>
  </si>
  <si>
    <t>LEONIBIDM3M</t>
  </si>
  <si>
    <t>LEONIBIDM3Y</t>
  </si>
  <si>
    <t>LEONIBIDM4M</t>
  </si>
  <si>
    <t>LEONIBIDM4Y</t>
  </si>
  <si>
    <t>LEONIBIDM50Y</t>
  </si>
  <si>
    <t>LEONIBIDM5M</t>
  </si>
  <si>
    <t>LEONIBIDM5Y</t>
  </si>
  <si>
    <t>LEONIBIDM6M</t>
  </si>
  <si>
    <t>LEONIBIDM6Y</t>
  </si>
  <si>
    <t>LEONIBIDM7M</t>
  </si>
  <si>
    <t>LEONIBIDM7Y</t>
  </si>
  <si>
    <t>LEONIBIDM8M</t>
  </si>
  <si>
    <t>LEONIBIDM8Y</t>
  </si>
  <si>
    <t>LEONIBIDM9M</t>
  </si>
  <si>
    <t>LEONIBIDM9Y</t>
  </si>
  <si>
    <t>LEURCEL10M</t>
  </si>
  <si>
    <t>LEURCEL10Y</t>
  </si>
  <si>
    <t>LEURCEL11M</t>
  </si>
  <si>
    <t>LEURCEL15Y</t>
  </si>
  <si>
    <t>LEURCEL1D</t>
  </si>
  <si>
    <t>LEURCEL1M</t>
  </si>
  <si>
    <t>LEURCEL1Y</t>
  </si>
  <si>
    <t>LEURCEL20Y</t>
  </si>
  <si>
    <t>LEURCEL2M</t>
  </si>
  <si>
    <t>LEURCEL2Y</t>
  </si>
  <si>
    <t>LEURCEL30Y</t>
  </si>
  <si>
    <t>LEURCEL3M</t>
  </si>
  <si>
    <t>LEURCEL3Y</t>
  </si>
  <si>
    <t>LEURCEL4M</t>
  </si>
  <si>
    <t>LEURCEL4Y</t>
  </si>
  <si>
    <t>LEURCEL5M</t>
  </si>
  <si>
    <t>LEURCEL5Y</t>
  </si>
  <si>
    <t>LEURCEL6M</t>
  </si>
  <si>
    <t>LEURCEL6Y</t>
  </si>
  <si>
    <t>LEURCEL7M</t>
  </si>
  <si>
    <t>LEURCEL7Y</t>
  </si>
  <si>
    <t>LEURCEL8M</t>
  </si>
  <si>
    <t>LEURCEL8Y</t>
  </si>
  <si>
    <t>LEURCEL9M</t>
  </si>
  <si>
    <t>LEURCEL9Y</t>
  </si>
  <si>
    <t>LEURESTR10M</t>
  </si>
  <si>
    <t>LEURESTR10Y</t>
  </si>
  <si>
    <t>LEURESTR11M</t>
  </si>
  <si>
    <t>LEURESTR15Y</t>
  </si>
  <si>
    <t>LEURESTR1D</t>
  </si>
  <si>
    <t>LEURESTR1M</t>
  </si>
  <si>
    <t>LEURESTR1Y</t>
  </si>
  <si>
    <t>LEURESTR20Y</t>
  </si>
  <si>
    <t>LEURESTR2M</t>
  </si>
  <si>
    <t>LEURESTR2Y</t>
  </si>
  <si>
    <t>LEURESTR30Y</t>
  </si>
  <si>
    <t>LEURESTR3M</t>
  </si>
  <si>
    <t>LEURESTR3Y</t>
  </si>
  <si>
    <t>LEURESTR4M</t>
  </si>
  <si>
    <t>LEURESTR4Y</t>
  </si>
  <si>
    <t>LEURESTR5M</t>
  </si>
  <si>
    <t>LEURESTR5Y</t>
  </si>
  <si>
    <t>LEURESTR6M</t>
  </si>
  <si>
    <t>LEURESTR6Y</t>
  </si>
  <si>
    <t>LEURESTR7M</t>
  </si>
  <si>
    <t>LEURESTR7Y</t>
  </si>
  <si>
    <t>LEURESTR8M</t>
  </si>
  <si>
    <t>LEURESTR8Y</t>
  </si>
  <si>
    <t>LEURESTR9M</t>
  </si>
  <si>
    <t>LEURESTR9Y</t>
  </si>
  <si>
    <t>LEURLEP10M</t>
  </si>
  <si>
    <t>LEURLEP10Y</t>
  </si>
  <si>
    <t>LEURLEP11M</t>
  </si>
  <si>
    <t>LEURLEP15Y</t>
  </si>
  <si>
    <t>LEURLEP1D</t>
  </si>
  <si>
    <t>LEURLEP1M</t>
  </si>
  <si>
    <t>LEURLEP1Y</t>
  </si>
  <si>
    <t>LEURLEP20Y</t>
  </si>
  <si>
    <t>LEURLEP2M</t>
  </si>
  <si>
    <t>LEURLEP2Y</t>
  </si>
  <si>
    <t>LEURLEP30Y</t>
  </si>
  <si>
    <t>LEURLEP3M</t>
  </si>
  <si>
    <t>LEURLEP3Y</t>
  </si>
  <si>
    <t>LEURLEP4M</t>
  </si>
  <si>
    <t>LEURLEP4Y</t>
  </si>
  <si>
    <t>LEURLEP5M</t>
  </si>
  <si>
    <t>LEURLEP5Y</t>
  </si>
  <si>
    <t>LEURLEP6M</t>
  </si>
  <si>
    <t>LEURLEP6Y</t>
  </si>
  <si>
    <t>LEURLEP7M</t>
  </si>
  <si>
    <t>LEURLEP7Y</t>
  </si>
  <si>
    <t>LEURLEP8M</t>
  </si>
  <si>
    <t>LEURLEP8Y</t>
  </si>
  <si>
    <t>LEURLEP9M</t>
  </si>
  <si>
    <t>LEURLEP9Y</t>
  </si>
  <si>
    <t>LEURLIVAT10M</t>
  </si>
  <si>
    <t>LEURLIVAT10Y</t>
  </si>
  <si>
    <t>LEURLIVAT11M</t>
  </si>
  <si>
    <t>LEURLIVAT15Y</t>
  </si>
  <si>
    <t>LEURLIVAT1D</t>
  </si>
  <si>
    <t>LEURLIVAT1M</t>
  </si>
  <si>
    <t>LEURLIVAT1Y</t>
  </si>
  <si>
    <t>LEURLIVAT20Y</t>
  </si>
  <si>
    <t>LEURLIVAT2M</t>
  </si>
  <si>
    <t>LEURLIVAT2Y</t>
  </si>
  <si>
    <t>LEURLIVAT30Y</t>
  </si>
  <si>
    <t>LEURLIVAT3M</t>
  </si>
  <si>
    <t>LEURLIVAT3Y</t>
  </si>
  <si>
    <t>LEURLIVAT4M</t>
  </si>
  <si>
    <t>LEURLIVAT4Y</t>
  </si>
  <si>
    <t>LEURLIVAT5M</t>
  </si>
  <si>
    <t>LEURLIVAT5Y</t>
  </si>
  <si>
    <t>LEURLIVAT6M</t>
  </si>
  <si>
    <t>LEURLIVAT6Y</t>
  </si>
  <si>
    <t>LEURLIVAT7M</t>
  </si>
  <si>
    <t>LEURLIVAT7Y</t>
  </si>
  <si>
    <t>LEURLIVAT8M</t>
  </si>
  <si>
    <t>LEURLIVAT8Y</t>
  </si>
  <si>
    <t>LEURLIVAT9M</t>
  </si>
  <si>
    <t>LEURLIVAT9Y</t>
  </si>
  <si>
    <t>LEURLIVB10M</t>
  </si>
  <si>
    <t>LEURLIVB10Y</t>
  </si>
  <si>
    <t>LEURLIVB11M</t>
  </si>
  <si>
    <t>LEURLIVB15Y</t>
  </si>
  <si>
    <t>LEURLIVB1D</t>
  </si>
  <si>
    <t>LEURLIVB1M</t>
  </si>
  <si>
    <t>LEURLIVB1Y</t>
  </si>
  <si>
    <t>LEURLIVB20Y</t>
  </si>
  <si>
    <t>LEURLIVB2M</t>
  </si>
  <si>
    <t>LEURLIVB2Y</t>
  </si>
  <si>
    <t>LEURLIVB30Y</t>
  </si>
  <si>
    <t>LEURLIVB3M</t>
  </si>
  <si>
    <t>LEURLIVB3Y</t>
  </si>
  <si>
    <t>LEURLIVB4M</t>
  </si>
  <si>
    <t>LEURLIVB4Y</t>
  </si>
  <si>
    <t>LEURLIVB5M</t>
  </si>
  <si>
    <t>LEURLIVB5Y</t>
  </si>
  <si>
    <t>LEURLIVB6M</t>
  </si>
  <si>
    <t>LEURLIVB6Y</t>
  </si>
  <si>
    <t>LEURLIVB7M</t>
  </si>
  <si>
    <t>LEURLIVB7Y</t>
  </si>
  <si>
    <t>LEURLIVB8M</t>
  </si>
  <si>
    <t>LEURLIVB8Y</t>
  </si>
  <si>
    <t>LEURLIVB9M</t>
  </si>
  <si>
    <t>LEURLIVB9Y</t>
  </si>
  <si>
    <t>LEURLIVCD10M</t>
  </si>
  <si>
    <t>LEURLIVCD10Y</t>
  </si>
  <si>
    <t>LEURLIVCD11M</t>
  </si>
  <si>
    <t>LEURLIVCD15Y</t>
  </si>
  <si>
    <t>LEURLIVCD1D</t>
  </si>
  <si>
    <t>LEURLIVCD1M</t>
  </si>
  <si>
    <t>LEURLIVCD1Y</t>
  </si>
  <si>
    <t>LEURLIVCD20Y</t>
  </si>
  <si>
    <t>LEURLIVCD2M</t>
  </si>
  <si>
    <t>LEURLIVCD2Y</t>
  </si>
  <si>
    <t>LEURLIVCD30Y</t>
  </si>
  <si>
    <t>LEURLIVCD3M</t>
  </si>
  <si>
    <t>LEURLIVCD3Y</t>
  </si>
  <si>
    <t>LEURLIVCD4M</t>
  </si>
  <si>
    <t>LEURLIVCD4Y</t>
  </si>
  <si>
    <t>LEURLIVCD5M</t>
  </si>
  <si>
    <t>LEURLIVCD5Y</t>
  </si>
  <si>
    <t>LEURLIVCD6M</t>
  </si>
  <si>
    <t>LEURLIVCD6Y</t>
  </si>
  <si>
    <t>LEURLIVCD7M</t>
  </si>
  <si>
    <t>LEURLIVCD7Y</t>
  </si>
  <si>
    <t>LEURLIVCD8M</t>
  </si>
  <si>
    <t>LEURLIVCD8Y</t>
  </si>
  <si>
    <t>LEURLIVCD9M</t>
  </si>
  <si>
    <t>LEURLIVCD9Y</t>
  </si>
  <si>
    <t>LEURLIVCO10M</t>
  </si>
  <si>
    <t>LEURLIVCO10Y</t>
  </si>
  <si>
    <t>LEURLIVCO11M</t>
  </si>
  <si>
    <t>LEURLIVCO15Y</t>
  </si>
  <si>
    <t>LEURLIVCO1D</t>
  </si>
  <si>
    <t>LEURLIVCO1M</t>
  </si>
  <si>
    <t>LEURLIVCO1Y</t>
  </si>
  <si>
    <t>LEURLIVCO20Y</t>
  </si>
  <si>
    <t>LEURLIVCO2M</t>
  </si>
  <si>
    <t>LEURLIVCO2Y</t>
  </si>
  <si>
    <t>LEURLIVCO30Y</t>
  </si>
  <si>
    <t>LEURLIVCO3M</t>
  </si>
  <si>
    <t>LEURLIVCO3Y</t>
  </si>
  <si>
    <t>LEURLIVCO4M</t>
  </si>
  <si>
    <t>LEURLIVCO4Y</t>
  </si>
  <si>
    <t>LEURLIVCO5M</t>
  </si>
  <si>
    <t>LEURLIVCO5Y</t>
  </si>
  <si>
    <t>LEURLIVCO6M</t>
  </si>
  <si>
    <t>LEURLIVCO6Y</t>
  </si>
  <si>
    <t>LEURLIVCO7M</t>
  </si>
  <si>
    <t>LEURLIVCO7Y</t>
  </si>
  <si>
    <t>LEURLIVCO8M</t>
  </si>
  <si>
    <t>LEURLIVCO8Y</t>
  </si>
  <si>
    <t>LEURLIVCO9M</t>
  </si>
  <si>
    <t>LEURLIVCO9Y</t>
  </si>
  <si>
    <t>LEURLIVDV10M</t>
  </si>
  <si>
    <t>LEURLIVDV10Y</t>
  </si>
  <si>
    <t>LEURLIVDV11M</t>
  </si>
  <si>
    <t>LEURLIVDV15Y</t>
  </si>
  <si>
    <t>LEURLIVDV1D</t>
  </si>
  <si>
    <t>LEURLIVDV1M</t>
  </si>
  <si>
    <t>LEURLIVDV1Y</t>
  </si>
  <si>
    <t>LEURLIVDV20Y</t>
  </si>
  <si>
    <t>LEURLIVDV2M</t>
  </si>
  <si>
    <t>LEURLIVDV2Y</t>
  </si>
  <si>
    <t>LEURLIVDV30Y</t>
  </si>
  <si>
    <t>LEURLIVDV3M</t>
  </si>
  <si>
    <t>LEURLIVDV3Y</t>
  </si>
  <si>
    <t>LEURLIVDV4M</t>
  </si>
  <si>
    <t>LEURLIVDV4Y</t>
  </si>
  <si>
    <t>LEURLIVDV5M</t>
  </si>
  <si>
    <t>LEURLIVDV5Y</t>
  </si>
  <si>
    <t>LEURLIVDV6M</t>
  </si>
  <si>
    <t>LEURLIVDV6Y</t>
  </si>
  <si>
    <t>LEURLIVDV7M</t>
  </si>
  <si>
    <t>LEURLIVDV7Y</t>
  </si>
  <si>
    <t>LEURLIVDV8M</t>
  </si>
  <si>
    <t>LEURLIVDV8Y</t>
  </si>
  <si>
    <t>LEURLIVDV9M</t>
  </si>
  <si>
    <t>LEURLIVDV9Y</t>
  </si>
  <si>
    <t>LEURLIVJ10M</t>
  </si>
  <si>
    <t>LEURLIVJ10Y</t>
  </si>
  <si>
    <t>LEURLIVJ11M</t>
  </si>
  <si>
    <t>LEURLIVJ15Y</t>
  </si>
  <si>
    <t>LEURLIVJ1D</t>
  </si>
  <si>
    <t>LEURLIVJ1M</t>
  </si>
  <si>
    <t>LEURLIVJ1Y</t>
  </si>
  <si>
    <t>LEURLIVJ20Y</t>
  </si>
  <si>
    <t>LEURLIVJ2M</t>
  </si>
  <si>
    <t>LEURLIVJ2Y</t>
  </si>
  <si>
    <t>LEURLIVJ30Y</t>
  </si>
  <si>
    <t>LEURLIVJ3M</t>
  </si>
  <si>
    <t>LEURLIVJ3Y</t>
  </si>
  <si>
    <t>LEURLIVJ4M</t>
  </si>
  <si>
    <t>LEURLIVJ4Y</t>
  </si>
  <si>
    <t>LEURLIVJ5M</t>
  </si>
  <si>
    <t>LEURLIVJ5Y</t>
  </si>
  <si>
    <t>LEURLIVJ6M</t>
  </si>
  <si>
    <t>LEURLIVJ6Y</t>
  </si>
  <si>
    <t>LEURLIVJ7M</t>
  </si>
  <si>
    <t>LEURLIVJ7Y</t>
  </si>
  <si>
    <t>LEURLIVJ8M</t>
  </si>
  <si>
    <t>LEURLIVJ8Y</t>
  </si>
  <si>
    <t>LEURLIVJ9M</t>
  </si>
  <si>
    <t>LEURLIVJ9Y</t>
  </si>
  <si>
    <t>LEURLIVPA10M</t>
  </si>
  <si>
    <t>LEURLIVPA10Y</t>
  </si>
  <si>
    <t>LEURLIVPA11M</t>
  </si>
  <si>
    <t>LEURLIVPA15Y</t>
  </si>
  <si>
    <t>LEURLIVPA1D</t>
  </si>
  <si>
    <t>LEURLIVPA1M</t>
  </si>
  <si>
    <t>LEURLIVPA1Y</t>
  </si>
  <si>
    <t>LEURLIVPA20Y</t>
  </si>
  <si>
    <t>LEURLIVPA2M</t>
  </si>
  <si>
    <t>LEURLIVPA2Y</t>
  </si>
  <si>
    <t>LEURLIVPA30Y</t>
  </si>
  <si>
    <t>LEURLIVPA3M</t>
  </si>
  <si>
    <t>LEURLIVPA3Y</t>
  </si>
  <si>
    <t>LEURLIVPA4M</t>
  </si>
  <si>
    <t>LEURLIVPA4Y</t>
  </si>
  <si>
    <t>LEURLIVPA5M</t>
  </si>
  <si>
    <t>LEURLIVPA5Y</t>
  </si>
  <si>
    <t>LEURLIVPA6M</t>
  </si>
  <si>
    <t>LEURLIVPA6Y</t>
  </si>
  <si>
    <t>LEURLIVPA7M</t>
  </si>
  <si>
    <t>LEURLIVPA7Y</t>
  </si>
  <si>
    <t>LEURLIVPA8M</t>
  </si>
  <si>
    <t>LEURLIVPA8Y</t>
  </si>
  <si>
    <t>LEURLIVPA9M</t>
  </si>
  <si>
    <t>LEURLIVPA9Y</t>
  </si>
  <si>
    <t>LEURLIVPE10M</t>
  </si>
  <si>
    <t>LEURLIVPE10Y</t>
  </si>
  <si>
    <t>LEURLIVPE11M</t>
  </si>
  <si>
    <t>LEURLIVPE15Y</t>
  </si>
  <si>
    <t>LEURLIVPE1D</t>
  </si>
  <si>
    <t>LEURLIVPE1M</t>
  </si>
  <si>
    <t>LEURLIVPE1Y</t>
  </si>
  <si>
    <t>LEURLIVPE20Y</t>
  </si>
  <si>
    <t>LEURLIVPE2M</t>
  </si>
  <si>
    <t>LEURLIVPE2Y</t>
  </si>
  <si>
    <t>LEURLIVPE30Y</t>
  </si>
  <si>
    <t>LEURLIVPE3M</t>
  </si>
  <si>
    <t>LEURLIVPE3Y</t>
  </si>
  <si>
    <t>LEURLIVPE4M</t>
  </si>
  <si>
    <t>LEURLIVPE4Y</t>
  </si>
  <si>
    <t>LEURLIVPE5M</t>
  </si>
  <si>
    <t>LEURLIVPE5Y</t>
  </si>
  <si>
    <t>LEURLIVPE6M</t>
  </si>
  <si>
    <t>LEURLIVPE6Y</t>
  </si>
  <si>
    <t>LEURLIVPE7M</t>
  </si>
  <si>
    <t>LEURLIVPE7Y</t>
  </si>
  <si>
    <t>LEURLIVPE8M</t>
  </si>
  <si>
    <t>LEURLIVPE8Y</t>
  </si>
  <si>
    <t>LEURLIVPE9M</t>
  </si>
  <si>
    <t>LEURLIVPE9Y</t>
  </si>
  <si>
    <t>LEURLIVPR10M</t>
  </si>
  <si>
    <t>LEURLIVPR10Y</t>
  </si>
  <si>
    <t>LEURLIVPR11M</t>
  </si>
  <si>
    <t>LEURLIVPR15Y</t>
  </si>
  <si>
    <t>LEURLIVPR1D</t>
  </si>
  <si>
    <t>LEURLIVPR1M</t>
  </si>
  <si>
    <t>LEURLIVPR1Y</t>
  </si>
  <si>
    <t>LEURLIVPR20Y</t>
  </si>
  <si>
    <t>LEURLIVPR2M</t>
  </si>
  <si>
    <t>LEURLIVPR2Y</t>
  </si>
  <si>
    <t>LEURLIVPR30Y</t>
  </si>
  <si>
    <t>LEURLIVPR3M</t>
  </si>
  <si>
    <t>LEURLIVPR3Y</t>
  </si>
  <si>
    <t>LEURLIVPR4M</t>
  </si>
  <si>
    <t>LEURLIVPR4Y</t>
  </si>
  <si>
    <t>LEURLIVPR5M</t>
  </si>
  <si>
    <t>LEURLIVPR5Y</t>
  </si>
  <si>
    <t>LEURLIVPR6M</t>
  </si>
  <si>
    <t>LEURLIVPR6Y</t>
  </si>
  <si>
    <t>LEURLIVPR7M</t>
  </si>
  <si>
    <t>LEURLIVPR7Y</t>
  </si>
  <si>
    <t>LEURLIVPR8M</t>
  </si>
  <si>
    <t>LEURLIVPR8Y</t>
  </si>
  <si>
    <t>LEURLIVPR9M</t>
  </si>
  <si>
    <t>LEURLIVPR9Y</t>
  </si>
  <si>
    <t>LEURSCF10M</t>
  </si>
  <si>
    <t>LEURSCF10Y</t>
  </si>
  <si>
    <t>LEURSCF11M</t>
  </si>
  <si>
    <t>LEURSCF12Y</t>
  </si>
  <si>
    <t>LEURSCF15Y</t>
  </si>
  <si>
    <t>LEURSCF1D</t>
  </si>
  <si>
    <t>LEURSCF1M</t>
  </si>
  <si>
    <t>LEURSCF1W</t>
  </si>
  <si>
    <t>LEURSCF1Y</t>
  </si>
  <si>
    <t>LEURSCF12M</t>
  </si>
  <si>
    <t>LEURSCF20Y</t>
  </si>
  <si>
    <t>LEURSCF25Y</t>
  </si>
  <si>
    <t>LEURSCF2M</t>
  </si>
  <si>
    <t>LEURSCF2W</t>
  </si>
  <si>
    <t>LEURSCF2Y</t>
  </si>
  <si>
    <t>LEURSCF30Y</t>
  </si>
  <si>
    <t>LEURSCF3M</t>
  </si>
  <si>
    <t>LEURSCF3Y</t>
  </si>
  <si>
    <t>LEURSCF4M</t>
  </si>
  <si>
    <t>LEURSCF4Y</t>
  </si>
  <si>
    <t>LEURSCF50Y</t>
  </si>
  <si>
    <t>LEURSCF5M</t>
  </si>
  <si>
    <t>LEURSCF5Y</t>
  </si>
  <si>
    <t>LEURSCF6M</t>
  </si>
  <si>
    <t>LEURSCF6Y</t>
  </si>
  <si>
    <t>LEURSCF7M</t>
  </si>
  <si>
    <t>LEURSCF7Y</t>
  </si>
  <si>
    <t>LEURSCF8M</t>
  </si>
  <si>
    <t>LEURSCF8Y</t>
  </si>
  <si>
    <t>LEURSCF9M</t>
  </si>
  <si>
    <t>LEURSCF9Y</t>
  </si>
  <si>
    <t>LLDDBP10M</t>
  </si>
  <si>
    <t>LLDDBP10Y</t>
  </si>
  <si>
    <t>LLDDBP11M</t>
  </si>
  <si>
    <t>LLDDBP15Y</t>
  </si>
  <si>
    <t>LLDDBP1D</t>
  </si>
  <si>
    <t>LLDDBP1M</t>
  </si>
  <si>
    <t>LLDDBP1Y</t>
  </si>
  <si>
    <t>LLDDBP20Y</t>
  </si>
  <si>
    <t>LLDDBP2M</t>
  </si>
  <si>
    <t>LLDDBP2Y</t>
  </si>
  <si>
    <t>LLDDBP30Y</t>
  </si>
  <si>
    <t>LLDDBP3M</t>
  </si>
  <si>
    <t>LLDDBP3Y</t>
  </si>
  <si>
    <t>LLDDBP4M</t>
  </si>
  <si>
    <t>LLDDBP4Y</t>
  </si>
  <si>
    <t>LLDDBP5M</t>
  </si>
  <si>
    <t>LLDDBP5Y</t>
  </si>
  <si>
    <t>LLDDBP6M</t>
  </si>
  <si>
    <t>LLDDBP6Y</t>
  </si>
  <si>
    <t>LLDDBP7M</t>
  </si>
  <si>
    <t>LLDDBP7Y</t>
  </si>
  <si>
    <t>LLDDBP8M</t>
  </si>
  <si>
    <t>LLDDBP8Y</t>
  </si>
  <si>
    <t>LLDDBP9M</t>
  </si>
  <si>
    <t>LLDDBP9Y</t>
  </si>
  <si>
    <t>LLDDCEP10M</t>
  </si>
  <si>
    <t>LLDDCEP10Y</t>
  </si>
  <si>
    <t>LLDDCEP11M</t>
  </si>
  <si>
    <t>LLDDCEP15Y</t>
  </si>
  <si>
    <t>LLDDCEP1D</t>
  </si>
  <si>
    <t>LLDDCEP1M</t>
  </si>
  <si>
    <t>LLDDCEP1Y</t>
  </si>
  <si>
    <t>LLDDCEP20Y</t>
  </si>
  <si>
    <t>LLDDCEP2M</t>
  </si>
  <si>
    <t>LLDDCEP2Y</t>
  </si>
  <si>
    <t>LLDDCEP30Y</t>
  </si>
  <si>
    <t>LLDDCEP3M</t>
  </si>
  <si>
    <t>LLDDCEP3Y</t>
  </si>
  <si>
    <t>LLDDCEP4M</t>
  </si>
  <si>
    <t>LLDDCEP4Y</t>
  </si>
  <si>
    <t>LLDDCEP5M</t>
  </si>
  <si>
    <t>LLDDCEP5Y</t>
  </si>
  <si>
    <t>LLDDCEP6M</t>
  </si>
  <si>
    <t>LLDDCEP6Y</t>
  </si>
  <si>
    <t>LLDDCEP7M</t>
  </si>
  <si>
    <t>LLDDCEP7Y</t>
  </si>
  <si>
    <t>LLDDCEP8M</t>
  </si>
  <si>
    <t>LLDDCEP8Y</t>
  </si>
  <si>
    <t>LLDDCEP9M</t>
  </si>
  <si>
    <t>LLDDCEP9Y</t>
  </si>
  <si>
    <t>LPLIVABP10M</t>
  </si>
  <si>
    <t>LPLIVABP10Y</t>
  </si>
  <si>
    <t>LPLIVABP11M</t>
  </si>
  <si>
    <t>LPLIVABP15Y</t>
  </si>
  <si>
    <t>LPLIVABP1D</t>
  </si>
  <si>
    <t>LPLIVABP1M</t>
  </si>
  <si>
    <t>LPLIVABP1Y</t>
  </si>
  <si>
    <t>LPLIVABP20Y</t>
  </si>
  <si>
    <t>LPLIVABP2M</t>
  </si>
  <si>
    <t>LPLIVABP2Y</t>
  </si>
  <si>
    <t>LPLIVABP30Y</t>
  </si>
  <si>
    <t>LPLIVABP3M</t>
  </si>
  <si>
    <t>LPLIVABP3Y</t>
  </si>
  <si>
    <t>LPLIVABP4M</t>
  </si>
  <si>
    <t>LPLIVABP4Y</t>
  </si>
  <si>
    <t>LPLIVABP5M</t>
  </si>
  <si>
    <t>LPLIVABP5Y</t>
  </si>
  <si>
    <t>LPLIVABP6M</t>
  </si>
  <si>
    <t>LPLIVABP6Y</t>
  </si>
  <si>
    <t>LPLIVABP7M</t>
  </si>
  <si>
    <t>LPLIVABP7Y</t>
  </si>
  <si>
    <t>LPLIVABP8M</t>
  </si>
  <si>
    <t>LPLIVABP8Y</t>
  </si>
  <si>
    <t>LPLIVABP9M</t>
  </si>
  <si>
    <t>LPLIVABP9Y</t>
  </si>
  <si>
    <t>LPLIVACEP10M</t>
  </si>
  <si>
    <t>LPLIVACEP10Y</t>
  </si>
  <si>
    <t>LPLIVACEP11M</t>
  </si>
  <si>
    <t>LPLIVACEP15Y</t>
  </si>
  <si>
    <t>LPLIVACEP1D</t>
  </si>
  <si>
    <t>LPLIVACEP1M</t>
  </si>
  <si>
    <t>LPLIVACEP1Y</t>
  </si>
  <si>
    <t>LPLIVACEP20Y</t>
  </si>
  <si>
    <t>LPLIVACEP2M</t>
  </si>
  <si>
    <t>LPLIVACEP2Y</t>
  </si>
  <si>
    <t>LPLIVACEP30Y</t>
  </si>
  <si>
    <t>LPLIVACEP3M</t>
  </si>
  <si>
    <t>LPLIVACEP3Y</t>
  </si>
  <si>
    <t>LPLIVACEP4M</t>
  </si>
  <si>
    <t>LPLIVACEP4Y</t>
  </si>
  <si>
    <t>LPLIVACEP5M</t>
  </si>
  <si>
    <t>LPLIVACEP5Y</t>
  </si>
  <si>
    <t>LPLIVACEP6M</t>
  </si>
  <si>
    <t>LPLIVACEP6Y</t>
  </si>
  <si>
    <t>LPLIVACEP7M</t>
  </si>
  <si>
    <t>LPLIVACEP7Y</t>
  </si>
  <si>
    <t>LPLIVACEP8M</t>
  </si>
  <si>
    <t>LPLIVACEP8Y</t>
  </si>
  <si>
    <t>LPLIVACEP9M</t>
  </si>
  <si>
    <t>LPLIVACEP9Y</t>
  </si>
  <si>
    <t>EURPEL141D</t>
  </si>
  <si>
    <t>MGABCEAO1W</t>
  </si>
  <si>
    <t>MGAIBORBID1M</t>
  </si>
  <si>
    <t>MURBCEAO1W</t>
  </si>
  <si>
    <t>MURIBOR1D</t>
  </si>
  <si>
    <t>MURIBORBID1M</t>
  </si>
  <si>
    <t>NZDSP-1W</t>
  </si>
  <si>
    <t>NZDSP-50Y</t>
  </si>
  <si>
    <t>OISCHF50Y</t>
  </si>
  <si>
    <t>OISGBP50Y</t>
  </si>
  <si>
    <t>OISNZD1D</t>
  </si>
  <si>
    <t>OISNZD50Y</t>
  </si>
  <si>
    <t>PLSASKM10M</t>
  </si>
  <si>
    <t>PLSASKM10Y</t>
  </si>
  <si>
    <t>PLSASKM11M</t>
  </si>
  <si>
    <t>PLSASKM12Y</t>
  </si>
  <si>
    <t>PLSASKM15Y</t>
  </si>
  <si>
    <t>PLSASKM1D</t>
  </si>
  <si>
    <t>PLSASKM1M</t>
  </si>
  <si>
    <t>PLSASKM1W</t>
  </si>
  <si>
    <t>PLSASKM1Y</t>
  </si>
  <si>
    <t>PLSASKM20Y</t>
  </si>
  <si>
    <t>PLSASKM25Y</t>
  </si>
  <si>
    <t>PLSASKM2M</t>
  </si>
  <si>
    <t>PLSASKM2W</t>
  </si>
  <si>
    <t>PLSASKM2Y</t>
  </si>
  <si>
    <t>PLSASKM30Y</t>
  </si>
  <si>
    <t>PLSASKM3M</t>
  </si>
  <si>
    <t>PLSASKM3Y</t>
  </si>
  <si>
    <t>PLSASKM4M</t>
  </si>
  <si>
    <t>PLSASKM4Y</t>
  </si>
  <si>
    <t>PLSASKM50Y</t>
  </si>
  <si>
    <t>PLSASKM5M</t>
  </si>
  <si>
    <t>PLSASKM5Y</t>
  </si>
  <si>
    <t>PLSASKM6M</t>
  </si>
  <si>
    <t>PLSASKM6Y</t>
  </si>
  <si>
    <t>PLSASKM7M</t>
  </si>
  <si>
    <t>PLSASKM7Y</t>
  </si>
  <si>
    <t>PLSASKM8M</t>
  </si>
  <si>
    <t>PLSASKM8Y</t>
  </si>
  <si>
    <t>PLSASKM9M</t>
  </si>
  <si>
    <t>PLSASKM9Y</t>
  </si>
  <si>
    <t>EURPEL151D</t>
  </si>
  <si>
    <t>SARLIB50Y</t>
  </si>
  <si>
    <t>SCFASKH10M</t>
  </si>
  <si>
    <t>SCFASKH10Y</t>
  </si>
  <si>
    <t>SCFASKH11M</t>
  </si>
  <si>
    <t>SCFASKH12M</t>
  </si>
  <si>
    <t>SCFASKH12Y</t>
  </si>
  <si>
    <t>SCFASKH15Y</t>
  </si>
  <si>
    <t>SCFASKH1D</t>
  </si>
  <si>
    <t>SCFASKH1M</t>
  </si>
  <si>
    <t>SCFASKH1W</t>
  </si>
  <si>
    <t>SCFASKH20Y</t>
  </si>
  <si>
    <t>SCFASKH25Y</t>
  </si>
  <si>
    <t>SCFASKH2M</t>
  </si>
  <si>
    <t>SCFASKH2W</t>
  </si>
  <si>
    <t>SCFASKH2Y</t>
  </si>
  <si>
    <t>SCFASKH30Y</t>
  </si>
  <si>
    <t>SCFASKH3M</t>
  </si>
  <si>
    <t>SCFASKH3Y</t>
  </si>
  <si>
    <t>SCFASKH4M</t>
  </si>
  <si>
    <t>SCFASKH4Y</t>
  </si>
  <si>
    <t>SCFASKH50Y</t>
  </si>
  <si>
    <t>SCFASKH5M</t>
  </si>
  <si>
    <t>SCFASKH5Y</t>
  </si>
  <si>
    <t>SCFASKH6M</t>
  </si>
  <si>
    <t>SCFASKH6Y</t>
  </si>
  <si>
    <t>SCFASKH7M</t>
  </si>
  <si>
    <t>SCFASKH7Y</t>
  </si>
  <si>
    <t>SCFASKH8M</t>
  </si>
  <si>
    <t>SCFASKH8Y</t>
  </si>
  <si>
    <t>SCFASKH9M</t>
  </si>
  <si>
    <t>SCFASKH9Y</t>
  </si>
  <si>
    <t>SGDSIBOR50Y</t>
  </si>
  <si>
    <t>TAUX_PEL_PN</t>
  </si>
  <si>
    <t>TCASKM10M</t>
  </si>
  <si>
    <t>TCASKM10ME</t>
  </si>
  <si>
    <t>TCASKM10MP</t>
  </si>
  <si>
    <t>TCASKM10Y</t>
  </si>
  <si>
    <t>TCASKM10YE</t>
  </si>
  <si>
    <t>TCASKM10YP</t>
  </si>
  <si>
    <t>TCASKM11M</t>
  </si>
  <si>
    <t>TCASKM11ME</t>
  </si>
  <si>
    <t>TCASKM11MP</t>
  </si>
  <si>
    <t>TCASKM12M</t>
  </si>
  <si>
    <t>TCASKM12ME</t>
  </si>
  <si>
    <t>TCASKM12MP</t>
  </si>
  <si>
    <t>TCASKM12Y</t>
  </si>
  <si>
    <t>TCASKM12YE</t>
  </si>
  <si>
    <t>TCASKM12YP</t>
  </si>
  <si>
    <t>TCASKM15Y</t>
  </si>
  <si>
    <t>TCASKM15YE</t>
  </si>
  <si>
    <t>TCASKM15YP</t>
  </si>
  <si>
    <t>TCASKM1D</t>
  </si>
  <si>
    <t>TCASKM1DE</t>
  </si>
  <si>
    <t>TCASKM1DP</t>
  </si>
  <si>
    <t>TCASKM1M</t>
  </si>
  <si>
    <t>TCASKM1ME</t>
  </si>
  <si>
    <t>TCASKM1MP</t>
  </si>
  <si>
    <t>TCASKM1W</t>
  </si>
  <si>
    <t>TCASKM1WE</t>
  </si>
  <si>
    <t>TCASKM1WP</t>
  </si>
  <si>
    <t>TCASKM20Y</t>
  </si>
  <si>
    <t>TCASKM20YE</t>
  </si>
  <si>
    <t>TCASKM20YP</t>
  </si>
  <si>
    <t>TCASKM25Y</t>
  </si>
  <si>
    <t>TCASKM25YE</t>
  </si>
  <si>
    <t>TCASKM25YP</t>
  </si>
  <si>
    <t>TCASKM2M</t>
  </si>
  <si>
    <t>TCASKM2ME</t>
  </si>
  <si>
    <t>TCASKM2MP</t>
  </si>
  <si>
    <t>TCASKM2W</t>
  </si>
  <si>
    <t>TCASKM2WE</t>
  </si>
  <si>
    <t>TCASKM2WP</t>
  </si>
  <si>
    <t>TCASKM2Y</t>
  </si>
  <si>
    <t>TCASKM2YE</t>
  </si>
  <si>
    <t>TCASKM2YP</t>
  </si>
  <si>
    <t>TCASKM30Y</t>
  </si>
  <si>
    <t>TCASKM30YE</t>
  </si>
  <si>
    <t>TCASKM30YP</t>
  </si>
  <si>
    <t>TCASKM3M</t>
  </si>
  <si>
    <t>TCASKM3ME</t>
  </si>
  <si>
    <t>TCASKM3MP</t>
  </si>
  <si>
    <t>TCASKM3Y</t>
  </si>
  <si>
    <t>TCASKM3YE</t>
  </si>
  <si>
    <t>TCASKM3YP</t>
  </si>
  <si>
    <t>TCASKM40Y</t>
  </si>
  <si>
    <t>TCASKM40YE</t>
  </si>
  <si>
    <t>TCASKM40YP</t>
  </si>
  <si>
    <t>TCASKM4M</t>
  </si>
  <si>
    <t>TCASKM4ME</t>
  </si>
  <si>
    <t>TCASKM4MP</t>
  </si>
  <si>
    <t>TCASKM4Y</t>
  </si>
  <si>
    <t>TCASKM4YE</t>
  </si>
  <si>
    <t>TCASKM4YP</t>
  </si>
  <si>
    <t>TCASKM50Y</t>
  </si>
  <si>
    <t>TCASKM50YE</t>
  </si>
  <si>
    <t>TCASKM50YP</t>
  </si>
  <si>
    <t>TCASKM5M</t>
  </si>
  <si>
    <t>TCASKM5ME</t>
  </si>
  <si>
    <t>TCASKM5MP</t>
  </si>
  <si>
    <t>TCASKM5Y</t>
  </si>
  <si>
    <t>TCASKM5YE</t>
  </si>
  <si>
    <t>TCASKM5YP</t>
  </si>
  <si>
    <t>TCASKM6M</t>
  </si>
  <si>
    <t>TCASKM6ME</t>
  </si>
  <si>
    <t>TCASKM6MP</t>
  </si>
  <si>
    <t>TCASKM6Y</t>
  </si>
  <si>
    <t>TCASKM6YE</t>
  </si>
  <si>
    <t>TCASKM6YP</t>
  </si>
  <si>
    <t>TCASKM7M</t>
  </si>
  <si>
    <t>TCASKM7ME</t>
  </si>
  <si>
    <t>TCASKM7MP</t>
  </si>
  <si>
    <t>TCASKM7Y</t>
  </si>
  <si>
    <t>TCASKM7YE</t>
  </si>
  <si>
    <t>TCASKM7YP</t>
  </si>
  <si>
    <t>TCASKM8M</t>
  </si>
  <si>
    <t>TCASKM8ME</t>
  </si>
  <si>
    <t>TCASKM8MP</t>
  </si>
  <si>
    <t>TCASKM8Y</t>
  </si>
  <si>
    <t>TCASKM8YE</t>
  </si>
  <si>
    <t>TCASKM8YP</t>
  </si>
  <si>
    <t>TCASKM9M</t>
  </si>
  <si>
    <t>TCASKM9ME</t>
  </si>
  <si>
    <t>TCASKM9MP</t>
  </si>
  <si>
    <t>TCASKM9Y</t>
  </si>
  <si>
    <t>TCASKM9YE</t>
  </si>
  <si>
    <t>TCASKM9YP</t>
  </si>
  <si>
    <t>TCBIDCAT10M</t>
  </si>
  <si>
    <t>TCBIDCAT10Y</t>
  </si>
  <si>
    <t>TCBIDCAT11M</t>
  </si>
  <si>
    <t>TCBIDCAT12M</t>
  </si>
  <si>
    <t>TCBIDCAT12Y</t>
  </si>
  <si>
    <t>TCBIDCAT15Y</t>
  </si>
  <si>
    <t>TCBIDCAT1D</t>
  </si>
  <si>
    <t>TCBIDCAT1M</t>
  </si>
  <si>
    <t>TCBIDCAT1W</t>
  </si>
  <si>
    <t>TCBIDCAT20Y</t>
  </si>
  <si>
    <t>TCBIDCAT25Y</t>
  </si>
  <si>
    <t>TCBIDCAT2M</t>
  </si>
  <si>
    <t>TCBIDCAT2W</t>
  </si>
  <si>
    <t>TCBIDCAT2Y</t>
  </si>
  <si>
    <t>TCBIDCAT30Y</t>
  </si>
  <si>
    <t>TCBIDCAT3M</t>
  </si>
  <si>
    <t>TCBIDCAT3Y</t>
  </si>
  <si>
    <t>TCBIDCAT40Y</t>
  </si>
  <si>
    <t>TCBIDCAT4M</t>
  </si>
  <si>
    <t>TCBIDCAT4Y</t>
  </si>
  <si>
    <t>TCBIDCAT50Y</t>
  </si>
  <si>
    <t>TCBIDCAT5M</t>
  </si>
  <si>
    <t>TCBIDCAT5Y</t>
  </si>
  <si>
    <t>TCBIDCAT6M</t>
  </si>
  <si>
    <t>TCBIDCAT6Y</t>
  </si>
  <si>
    <t>TCBIDCAT7M</t>
  </si>
  <si>
    <t>TCBIDCAT7Y</t>
  </si>
  <si>
    <t>TCBIDCAT8M</t>
  </si>
  <si>
    <t>TCBIDCAT8Y</t>
  </si>
  <si>
    <t>TCBIDCAT9M</t>
  </si>
  <si>
    <t>TCBIDCAT9Y</t>
  </si>
  <si>
    <t>TCBIDM10M</t>
  </si>
  <si>
    <t>TCBIDM10Y</t>
  </si>
  <si>
    <t>TCBIDM11M</t>
  </si>
  <si>
    <t>TCBIDM12M</t>
  </si>
  <si>
    <t>TCBIDM12Y</t>
  </si>
  <si>
    <t>TCBIDM15Y</t>
  </si>
  <si>
    <t>TCBIDM1D</t>
  </si>
  <si>
    <t>TCBIDM1M</t>
  </si>
  <si>
    <t>TCBIDM1W</t>
  </si>
  <si>
    <t>TCBIDM20Y</t>
  </si>
  <si>
    <t>TCBIDM25Y</t>
  </si>
  <si>
    <t>TCBIDM2M</t>
  </si>
  <si>
    <t>TCBIDM2W</t>
  </si>
  <si>
    <t>TCBIDM2Y</t>
  </si>
  <si>
    <t>TCBIDM30Y</t>
  </si>
  <si>
    <t>TCBIDM3M</t>
  </si>
  <si>
    <t>TCBIDM3Y</t>
  </si>
  <si>
    <t>TCBIDM40Y</t>
  </si>
  <si>
    <t>TCBIDM4M</t>
  </si>
  <si>
    <t>TCBIDM4Y</t>
  </si>
  <si>
    <t>TCBIDM50Y</t>
  </si>
  <si>
    <t>TCBIDM5M</t>
  </si>
  <si>
    <t>TCBIDM5Y</t>
  </si>
  <si>
    <t>TCBIDM6M</t>
  </si>
  <si>
    <t>TCBIDM6Y</t>
  </si>
  <si>
    <t>TCBIDM7M</t>
  </si>
  <si>
    <t>TCBIDM7Y</t>
  </si>
  <si>
    <t>TCBIDM8M</t>
  </si>
  <si>
    <t>TCBIDM8Y</t>
  </si>
  <si>
    <t>TCBIDM9M</t>
  </si>
  <si>
    <t>TCBIDM9Y</t>
  </si>
  <si>
    <t>TCSP-10M</t>
  </si>
  <si>
    <t>TCSP-10Y</t>
  </si>
  <si>
    <t>TCSP-11M</t>
  </si>
  <si>
    <t>TCSP-12M</t>
  </si>
  <si>
    <t>TCSP-12Y</t>
  </si>
  <si>
    <t>TCSP-15Y</t>
  </si>
  <si>
    <t>TCSP-1D</t>
  </si>
  <si>
    <t>TCSP-1M</t>
  </si>
  <si>
    <t>TCSP-20Y</t>
  </si>
  <si>
    <t>TCSP-25Y</t>
  </si>
  <si>
    <t>TCSP-2M</t>
  </si>
  <si>
    <t>TCSP-2Y</t>
  </si>
  <si>
    <t>TCSP-30Y</t>
  </si>
  <si>
    <t>TCSP-3M</t>
  </si>
  <si>
    <t>TCSP-3Y</t>
  </si>
  <si>
    <t>TCSP-40Y</t>
  </si>
  <si>
    <t>TCSP-4M</t>
  </si>
  <si>
    <t>TCSP-4Y</t>
  </si>
  <si>
    <t>TCSP-50Y</t>
  </si>
  <si>
    <t>TCSP-5M</t>
  </si>
  <si>
    <t>TCSP-5Y</t>
  </si>
  <si>
    <t>TCSP-6M</t>
  </si>
  <si>
    <t>TCSP-6Y</t>
  </si>
  <si>
    <t>TCSP-7M</t>
  </si>
  <si>
    <t>TCSP-7Y</t>
  </si>
  <si>
    <t>TCSP-8M</t>
  </si>
  <si>
    <t>TCSP-8Y</t>
  </si>
  <si>
    <t>TCSP-9M</t>
  </si>
  <si>
    <t>TCSP-9Y</t>
  </si>
  <si>
    <t>TNDBCEAO1W</t>
  </si>
  <si>
    <t>TNDIBORBID1M</t>
  </si>
  <si>
    <t>TNDTNDIB3M</t>
  </si>
  <si>
    <t>TVZERO</t>
  </si>
  <si>
    <t>EURPEL161D</t>
  </si>
  <si>
    <t>TX_LIVPREF</t>
  </si>
  <si>
    <t>EURPEL171D</t>
  </si>
  <si>
    <t>USD1D</t>
  </si>
  <si>
    <t>USDASKM1W</t>
  </si>
  <si>
    <t>USDASKM2W</t>
  </si>
  <si>
    <t>USDASKM50Y</t>
  </si>
  <si>
    <t>USDBIDM1W</t>
  </si>
  <si>
    <t>USDBIDM2W</t>
  </si>
  <si>
    <t>USDBIDM50Y</t>
  </si>
  <si>
    <t>USDLIB3W</t>
  </si>
  <si>
    <t>USDSP-50Y</t>
  </si>
  <si>
    <t>XAFBCEAO1W</t>
  </si>
  <si>
    <t>XAFIBORBID1M</t>
  </si>
  <si>
    <t>XPFBCEAO1W</t>
  </si>
  <si>
    <t>XPFIBORBID1M</t>
  </si>
  <si>
    <t>XPFT4M</t>
  </si>
  <si>
    <t>E3MTCASK10ME</t>
  </si>
  <si>
    <t>E3MTCASK10MP</t>
  </si>
  <si>
    <t>E3MTCASK10YE</t>
  </si>
  <si>
    <t>E3MTCASK10YP</t>
  </si>
  <si>
    <t>E3MTCASK11ME</t>
  </si>
  <si>
    <t>E3MTCASK11MP</t>
  </si>
  <si>
    <t>E3MTCASK12YE</t>
  </si>
  <si>
    <t>E3MTCASK12YP</t>
  </si>
  <si>
    <t>E3MTCASK15YE</t>
  </si>
  <si>
    <t>E3MTCASK15YP</t>
  </si>
  <si>
    <t>E3MTCASK1DE</t>
  </si>
  <si>
    <t>E3MTCASK1DP</t>
  </si>
  <si>
    <t>E3MTCASK1ME</t>
  </si>
  <si>
    <t>E3MTCASK1MP</t>
  </si>
  <si>
    <t>E3MTCASK1WE</t>
  </si>
  <si>
    <t>E3MTCASK1WP</t>
  </si>
  <si>
    <t>E3MTCASK1YE</t>
  </si>
  <si>
    <t>E3MTCASK1YP</t>
  </si>
  <si>
    <t>E3MTCASK20YE</t>
  </si>
  <si>
    <t>E3MTCASK20YP</t>
  </si>
  <si>
    <t>E3MTCASK25YE</t>
  </si>
  <si>
    <t>E3MTCASK25YP</t>
  </si>
  <si>
    <t>E3MTCASK2ME</t>
  </si>
  <si>
    <t>E3MTCASK2MP</t>
  </si>
  <si>
    <t>E3MTCASK2WE</t>
  </si>
  <si>
    <t>E3MTCASK2WP</t>
  </si>
  <si>
    <t>E3MTCASK2YE</t>
  </si>
  <si>
    <t>E3MTCASK2YP</t>
  </si>
  <si>
    <t>E3MTCASK30YE</t>
  </si>
  <si>
    <t>E3MTCASK30YP</t>
  </si>
  <si>
    <t>E3MTCASK3ME</t>
  </si>
  <si>
    <t>E3MTCASK3MP</t>
  </si>
  <si>
    <t>E3MTCASK3YE</t>
  </si>
  <si>
    <t>E3MTCASK3YP</t>
  </si>
  <si>
    <t>E3MTCASK40YE</t>
  </si>
  <si>
    <t>E3MTCASK40YP</t>
  </si>
  <si>
    <t>E3MTCASK4ME</t>
  </si>
  <si>
    <t>E3MTCASK4MP</t>
  </si>
  <si>
    <t>E3MTCASK4YE</t>
  </si>
  <si>
    <t>E3MTCASK4YP</t>
  </si>
  <si>
    <t>E3MTCASK50YE</t>
  </si>
  <si>
    <t>E3MTCASK50YP</t>
  </si>
  <si>
    <t>E3MTCASK5ME</t>
  </si>
  <si>
    <t>E3MTCASK5MP</t>
  </si>
  <si>
    <t>E3MTCASK5YE</t>
  </si>
  <si>
    <t>E3MTCASK5YP</t>
  </si>
  <si>
    <t>E3MTCASK6ME</t>
  </si>
  <si>
    <t>E3MTCASK6MP</t>
  </si>
  <si>
    <t>E3MTCASK6YE</t>
  </si>
  <si>
    <t>E3MTCASK6YP</t>
  </si>
  <si>
    <t>E3MTCASK7ME</t>
  </si>
  <si>
    <t>E3MTCASK7MP</t>
  </si>
  <si>
    <t>E3MTCASK7YE</t>
  </si>
  <si>
    <t>E3MTCASK7YP</t>
  </si>
  <si>
    <t>E3MTCASK8ME</t>
  </si>
  <si>
    <t>E3MTCASK8MP</t>
  </si>
  <si>
    <t>E3MTCASK8YE</t>
  </si>
  <si>
    <t>E3MTCASK8YP</t>
  </si>
  <si>
    <t>E3MTCASK9ME</t>
  </si>
  <si>
    <t>E3MTCASK9MP</t>
  </si>
  <si>
    <t>E3MTCASK9YE</t>
  </si>
  <si>
    <t>E3MTCASK9YP</t>
  </si>
  <si>
    <t>EURPEL181D</t>
  </si>
  <si>
    <t>EURPEL3501D</t>
  </si>
  <si>
    <t>EURPEL3601D</t>
  </si>
  <si>
    <t>EURPEL41D</t>
  </si>
  <si>
    <t>EURPEL4251D</t>
  </si>
  <si>
    <t>EURPEL4501D</t>
  </si>
  <si>
    <t>EURPEL5251D</t>
  </si>
  <si>
    <t>EURPEL61D</t>
  </si>
  <si>
    <t>EURPEL1150Y</t>
  </si>
  <si>
    <t>EURPEL1250Y</t>
  </si>
  <si>
    <t>EURPEL1350Y</t>
  </si>
  <si>
    <t>EURPEL1450Y</t>
  </si>
  <si>
    <t>EURPEL1550Y</t>
  </si>
  <si>
    <t>EURPEL1650Y</t>
  </si>
  <si>
    <t>EURPEL1750Y</t>
  </si>
  <si>
    <t>EURPEL1850Y</t>
  </si>
  <si>
    <t>EURPEL35050Y</t>
  </si>
  <si>
    <t>EURPEL36050Y</t>
  </si>
  <si>
    <t>EURPEL42550Y</t>
  </si>
  <si>
    <t>EURPEL45050Y</t>
  </si>
  <si>
    <t>EURPEL450Y</t>
  </si>
  <si>
    <t>EURPEL52550Y</t>
  </si>
  <si>
    <t>EURPEL650Y</t>
  </si>
  <si>
    <t>iCAC40</t>
  </si>
  <si>
    <t>MG12EURTAM</t>
  </si>
  <si>
    <t>EUR80T20</t>
  </si>
  <si>
    <t>AUDSP-40Y</t>
  </si>
  <si>
    <t>CMS1Y6M</t>
  </si>
  <si>
    <t>CMS3Y6M</t>
  </si>
  <si>
    <t>CMS4Y6M</t>
  </si>
  <si>
    <t>CMS5TCASK10M</t>
  </si>
  <si>
    <t>CMS5TCASK10Y</t>
  </si>
  <si>
    <t>CMS5TCASK11M</t>
  </si>
  <si>
    <t>CMS5TCASK12Y</t>
  </si>
  <si>
    <t>CMS5TCASK15Y</t>
  </si>
  <si>
    <t>CMS5TCASK1D</t>
  </si>
  <si>
    <t>CMS5TCASK1M</t>
  </si>
  <si>
    <t>CMS5TCASK1W</t>
  </si>
  <si>
    <t>CMS5TCASK1Y</t>
  </si>
  <si>
    <t>CMS5TCASK20Y</t>
  </si>
  <si>
    <t>CMS5TCASK25Y</t>
  </si>
  <si>
    <t>CMS5TCASK2M</t>
  </si>
  <si>
    <t>CMS5TCASK2W</t>
  </si>
  <si>
    <t>CMS5TCASK2Y</t>
  </si>
  <si>
    <t>CMS5TCASK30Y</t>
  </si>
  <si>
    <t>CMS5TCASK3M</t>
  </si>
  <si>
    <t>CMS5TCASK3Y</t>
  </si>
  <si>
    <t>CMS5TCASK40Y</t>
  </si>
  <si>
    <t>CMS5TCASK4M</t>
  </si>
  <si>
    <t>CMS5TCASK4Y</t>
  </si>
  <si>
    <t>CMS5TCASK50Y</t>
  </si>
  <si>
    <t>CMS5TCASK5M</t>
  </si>
  <si>
    <t>CMS5TCASK5Y</t>
  </si>
  <si>
    <t>CMS5TCASK6M</t>
  </si>
  <si>
    <t>CMS5TCASK6Y</t>
  </si>
  <si>
    <t>CMS5TCASK7M</t>
  </si>
  <si>
    <t>CMS5TCASK7Y</t>
  </si>
  <si>
    <t>CMS5TCASK8M</t>
  </si>
  <si>
    <t>CMS5TCASK8Y</t>
  </si>
  <si>
    <t>CMS5TCASK9M</t>
  </si>
  <si>
    <t>CMS5TCASK9Y</t>
  </si>
  <si>
    <t>CMS5Y6M</t>
  </si>
  <si>
    <t>CMS6Y6M</t>
  </si>
  <si>
    <t>CMS7Y6M</t>
  </si>
  <si>
    <t>CMS8Y6M</t>
  </si>
  <si>
    <t>CMS9Y6M</t>
  </si>
  <si>
    <t>E3MCVBAM10M</t>
  </si>
  <si>
    <t>E3MCVBAM10Y</t>
  </si>
  <si>
    <t>E3MCVBAM11M</t>
  </si>
  <si>
    <t>E3MCVBAM12Y</t>
  </si>
  <si>
    <t>E3MCVBAM15Y</t>
  </si>
  <si>
    <t>E3MCVBAM1D</t>
  </si>
  <si>
    <t>E3MCVBAM1M</t>
  </si>
  <si>
    <t>E3MCVBAM1W</t>
  </si>
  <si>
    <t>E3MCVBAM1Y</t>
  </si>
  <si>
    <t>E3MCVBAM20Y</t>
  </si>
  <si>
    <t>E3MCVBAM25Y</t>
  </si>
  <si>
    <t>E3MCVBAM2M</t>
  </si>
  <si>
    <t>E3MCVBAM2W</t>
  </si>
  <si>
    <t>E3MCVBAM2Y</t>
  </si>
  <si>
    <t>E3MCVBAM30Y</t>
  </si>
  <si>
    <t>E3MCVBAM3M</t>
  </si>
  <si>
    <t>E3MCVBAM3Y</t>
  </si>
  <si>
    <t>E3MCVBAM4M</t>
  </si>
  <si>
    <t>E3MCVBAM4Y</t>
  </si>
  <si>
    <t>E3MCVBAM50Y</t>
  </si>
  <si>
    <t>E3MCVBAM5M</t>
  </si>
  <si>
    <t>E3MCVBAM5Y</t>
  </si>
  <si>
    <t>E3MCVBAM6M</t>
  </si>
  <si>
    <t>E3MCVBAM6Y</t>
  </si>
  <si>
    <t>E3MCVBAM7M</t>
  </si>
  <si>
    <t>E3MCVBAM7Y</t>
  </si>
  <si>
    <t>E3MCVBAM8M</t>
  </si>
  <si>
    <t>E3MCVBAM8Y</t>
  </si>
  <si>
    <t>E3MCVBAM9M</t>
  </si>
  <si>
    <t>E3MCVBAM9Y</t>
  </si>
  <si>
    <t>E3MTCASKM10M</t>
  </si>
  <si>
    <t>E3MTCASKM10Y</t>
  </si>
  <si>
    <t>E3MTCASKM11M</t>
  </si>
  <si>
    <t>E3MTCASKM12Y</t>
  </si>
  <si>
    <t>E3MTCASKM15Y</t>
  </si>
  <si>
    <t>E3MTCASKM1D</t>
  </si>
  <si>
    <t>E3MTCASKM1M</t>
  </si>
  <si>
    <t>E3MTCASKM1W</t>
  </si>
  <si>
    <t>E3MTCASKM1Y</t>
  </si>
  <si>
    <t>E3MTCASKM20Y</t>
  </si>
  <si>
    <t>E3MTCASKM25Y</t>
  </si>
  <si>
    <t>E3MTCASKM2M</t>
  </si>
  <si>
    <t>E3MTCASKM2W</t>
  </si>
  <si>
    <t>E3MTCASKM2Y</t>
  </si>
  <si>
    <t>E3MTCASKM30Y</t>
  </si>
  <si>
    <t>E3MTCASKM3M</t>
  </si>
  <si>
    <t>E3MTCASKM3Y</t>
  </si>
  <si>
    <t>E3MTCASKM40Y</t>
  </si>
  <si>
    <t>E3MTCASKM4M</t>
  </si>
  <si>
    <t>E3MTCASKM4Y</t>
  </si>
  <si>
    <t>E3MTCASKM50Y</t>
  </si>
  <si>
    <t>E3MTCASKM5M</t>
  </si>
  <si>
    <t>E3MTCASKM5Y</t>
  </si>
  <si>
    <t>E3MTCASKM6M</t>
  </si>
  <si>
    <t>E3MTCASKM6Y</t>
  </si>
  <si>
    <t>E3MTCASKM7M</t>
  </si>
  <si>
    <t>E3MTCASKM7Y</t>
  </si>
  <si>
    <t>E3MTCASKM8M</t>
  </si>
  <si>
    <t>E3MTCASKM8Y</t>
  </si>
  <si>
    <t>E3MTCASKM9M</t>
  </si>
  <si>
    <t>E3MTCASKM9Y</t>
  </si>
  <si>
    <t>E3MTCBIDM10M</t>
  </si>
  <si>
    <t>E3MTCBIDM10Y</t>
  </si>
  <si>
    <t>E3MTCBIDM11M</t>
  </si>
  <si>
    <t>E3MTCBIDM12Y</t>
  </si>
  <si>
    <t>E3MTCBIDM15Y</t>
  </si>
  <si>
    <t>E3MTCBIDM1D</t>
  </si>
  <si>
    <t>E3MTCBIDM1M</t>
  </si>
  <si>
    <t>E3MTCBIDM1W</t>
  </si>
  <si>
    <t>E3MTCBIDM1Y</t>
  </si>
  <si>
    <t>E3MTCBIDM20Y</t>
  </si>
  <si>
    <t>E3MTCBIDM25Y</t>
  </si>
  <si>
    <t>E3MTCBIDM2M</t>
  </si>
  <si>
    <t>E3MTCBIDM2W</t>
  </si>
  <si>
    <t>E3MTCBIDM2Y</t>
  </si>
  <si>
    <t>E3MTCBIDM30Y</t>
  </si>
  <si>
    <t>E3MTCBIDM3M</t>
  </si>
  <si>
    <t>E3MTCBIDM3Y</t>
  </si>
  <si>
    <t>E3MTCBIDM40Y</t>
  </si>
  <si>
    <t>E3MTCBIDM4M</t>
  </si>
  <si>
    <t>E3MTCBIDM4Y</t>
  </si>
  <si>
    <t>E3MTCBIDM50Y</t>
  </si>
  <si>
    <t>E3MTCBIDM5M</t>
  </si>
  <si>
    <t>E3MTCBIDM5Y</t>
  </si>
  <si>
    <t>E3MTCBIDM6M</t>
  </si>
  <si>
    <t>E3MTCBIDM6Y</t>
  </si>
  <si>
    <t>E3MTCBIDM7M</t>
  </si>
  <si>
    <t>E3MTCBIDM7Y</t>
  </si>
  <si>
    <t>E3MTCBIDM8M</t>
  </si>
  <si>
    <t>E3MTCBIDM8Y</t>
  </si>
  <si>
    <t>E3MTCBIDM9M</t>
  </si>
  <si>
    <t>E3MTCBIDM9Y</t>
  </si>
  <si>
    <t>E3MTCSP-10M</t>
  </si>
  <si>
    <t>E3MTCSP-10Y</t>
  </si>
  <si>
    <t>E3MTCSP-11M</t>
  </si>
  <si>
    <t>E3MTCSP-12M</t>
  </si>
  <si>
    <t>E3MTCSP-12Y</t>
  </si>
  <si>
    <t>E3MTCSP-15Y</t>
  </si>
  <si>
    <t>E3MTCSP-1D</t>
  </si>
  <si>
    <t>E3MTCSP-1M</t>
  </si>
  <si>
    <t>E3MTCSP-1W</t>
  </si>
  <si>
    <t>E3MTCSP-20Y</t>
  </si>
  <si>
    <t>E3MTCSP-25Y</t>
  </si>
  <si>
    <t>E3MTCSP-2M</t>
  </si>
  <si>
    <t>E3MTCSP-2W</t>
  </si>
  <si>
    <t>E3MTCSP-2Y</t>
  </si>
  <si>
    <t>E3MTCSP-30Y</t>
  </si>
  <si>
    <t>E3MTCSP-3M</t>
  </si>
  <si>
    <t>E3MTCSP-3Y</t>
  </si>
  <si>
    <t>E3MTCSP-40Y</t>
  </si>
  <si>
    <t>E3MTCSP-4M</t>
  </si>
  <si>
    <t>E3MTCSP-4Y</t>
  </si>
  <si>
    <t>E3MTCSP-50Y</t>
  </si>
  <si>
    <t>E3MTCSP-5M</t>
  </si>
  <si>
    <t>E3MTCSP-5Y</t>
  </si>
  <si>
    <t>E3MTCSP-6M</t>
  </si>
  <si>
    <t>E3MTCSP-6Y</t>
  </si>
  <si>
    <t>E3MTCSP-7M</t>
  </si>
  <si>
    <t>E3MTCSP-7Y</t>
  </si>
  <si>
    <t>E3MTCSP-8M</t>
  </si>
  <si>
    <t>E3MTCSP-8Y</t>
  </si>
  <si>
    <t>E3MTCSP-9M</t>
  </si>
  <si>
    <t>E3MTCSP-9Y</t>
  </si>
  <si>
    <t>EURPEL191D</t>
  </si>
  <si>
    <t>EURPEL1950Y</t>
  </si>
  <si>
    <t>EURPEL201D</t>
  </si>
  <si>
    <t>EURPEL2050Y</t>
  </si>
  <si>
    <t>EURTLTRO1D</t>
  </si>
  <si>
    <t>EURINFBE</t>
  </si>
  <si>
    <t>GBPINF</t>
  </si>
  <si>
    <t>USDINF</t>
  </si>
  <si>
    <t>CMS10Y1Y</t>
  </si>
  <si>
    <t>CMS10Y2Y</t>
  </si>
  <si>
    <t>CMS10Y3M</t>
  </si>
  <si>
    <t>CMS10Y6M</t>
  </si>
  <si>
    <t>CMS12Y6M</t>
  </si>
  <si>
    <t>CMS20Y10Y</t>
  </si>
  <si>
    <t>CMS20Y1Y</t>
  </si>
  <si>
    <t>CMS20Y2Y</t>
  </si>
  <si>
    <t>CMS2Y6M</t>
  </si>
  <si>
    <t>CMS30Y10Y</t>
  </si>
  <si>
    <t>CMS30Y1Y</t>
  </si>
  <si>
    <t>CMS30Y2Y</t>
  </si>
  <si>
    <t>CMS30Y6M</t>
  </si>
  <si>
    <t>CMS6M2Y</t>
  </si>
  <si>
    <t>EURPEL211D</t>
  </si>
  <si>
    <t>EURPEL2150Y</t>
  </si>
  <si>
    <t>EURPEL221D</t>
  </si>
  <si>
    <t>EURPEL2250Y</t>
  </si>
  <si>
    <t>EURPEL231D</t>
  </si>
  <si>
    <t>EURPEL2350Y</t>
  </si>
  <si>
    <t>EURPEL241D</t>
  </si>
  <si>
    <t>EURPEL2450Y</t>
  </si>
  <si>
    <t>AONIA10M</t>
  </si>
  <si>
    <t>AONIA10Y</t>
  </si>
  <si>
    <t>AONIA11M</t>
  </si>
  <si>
    <t>AONIA12Y</t>
  </si>
  <si>
    <t>AONIA15Y</t>
  </si>
  <si>
    <t>AONIA1M</t>
  </si>
  <si>
    <t>AONIA1W</t>
  </si>
  <si>
    <t>AONIA1Y</t>
  </si>
  <si>
    <t>AONIA20Y</t>
  </si>
  <si>
    <t>AONIA25Y</t>
  </si>
  <si>
    <t>AONIA2M</t>
  </si>
  <si>
    <t>AONIA2W</t>
  </si>
  <si>
    <t>AONIA2Y</t>
  </si>
  <si>
    <t>AONIA30Y</t>
  </si>
  <si>
    <t>AONIA3M</t>
  </si>
  <si>
    <t>AONIA3Y</t>
  </si>
  <si>
    <t>AONIA4M</t>
  </si>
  <si>
    <t>AONIA4Y</t>
  </si>
  <si>
    <t>AONIA5M</t>
  </si>
  <si>
    <t>AONIA5Y</t>
  </si>
  <si>
    <t>AONIA6M</t>
  </si>
  <si>
    <t>AONIA6Y</t>
  </si>
  <si>
    <t>AONIA7M</t>
  </si>
  <si>
    <t>AONIA7Y</t>
  </si>
  <si>
    <t>AONIA8M</t>
  </si>
  <si>
    <t>AONIA8Y</t>
  </si>
  <si>
    <t>AONIA9M</t>
  </si>
  <si>
    <t>AONIA9Y</t>
  </si>
  <si>
    <t>CORRA10M</t>
  </si>
  <si>
    <t>CORRA10Y</t>
  </si>
  <si>
    <t>CORRA11M</t>
  </si>
  <si>
    <t>CORRA12Y</t>
  </si>
  <si>
    <t>CORRA15Y</t>
  </si>
  <si>
    <t>CORRA1M</t>
  </si>
  <si>
    <t>CORRA1W</t>
  </si>
  <si>
    <t>CORRA2W</t>
  </si>
  <si>
    <t>CORRA1Y</t>
  </si>
  <si>
    <t>CORRA20Y</t>
  </si>
  <si>
    <t>CORRA25Y</t>
  </si>
  <si>
    <t>CORRA2M</t>
  </si>
  <si>
    <t>CORRA2Y</t>
  </si>
  <si>
    <t>CORRA30Y</t>
  </si>
  <si>
    <t>CORRA3M</t>
  </si>
  <si>
    <t>CORRA3Y</t>
  </si>
  <si>
    <t>CORRA4M</t>
  </si>
  <si>
    <t>CORRA4Y</t>
  </si>
  <si>
    <t>CORRA5M</t>
  </si>
  <si>
    <t>CORRA5Y</t>
  </si>
  <si>
    <t>CORRA6M</t>
  </si>
  <si>
    <t>CORRA6Y</t>
  </si>
  <si>
    <t>CORRA7M</t>
  </si>
  <si>
    <t>CORRA7Y</t>
  </si>
  <si>
    <t>CORRA8M</t>
  </si>
  <si>
    <t>CORRA8Y</t>
  </si>
  <si>
    <t>CORRA9M</t>
  </si>
  <si>
    <t>CORRA9Y</t>
  </si>
  <si>
    <t>HONIA10M</t>
  </si>
  <si>
    <t>HONIA10Y</t>
  </si>
  <si>
    <t>HONIA12Y</t>
  </si>
  <si>
    <t>HONIA15Y</t>
  </si>
  <si>
    <t>HONIA20Y</t>
  </si>
  <si>
    <t>HONIA25Y</t>
  </si>
  <si>
    <t>HONIA30Y</t>
  </si>
  <si>
    <t>HONIA11M</t>
  </si>
  <si>
    <t>HONIA1M</t>
  </si>
  <si>
    <t>HONIA1W</t>
  </si>
  <si>
    <t>HONIA2W</t>
  </si>
  <si>
    <t>HONIA1Y</t>
  </si>
  <si>
    <t>HONIA2M</t>
  </si>
  <si>
    <t>HONIA2Y</t>
  </si>
  <si>
    <t>HONIA3M</t>
  </si>
  <si>
    <t>HONIA3Y</t>
  </si>
  <si>
    <t>HONIA4M</t>
  </si>
  <si>
    <t>HONIA4Y</t>
  </si>
  <si>
    <t>HONIA5M</t>
  </si>
  <si>
    <t>HONIA5Y</t>
  </si>
  <si>
    <t>HONIA6Y</t>
  </si>
  <si>
    <t>HONIA6M</t>
  </si>
  <si>
    <t>HONIA7M</t>
  </si>
  <si>
    <t>HONIA7Y</t>
  </si>
  <si>
    <t>HONIA8Y</t>
  </si>
  <si>
    <t>HONIA8M</t>
  </si>
  <si>
    <t>HONIA9M</t>
  </si>
  <si>
    <t>HONIA9Y</t>
  </si>
  <si>
    <t>AONIAFLBON</t>
  </si>
  <si>
    <t>CORRAFLBON</t>
  </si>
  <si>
    <t>HONIAFLBON</t>
  </si>
  <si>
    <t>AONIAFLB1W</t>
  </si>
  <si>
    <t>CORRAFLB1W</t>
  </si>
  <si>
    <t>HONIAFLB1W</t>
  </si>
  <si>
    <t>AONIAFLB2W</t>
  </si>
  <si>
    <t>CORRAFLB2W</t>
  </si>
  <si>
    <t>HONIAFLB2W</t>
  </si>
  <si>
    <t>HONIAFLB1M</t>
  </si>
  <si>
    <t>HONIAFLB2M</t>
  </si>
  <si>
    <t>HONIAFLB3M</t>
  </si>
  <si>
    <t>HONIAFLB4M</t>
  </si>
  <si>
    <t>HONIAFLB5M</t>
  </si>
  <si>
    <t>HONIAFLB6M</t>
  </si>
  <si>
    <t>HONIAFLB7M</t>
  </si>
  <si>
    <t>HONIAFLB8M</t>
  </si>
  <si>
    <t>HONIAFLB9M</t>
  </si>
  <si>
    <t>HONIAFLB10M</t>
  </si>
  <si>
    <t>HONIAFLB11M</t>
  </si>
  <si>
    <t>HONIAFLB1Y</t>
  </si>
  <si>
    <t>FIXE</t>
  </si>
  <si>
    <t>FIXED</t>
  </si>
  <si>
    <t>USDBMA1W</t>
  </si>
  <si>
    <t>USDPRIME1D</t>
  </si>
  <si>
    <t>CADCDOR3M</t>
  </si>
  <si>
    <t>ICESOFR1Y</t>
  </si>
  <si>
    <t>MADASKM10M</t>
  </si>
  <si>
    <t>MADASKM10Y</t>
  </si>
  <si>
    <t>MADASKM11M</t>
  </si>
  <si>
    <t>MADASKM15Y</t>
  </si>
  <si>
    <t>MADASKM1D</t>
  </si>
  <si>
    <t>MADASKM1M</t>
  </si>
  <si>
    <t>MADASKM1Y</t>
  </si>
  <si>
    <t>MADASKM20Y</t>
  </si>
  <si>
    <t>MADASKM2M</t>
  </si>
  <si>
    <t>MADASKM2Y</t>
  </si>
  <si>
    <t>MADASKM30Y</t>
  </si>
  <si>
    <t>MADASKM3M</t>
  </si>
  <si>
    <t>MADASKM3Y</t>
  </si>
  <si>
    <t>MADASKM4M</t>
  </si>
  <si>
    <t>MADASKM4Y</t>
  </si>
  <si>
    <t>MADASKM5M</t>
  </si>
  <si>
    <t>MADASKM5Y</t>
  </si>
  <si>
    <t>MADASKM6M</t>
  </si>
  <si>
    <t>MADASKM6Y</t>
  </si>
  <si>
    <t>MADASKM7M</t>
  </si>
  <si>
    <t>MADASKM7Y</t>
  </si>
  <si>
    <t>MADASKM8M</t>
  </si>
  <si>
    <t>MADASKM8Y</t>
  </si>
  <si>
    <t>MADASKM9M</t>
  </si>
  <si>
    <t>MADASKM9Y</t>
  </si>
  <si>
    <t>MADBIDM10M</t>
  </si>
  <si>
    <t>MADBIDM10Y</t>
  </si>
  <si>
    <t>MADBIDM11M</t>
  </si>
  <si>
    <t>MADBIDM15Y</t>
  </si>
  <si>
    <t>MADBIDM1D</t>
  </si>
  <si>
    <t>MADBIDM1M</t>
  </si>
  <si>
    <t>MADBIDM1Y</t>
  </si>
  <si>
    <t>MADBIDM20Y</t>
  </si>
  <si>
    <t>MADBIDM2M</t>
  </si>
  <si>
    <t>MADBIDM2Y</t>
  </si>
  <si>
    <t>MADBIDM30Y</t>
  </si>
  <si>
    <t>MADBIDM3M</t>
  </si>
  <si>
    <t>MADBIDM3Y</t>
  </si>
  <si>
    <t>MADBIDM4M</t>
  </si>
  <si>
    <t>MADBIDM4Y</t>
  </si>
  <si>
    <t>MADBIDM5M</t>
  </si>
  <si>
    <t>MADBIDM5Y</t>
  </si>
  <si>
    <t>MADBIDM6M</t>
  </si>
  <si>
    <t>MADBIDM6Y</t>
  </si>
  <si>
    <t>MADBIDM7M</t>
  </si>
  <si>
    <t>MADBIDM7Y</t>
  </si>
  <si>
    <t>MADBIDM8M</t>
  </si>
  <si>
    <t>MADBIDM8Y</t>
  </si>
  <si>
    <t>MADBIDM9M</t>
  </si>
  <si>
    <t>MADBIDM9Y</t>
  </si>
  <si>
    <t>MURASKM10M</t>
  </si>
  <si>
    <t>MURASKM10Y</t>
  </si>
  <si>
    <t>MURASKM11M</t>
  </si>
  <si>
    <t>MURASKM15Y</t>
  </si>
  <si>
    <t>MURASKM1D</t>
  </si>
  <si>
    <t>MURASKM1M</t>
  </si>
  <si>
    <t>MURASKM1Y</t>
  </si>
  <si>
    <t>MURASKM20Y</t>
  </si>
  <si>
    <t>MURASKM2M</t>
  </si>
  <si>
    <t>MURASKM2Y</t>
  </si>
  <si>
    <t>MURASKM30Y</t>
  </si>
  <si>
    <t>MURASKM3M</t>
  </si>
  <si>
    <t>MURASKM3Y</t>
  </si>
  <si>
    <t>MURASKM4M</t>
  </si>
  <si>
    <t>MURASKM4Y</t>
  </si>
  <si>
    <t>MURASKM5M</t>
  </si>
  <si>
    <t>MURASKM5Y</t>
  </si>
  <si>
    <t>MURASKM6M</t>
  </si>
  <si>
    <t>MURASKM6Y</t>
  </si>
  <si>
    <t>MURASKM7M</t>
  </si>
  <si>
    <t>MURASKM7Y</t>
  </si>
  <si>
    <t>MURASKM8M</t>
  </si>
  <si>
    <t>MURASKM8Y</t>
  </si>
  <si>
    <t>MURASKM9M</t>
  </si>
  <si>
    <t>MURASKM9Y</t>
  </si>
  <si>
    <t>MURBIDM10M</t>
  </si>
  <si>
    <t>MURBIDM10Y</t>
  </si>
  <si>
    <t>MURBIDM11M</t>
  </si>
  <si>
    <t>MURBIDM15Y</t>
  </si>
  <si>
    <t>MURBIDM1D</t>
  </si>
  <si>
    <t>MURBIDM1M</t>
  </si>
  <si>
    <t>MURBIDM1Y</t>
  </si>
  <si>
    <t>MURBIDM20Y</t>
  </si>
  <si>
    <t>MURBIDM2M</t>
  </si>
  <si>
    <t>MURBIDM2Y</t>
  </si>
  <si>
    <t>MURBIDM30Y</t>
  </si>
  <si>
    <t>MURBIDM3M</t>
  </si>
  <si>
    <t>MURBIDM3Y</t>
  </si>
  <si>
    <t>MURBIDM4M</t>
  </si>
  <si>
    <t>MURBIDM4Y</t>
  </si>
  <si>
    <t>MURBIDM5M</t>
  </si>
  <si>
    <t>MURBIDM5Y</t>
  </si>
  <si>
    <t>MURBIDM6M</t>
  </si>
  <si>
    <t>MURBIDM6Y</t>
  </si>
  <si>
    <t>MURBIDM7M</t>
  </si>
  <si>
    <t>MURBIDM7Y</t>
  </si>
  <si>
    <t>MURBIDM8M</t>
  </si>
  <si>
    <t>MURBIDM8Y</t>
  </si>
  <si>
    <t>MURBIDM9M</t>
  </si>
  <si>
    <t>MURBIDM9Y</t>
  </si>
  <si>
    <t>QARBIDM10M</t>
  </si>
  <si>
    <t>QARBIDM10Y</t>
  </si>
  <si>
    <t>QARBIDM11M</t>
  </si>
  <si>
    <t>QARBIDM15Y</t>
  </si>
  <si>
    <t>QARBIDM1D</t>
  </si>
  <si>
    <t>QARBIDM1M</t>
  </si>
  <si>
    <t>QARBIDM1Y</t>
  </si>
  <si>
    <t>QARBIDM20Y</t>
  </si>
  <si>
    <t>QARBIDM2M</t>
  </si>
  <si>
    <t>QARBIDM2Y</t>
  </si>
  <si>
    <t>QARBIDM30Y</t>
  </si>
  <si>
    <t>QARBIDM3M</t>
  </si>
  <si>
    <t>QARBIDM3Y</t>
  </si>
  <si>
    <t>QARBIDM4M</t>
  </si>
  <si>
    <t>QARBIDM4Y</t>
  </si>
  <si>
    <t>QARBIDM5M</t>
  </si>
  <si>
    <t>QARBIDM5Y</t>
  </si>
  <si>
    <t>QARBIDM6M</t>
  </si>
  <si>
    <t>QARBIDM6Y</t>
  </si>
  <si>
    <t>QARBIDM7M</t>
  </si>
  <si>
    <t>QARBIDM7Y</t>
  </si>
  <si>
    <t>QARBIDM8M</t>
  </si>
  <si>
    <t>QARBIDM8Y</t>
  </si>
  <si>
    <t>QARBIDM9M</t>
  </si>
  <si>
    <t>QARBIDM9Y</t>
  </si>
  <si>
    <t>TNDASKM10M</t>
  </si>
  <si>
    <t>TNDASKM10Y</t>
  </si>
  <si>
    <t>TNDASKM11M</t>
  </si>
  <si>
    <t>TNDASKM15Y</t>
  </si>
  <si>
    <t>TNDASKM1D</t>
  </si>
  <si>
    <t>TNDASKM1M</t>
  </si>
  <si>
    <t>TNDASKM1Y</t>
  </si>
  <si>
    <t>TNDASKM20Y</t>
  </si>
  <si>
    <t>TNDASKM2M</t>
  </si>
  <si>
    <t>TNDASKM2Y</t>
  </si>
  <si>
    <t>TNDASKM30Y</t>
  </si>
  <si>
    <t>TNDASKM3M</t>
  </si>
  <si>
    <t>TNDASKM3Y</t>
  </si>
  <si>
    <t>TNDASKM4M</t>
  </si>
  <si>
    <t>TNDASKM4Y</t>
  </si>
  <si>
    <t>TNDASKM5M</t>
  </si>
  <si>
    <t>TNDASKM5Y</t>
  </si>
  <si>
    <t>TNDASKM6M</t>
  </si>
  <si>
    <t>TNDASKM6Y</t>
  </si>
  <si>
    <t>TNDASKM7M</t>
  </si>
  <si>
    <t>TNDASKM7Y</t>
  </si>
  <si>
    <t>TNDASKM8M</t>
  </si>
  <si>
    <t>TNDASKM8Y</t>
  </si>
  <si>
    <t>TNDASKM9M</t>
  </si>
  <si>
    <t>TNDASKM9Y</t>
  </si>
  <si>
    <t>TNDBIDM10M</t>
  </si>
  <si>
    <t>TNDBIDM10Y</t>
  </si>
  <si>
    <t>TNDBIDM11M</t>
  </si>
  <si>
    <t>TNDBIDM15Y</t>
  </si>
  <si>
    <t>TNDBIDM1D</t>
  </si>
  <si>
    <t>TNDBIDM1M</t>
  </si>
  <si>
    <t>TNDBIDM1Y</t>
  </si>
  <si>
    <t>TNDBIDM20Y</t>
  </si>
  <si>
    <t>TNDBIDM2M</t>
  </si>
  <si>
    <t>TNDBIDM2Y</t>
  </si>
  <si>
    <t>TNDBIDM30Y</t>
  </si>
  <si>
    <t>TNDBIDM3M</t>
  </si>
  <si>
    <t>TNDBIDM3Y</t>
  </si>
  <si>
    <t>TNDBIDM4M</t>
  </si>
  <si>
    <t>TNDBIDM4Y</t>
  </si>
  <si>
    <t>TNDBIDM5M</t>
  </si>
  <si>
    <t>TNDBIDM5Y</t>
  </si>
  <si>
    <t>TNDBIDM6M</t>
  </si>
  <si>
    <t>TNDBIDM6Y</t>
  </si>
  <si>
    <t>TNDBIDM7M</t>
  </si>
  <si>
    <t>TNDBIDM7Y</t>
  </si>
  <si>
    <t>TNDBIDM8M</t>
  </si>
  <si>
    <t>TNDBIDM8Y</t>
  </si>
  <si>
    <t>TNDBIDM9M</t>
  </si>
  <si>
    <t>TNDBIDM9Y</t>
  </si>
  <si>
    <t>AUDAUDIB3M</t>
  </si>
  <si>
    <t>AUDIBORBID1M</t>
  </si>
  <si>
    <t>CHFCHFIB3M</t>
  </si>
  <si>
    <t>CHFIBORBID1M</t>
  </si>
  <si>
    <t>GBPGBPIB3M</t>
  </si>
  <si>
    <t>GBPIBORBID1M</t>
  </si>
  <si>
    <t>NZDIBORBID1M</t>
  </si>
  <si>
    <t>NZDNZDIB3M</t>
  </si>
  <si>
    <t>ARSASKM10M</t>
  </si>
  <si>
    <t>ARSASKM10Y</t>
  </si>
  <si>
    <t>ARSASKM11M</t>
  </si>
  <si>
    <t>ARSASKM15Y</t>
  </si>
  <si>
    <t>ARSASKM1D</t>
  </si>
  <si>
    <t>ARSASKM1M</t>
  </si>
  <si>
    <t>ARSASKM1Y</t>
  </si>
  <si>
    <t>ARSASKM20Y</t>
  </si>
  <si>
    <t>ARSASKM2M</t>
  </si>
  <si>
    <t>ARSASKM2Y</t>
  </si>
  <si>
    <t>ARSASKM30Y</t>
  </si>
  <si>
    <t>ARSASKM3M</t>
  </si>
  <si>
    <t>ARSASKM3Y</t>
  </si>
  <si>
    <t>ARSASKM4M</t>
  </si>
  <si>
    <t>ARSASKM4Y</t>
  </si>
  <si>
    <t>ARSASKM5M</t>
  </si>
  <si>
    <t>ARSASKM5Y</t>
  </si>
  <si>
    <t>ARSASKM6M</t>
  </si>
  <si>
    <t>ARSASKM6Y</t>
  </si>
  <si>
    <t>ARSASKM7M</t>
  </si>
  <si>
    <t>ARSASKM7Y</t>
  </si>
  <si>
    <t>ARSASKM8M</t>
  </si>
  <si>
    <t>ARSASKM8Y</t>
  </si>
  <si>
    <t>ARSASKM9M</t>
  </si>
  <si>
    <t>ARSASKM9Y</t>
  </si>
  <si>
    <t>BRLASKM10M</t>
  </si>
  <si>
    <t>BRLASKM10Y</t>
  </si>
  <si>
    <t>BRLASKM11M</t>
  </si>
  <si>
    <t>BRLASKM15Y</t>
  </si>
  <si>
    <t>BRLASKM1D</t>
  </si>
  <si>
    <t>BRLASKM1M</t>
  </si>
  <si>
    <t>BRLASKM1Y</t>
  </si>
  <si>
    <t>BRLASKM20Y</t>
  </si>
  <si>
    <t>BRLASKM2M</t>
  </si>
  <si>
    <t>BRLASKM2Y</t>
  </si>
  <si>
    <t>BRLASKM30Y</t>
  </si>
  <si>
    <t>BRLASKM3M</t>
  </si>
  <si>
    <t>BRLASKM3Y</t>
  </si>
  <si>
    <t>BRLASKM4M</t>
  </si>
  <si>
    <t>BRLASKM4Y</t>
  </si>
  <si>
    <t>BRLASKM5M</t>
  </si>
  <si>
    <t>BRLASKM5Y</t>
  </si>
  <si>
    <t>BRLASKM6M</t>
  </si>
  <si>
    <t>BRLASKM6Y</t>
  </si>
  <si>
    <t>BRLASKM7M</t>
  </si>
  <si>
    <t>BRLASKM7Y</t>
  </si>
  <si>
    <t>BRLASKM8M</t>
  </si>
  <si>
    <t>BRLASKM8Y</t>
  </si>
  <si>
    <t>BRLASKM9M</t>
  </si>
  <si>
    <t>BRLASKM9Y</t>
  </si>
  <si>
    <t>DZDASKM10M</t>
  </si>
  <si>
    <t>DZDASKM10Y</t>
  </si>
  <si>
    <t>DZDASKM11M</t>
  </si>
  <si>
    <t>DZDASKM15Y</t>
  </si>
  <si>
    <t>DZDASKM1D</t>
  </si>
  <si>
    <t>DZDASKM1M</t>
  </si>
  <si>
    <t>DZDASKM1Y</t>
  </si>
  <si>
    <t>DZDASKM20Y</t>
  </si>
  <si>
    <t>DZDASKM2M</t>
  </si>
  <si>
    <t>DZDASKM2Y</t>
  </si>
  <si>
    <t>DZDASKM30Y</t>
  </si>
  <si>
    <t>DZDASKM3M</t>
  </si>
  <si>
    <t>DZDASKM3Y</t>
  </si>
  <si>
    <t>DZDASKM4M</t>
  </si>
  <si>
    <t>DZDASKM4Y</t>
  </si>
  <si>
    <t>DZDASKM5M</t>
  </si>
  <si>
    <t>DZDASKM5Y</t>
  </si>
  <si>
    <t>DZDASKM6M</t>
  </si>
  <si>
    <t>DZDASKM6Y</t>
  </si>
  <si>
    <t>DZDASKM7M</t>
  </si>
  <si>
    <t>DZDASKM7Y</t>
  </si>
  <si>
    <t>DZDASKM8M</t>
  </si>
  <si>
    <t>DZDASKM8Y</t>
  </si>
  <si>
    <t>DZDASKM9M</t>
  </si>
  <si>
    <t>DZDASKM9Y</t>
  </si>
  <si>
    <t>EGPASKM10M</t>
  </si>
  <si>
    <t>EGPASKM10Y</t>
  </si>
  <si>
    <t>EGPASKM11M</t>
  </si>
  <si>
    <t>EGPASKM15Y</t>
  </si>
  <si>
    <t>EGPASKM1D</t>
  </si>
  <si>
    <t>EGPASKM1M</t>
  </si>
  <si>
    <t>EGPASKM1Y</t>
  </si>
  <si>
    <t>EGPASKM20Y</t>
  </si>
  <si>
    <t>EGPASKM2M</t>
  </si>
  <si>
    <t>EGPASKM2Y</t>
  </si>
  <si>
    <t>EGPASKM30Y</t>
  </si>
  <si>
    <t>EGPASKM3M</t>
  </si>
  <si>
    <t>EGPASKM3Y</t>
  </si>
  <si>
    <t>EGPASKM4M</t>
  </si>
  <si>
    <t>EGPASKM4Y</t>
  </si>
  <si>
    <t>EGPASKM5M</t>
  </si>
  <si>
    <t>EGPASKM5Y</t>
  </si>
  <si>
    <t>EGPASKM6M</t>
  </si>
  <si>
    <t>EGPASKM6Y</t>
  </si>
  <si>
    <t>EGPASKM7M</t>
  </si>
  <si>
    <t>EGPASKM7Y</t>
  </si>
  <si>
    <t>EGPASKM8M</t>
  </si>
  <si>
    <t>EGPASKM8Y</t>
  </si>
  <si>
    <t>EGPASKM9M</t>
  </si>
  <si>
    <t>EGPASKM9Y</t>
  </si>
  <si>
    <t>HRKASKM10M</t>
  </si>
  <si>
    <t>HRKASKM10Y</t>
  </si>
  <si>
    <t>HRKASKM11M</t>
  </si>
  <si>
    <t>HRKASKM15Y</t>
  </si>
  <si>
    <t>HRKASKM1D</t>
  </si>
  <si>
    <t>HRKASKM1M</t>
  </si>
  <si>
    <t>HRKASKM1Y</t>
  </si>
  <si>
    <t>HRKASKM20Y</t>
  </si>
  <si>
    <t>HRKASKM2M</t>
  </si>
  <si>
    <t>HRKASKM2Y</t>
  </si>
  <si>
    <t>HRKASKM30Y</t>
  </si>
  <si>
    <t>HRKASKM3M</t>
  </si>
  <si>
    <t>HRKASKM3Y</t>
  </si>
  <si>
    <t>HRKASKM4M</t>
  </si>
  <si>
    <t>HRKASKM4Y</t>
  </si>
  <si>
    <t>HRKASKM5M</t>
  </si>
  <si>
    <t>HRKASKM5Y</t>
  </si>
  <si>
    <t>HRKASKM6M</t>
  </si>
  <si>
    <t>HRKASKM6Y</t>
  </si>
  <si>
    <t>HRKASKM7M</t>
  </si>
  <si>
    <t>HRKASKM7Y</t>
  </si>
  <si>
    <t>HRKASKM8M</t>
  </si>
  <si>
    <t>HRKASKM8Y</t>
  </si>
  <si>
    <t>HRKASKM9M</t>
  </si>
  <si>
    <t>HRKASKM9Y</t>
  </si>
  <si>
    <t>QARASKM10M</t>
  </si>
  <si>
    <t>QARASKM10Y</t>
  </si>
  <si>
    <t>QARASKM11M</t>
  </si>
  <si>
    <t>QARASKM15Y</t>
  </si>
  <si>
    <t>QARASKM1D</t>
  </si>
  <si>
    <t>QARASKM1M</t>
  </si>
  <si>
    <t>QARASKM1Y</t>
  </si>
  <si>
    <t>QARASKM20Y</t>
  </si>
  <si>
    <t>QARASKM2M</t>
  </si>
  <si>
    <t>QARASKM2Y</t>
  </si>
  <si>
    <t>QARASKM30Y</t>
  </si>
  <si>
    <t>QARASKM3M</t>
  </si>
  <si>
    <t>QARASKM3Y</t>
  </si>
  <si>
    <t>QARASKM4M</t>
  </si>
  <si>
    <t>QARASKM4Y</t>
  </si>
  <si>
    <t>QARASKM5M</t>
  </si>
  <si>
    <t>QARASKM5Y</t>
  </si>
  <si>
    <t>QARASKM6M</t>
  </si>
  <si>
    <t>QARASKM6Y</t>
  </si>
  <si>
    <t>QARASKM7M</t>
  </si>
  <si>
    <t>QARASKM7Y</t>
  </si>
  <si>
    <t>QARASKM8M</t>
  </si>
  <si>
    <t>QARASKM8Y</t>
  </si>
  <si>
    <t>QARASKM9M</t>
  </si>
  <si>
    <t>QARASKM9Y</t>
  </si>
  <si>
    <t>ARSBIDM10M</t>
  </si>
  <si>
    <t>ARSBIDM10Y</t>
  </si>
  <si>
    <t>ARSBIDM11M</t>
  </si>
  <si>
    <t>ARSBIDM15Y</t>
  </si>
  <si>
    <t>ARSBIDM1D</t>
  </si>
  <si>
    <t>ARSBIDM1M</t>
  </si>
  <si>
    <t>ARSBIDM1Y</t>
  </si>
  <si>
    <t>ARSBIDM20Y</t>
  </si>
  <si>
    <t>ARSBIDM2M</t>
  </si>
  <si>
    <t>ARSBIDM2Y</t>
  </si>
  <si>
    <t>ARSBIDM30Y</t>
  </si>
  <si>
    <t>ARSBIDM3M</t>
  </si>
  <si>
    <t>ARSBIDM3Y</t>
  </si>
  <si>
    <t>ARSBIDM4M</t>
  </si>
  <si>
    <t>ARSBIDM4Y</t>
  </si>
  <si>
    <t>ARSBIDM5M</t>
  </si>
  <si>
    <t>ARSBIDM5Y</t>
  </si>
  <si>
    <t>ARSBIDM6M</t>
  </si>
  <si>
    <t>ARSBIDM6Y</t>
  </si>
  <si>
    <t>ARSBIDM7M</t>
  </si>
  <si>
    <t>ARSBIDM7Y</t>
  </si>
  <si>
    <t>ARSBIDM8M</t>
  </si>
  <si>
    <t>ARSBIDM8Y</t>
  </si>
  <si>
    <t>ARSBIDM9M</t>
  </si>
  <si>
    <t>ARSBIDM9Y</t>
  </si>
  <si>
    <t>BRLBIDM10M</t>
  </si>
  <si>
    <t>BRLBIDM10Y</t>
  </si>
  <si>
    <t>BRLBIDM11M</t>
  </si>
  <si>
    <t>BRLBIDM15Y</t>
  </si>
  <si>
    <t>BRLBIDM1D</t>
  </si>
  <si>
    <t>BRLBIDM1M</t>
  </si>
  <si>
    <t>BRLBIDM1Y</t>
  </si>
  <si>
    <t>BRLBIDM20Y</t>
  </si>
  <si>
    <t>BRLBIDM2M</t>
  </si>
  <si>
    <t>BRLBIDM2Y</t>
  </si>
  <si>
    <t>BRLBIDM30Y</t>
  </si>
  <si>
    <t>BRLBIDM3M</t>
  </si>
  <si>
    <t>BRLBIDM3Y</t>
  </si>
  <si>
    <t>BRLBIDM4M</t>
  </si>
  <si>
    <t>BRLBIDM4Y</t>
  </si>
  <si>
    <t>BRLBIDM5M</t>
  </si>
  <si>
    <t>BRLBIDM5Y</t>
  </si>
  <si>
    <t>BRLBIDM6M</t>
  </si>
  <si>
    <t>BRLBIDM6Y</t>
  </si>
  <si>
    <t>BRLBIDM7M</t>
  </si>
  <si>
    <t>BRLBIDM7Y</t>
  </si>
  <si>
    <t>BRLBIDM8M</t>
  </si>
  <si>
    <t>BRLBIDM8Y</t>
  </si>
  <si>
    <t>BRLBIDM9M</t>
  </si>
  <si>
    <t>BRLBIDM9Y</t>
  </si>
  <si>
    <t>DZDBIDM10M</t>
  </si>
  <si>
    <t>DZDBIDM10Y</t>
  </si>
  <si>
    <t>DZDBIDM11M</t>
  </si>
  <si>
    <t>DZDBIDM15Y</t>
  </si>
  <si>
    <t>DZDBIDM1D</t>
  </si>
  <si>
    <t>DZDBIDM1M</t>
  </si>
  <si>
    <t>DZDBIDM1Y</t>
  </si>
  <si>
    <t>DZDBIDM20Y</t>
  </si>
  <si>
    <t>DZDBIDM2M</t>
  </si>
  <si>
    <t>DZDBIDM2Y</t>
  </si>
  <si>
    <t>DZDBIDM30Y</t>
  </si>
  <si>
    <t>DZDBIDM3M</t>
  </si>
  <si>
    <t>DZDBIDM3Y</t>
  </si>
  <si>
    <t>DZDBIDM4M</t>
  </si>
  <si>
    <t>DZDBIDM4Y</t>
  </si>
  <si>
    <t>DZDBIDM5M</t>
  </si>
  <si>
    <t>DZDBIDM5Y</t>
  </si>
  <si>
    <t>DZDBIDM6M</t>
  </si>
  <si>
    <t>DZDBIDM6Y</t>
  </si>
  <si>
    <t>DZDBIDM7M</t>
  </si>
  <si>
    <t>DZDBIDM7Y</t>
  </si>
  <si>
    <t>DZDBIDM8M</t>
  </si>
  <si>
    <t>DZDBIDM8Y</t>
  </si>
  <si>
    <t>DZDBIDM9M</t>
  </si>
  <si>
    <t>DZDBIDM9Y</t>
  </si>
  <si>
    <t>HRKBIDM10M</t>
  </si>
  <si>
    <t>HRKBIDM10Y</t>
  </si>
  <si>
    <t>HRKBIDM11M</t>
  </si>
  <si>
    <t>HRKBIDM15Y</t>
  </si>
  <si>
    <t>HRKBIDM1D</t>
  </si>
  <si>
    <t>HRKBIDM1M</t>
  </si>
  <si>
    <t>HRKBIDM1Y</t>
  </si>
  <si>
    <t>HRKBIDM20Y</t>
  </si>
  <si>
    <t>HRKBIDM2M</t>
  </si>
  <si>
    <t>HRKBIDM2Y</t>
  </si>
  <si>
    <t>HRKBIDM30Y</t>
  </si>
  <si>
    <t>HRKBIDM3M</t>
  </si>
  <si>
    <t>HRKBIDM3Y</t>
  </si>
  <si>
    <t>HRKBIDM4M</t>
  </si>
  <si>
    <t>HRKBIDM4Y</t>
  </si>
  <si>
    <t>HRKBIDM5M</t>
  </si>
  <si>
    <t>HRKBIDM5Y</t>
  </si>
  <si>
    <t>HRKBIDM6M</t>
  </si>
  <si>
    <t>HRKBIDM6Y</t>
  </si>
  <si>
    <t>HRKBIDM7M</t>
  </si>
  <si>
    <t>HRKBIDM7Y</t>
  </si>
  <si>
    <t>HRKBIDM8M</t>
  </si>
  <si>
    <t>HRKBIDM8Y</t>
  </si>
  <si>
    <t>HRKBIDM9M</t>
  </si>
  <si>
    <t>HRKBIDM9Y</t>
  </si>
  <si>
    <t>XOFBIDM10M</t>
  </si>
  <si>
    <t>XOFBIDM10Y</t>
  </si>
  <si>
    <t>XOFBIDM11M</t>
  </si>
  <si>
    <t>XOFBIDM15Y</t>
  </si>
  <si>
    <t>XOFBIDM1D</t>
  </si>
  <si>
    <t>XOFBIDM1M</t>
  </si>
  <si>
    <t>XOFBIDM1Y</t>
  </si>
  <si>
    <t>XOFBIDM20Y</t>
  </si>
  <si>
    <t>XOFBIDM2M</t>
  </si>
  <si>
    <t>XOFBIDM2Y</t>
  </si>
  <si>
    <t>XOFBIDM30Y</t>
  </si>
  <si>
    <t>XOFBIDM3M</t>
  </si>
  <si>
    <t>XOFBIDM3Y</t>
  </si>
  <si>
    <t>XOFBIDM4M</t>
  </si>
  <si>
    <t>XOFBIDM4Y</t>
  </si>
  <si>
    <t>XOFBIDM5M</t>
  </si>
  <si>
    <t>XOFBIDM5Y</t>
  </si>
  <si>
    <t>XOFBIDM6M</t>
  </si>
  <si>
    <t>XOFBIDM6Y</t>
  </si>
  <si>
    <t>XOFBIDM7M</t>
  </si>
  <si>
    <t>XOFBIDM7Y</t>
  </si>
  <si>
    <t>XOFBIDM8M</t>
  </si>
  <si>
    <t>XOFBIDM8Y</t>
  </si>
  <si>
    <t>XOFBIDM9M</t>
  </si>
  <si>
    <t>XOFBIDM9Y</t>
  </si>
  <si>
    <t>AEDAEDIB3M</t>
  </si>
  <si>
    <t>CADCADIB3M</t>
  </si>
  <si>
    <t>CNYCNYIB3M</t>
  </si>
  <si>
    <t>HUFHUFIB3M</t>
  </si>
  <si>
    <t>ILSILSIB3M</t>
  </si>
  <si>
    <t>JPYJPYIB3M</t>
  </si>
  <si>
    <t>MADMADIB3M</t>
  </si>
  <si>
    <t>PLNPLNIB3M</t>
  </si>
  <si>
    <t>SEKSEKIB3M</t>
  </si>
  <si>
    <t>SGDSGDIB3M</t>
  </si>
  <si>
    <t>ZARZARIB3M</t>
  </si>
  <si>
    <t>DKKDKKIB3M</t>
  </si>
  <si>
    <t>AEDIBORBID1M</t>
  </si>
  <si>
    <t>CADIBORBID1M</t>
  </si>
  <si>
    <t>CNYIBORBID1M</t>
  </si>
  <si>
    <t>DKKIBORBID1M</t>
  </si>
  <si>
    <t>HUFIBORBID1M</t>
  </si>
  <si>
    <t>ILSIBORBID1M</t>
  </si>
  <si>
    <t>JPYIBORBID1M</t>
  </si>
  <si>
    <t>MADIBORBID1M</t>
  </si>
  <si>
    <t>PLNIBORBID1M</t>
  </si>
  <si>
    <t>SEKIBORBID1M</t>
  </si>
  <si>
    <t>SGDIBORBID1M</t>
  </si>
  <si>
    <t>ZARIBORBID1M</t>
  </si>
  <si>
    <t>EURINFLEU1Y</t>
  </si>
  <si>
    <t>NOKIBORBID1M</t>
  </si>
  <si>
    <t>NOKNOKIB3M</t>
  </si>
  <si>
    <t>THBIBORBID1M</t>
  </si>
  <si>
    <t>THBTHBIB3M</t>
  </si>
  <si>
    <t xml:space="preserve">                                                          SCENARIO PRINCIPAL EVE</t>
  </si>
  <si>
    <t>SC MODELE</t>
  </si>
  <si>
    <t xml:space="preserve">                 3. SC MODELE</t>
  </si>
  <si>
    <t xml:space="preserve">                              4. NOM CHOC TAUX</t>
  </si>
  <si>
    <t xml:space="preserve">                  5. NOM SC PN</t>
  </si>
  <si>
    <t xml:space="preserve">                                          6. NOM SC CALCULATEUR</t>
  </si>
  <si>
    <t xml:space="preserve">                              7. NOM PN BPCE SC</t>
  </si>
  <si>
    <t xml:space="preserve">                                          8. NOM SURCOUCHE DAV</t>
  </si>
  <si>
    <t>MODE</t>
  </si>
  <si>
    <t>INPUTS</t>
  </si>
  <si>
    <t>ENTITES/BASSINS</t>
  </si>
  <si>
    <t>DOSSIER SOURCES</t>
  </si>
  <si>
    <t>RATE_INPUT</t>
  </si>
  <si>
    <t>LIQ_INPUT</t>
  </si>
  <si>
    <t>MODELE NMD</t>
  </si>
  <si>
    <t>MODELE PEL</t>
  </si>
  <si>
    <t>OUTPUTS</t>
  </si>
  <si>
    <t>CHEMIN de SORTIE</t>
  </si>
  <si>
    <t>NOM SIMUL</t>
  </si>
  <si>
    <t>OPTIONS PRINCIPALES</t>
  </si>
  <si>
    <t>DAR</t>
  </si>
  <si>
    <t>SCENARIO REFERENCE</t>
  </si>
  <si>
    <t xml:space="preserve">AUTRES OPTIONS </t>
  </si>
  <si>
    <t>MAPPER RAY</t>
  </si>
  <si>
    <t>DETAIL INTENTIONS DE GESTION</t>
  </si>
  <si>
    <t>TYPE DE SIMULATION</t>
  </si>
  <si>
    <t>NORMALE</t>
  </si>
  <si>
    <t>MOIS INTERTRIMESTRIEL</t>
  </si>
  <si>
    <t>CHEMIN COMPILS</t>
  </si>
  <si>
    <t>C:\Users\HOSSAYNE\Documents\BPCE_ARCHIVES\RESULTATS\TEST_CALCULATEUR\COMPILS</t>
  </si>
  <si>
    <t>OPTIONS EXTRA NATIXIS</t>
  </si>
  <si>
    <t>PERIM NATIXIS</t>
  </si>
  <si>
    <t>1. Périmètre IRRBB</t>
  </si>
  <si>
    <t>FILTRER DEPART DECALE à N</t>
  </si>
  <si>
    <t>SUPPR. ENCOURS DAR à 0</t>
  </si>
  <si>
    <t>PARAMÈTRES DE PROJECTION</t>
  </si>
  <si>
    <t xml:space="preserve">DAR </t>
  </si>
  <si>
    <t>NB MOIS PROJECTION</t>
  </si>
  <si>
    <t>REPERTOIRE SOURCES</t>
  </si>
  <si>
    <t>OPTIONS DE SORTIE</t>
  </si>
  <si>
    <t>REPERTOIRE SORTIE</t>
  </si>
  <si>
    <t>DONNÉES A IMPORTER</t>
  </si>
  <si>
    <t>LISTE ENTITES</t>
  </si>
  <si>
    <t>SORTIE SCENARIO</t>
  </si>
  <si>
    <t>.</t>
  </si>
  <si>
    <t>AXES DE SORTIE</t>
  </si>
  <si>
    <t>INDICATEURS DE SORTIE</t>
  </si>
  <si>
    <t>TYPE EVE</t>
  </si>
  <si>
    <t>AXE</t>
  </si>
  <si>
    <t>Restituer</t>
  </si>
  <si>
    <t>INDIC</t>
  </si>
  <si>
    <t>TYPE</t>
  </si>
  <si>
    <t>MOIS DEB</t>
  </si>
  <si>
    <t>PAS</t>
  </si>
  <si>
    <t>CLASSIQUE</t>
  </si>
  <si>
    <t>STOCK</t>
  </si>
  <si>
    <t>EF</t>
  </si>
  <si>
    <t>NORMAL</t>
  </si>
  <si>
    <t>EVE</t>
  </si>
  <si>
    <t>EM EVE</t>
  </si>
  <si>
    <t>EM</t>
  </si>
  <si>
    <t>EVE EM</t>
  </si>
  <si>
    <t>SC</t>
  </si>
  <si>
    <t>MN</t>
  </si>
  <si>
    <t>FLUX CAP EM</t>
  </si>
  <si>
    <t>CLE</t>
  </si>
  <si>
    <t>GP LQ EF</t>
  </si>
  <si>
    <t>FLUX INT EM</t>
  </si>
  <si>
    <t>BILAN</t>
  </si>
  <si>
    <t>GP LQ EM</t>
  </si>
  <si>
    <t>FLUX CAP ACT EM</t>
  </si>
  <si>
    <t>GP TF EF</t>
  </si>
  <si>
    <t>FLUX INT ACT EM</t>
  </si>
  <si>
    <t>DIM2</t>
  </si>
  <si>
    <t>GP TF EM</t>
  </si>
  <si>
    <t>GP LQ EVE EM</t>
  </si>
  <si>
    <t>DIM3</t>
  </si>
  <si>
    <t>GP INF EF</t>
  </si>
  <si>
    <t>GP TF EVE EM</t>
  </si>
  <si>
    <t>DIM4</t>
  </si>
  <si>
    <t>GP INF EM</t>
  </si>
  <si>
    <t>GP INF EVE EM</t>
  </si>
  <si>
    <t>DIM5</t>
  </si>
  <si>
    <t>GP RG EF</t>
  </si>
  <si>
    <t>GP RG EVE EM</t>
  </si>
  <si>
    <t>GP RG EM</t>
  </si>
  <si>
    <t>MN EVE GP RG</t>
  </si>
  <si>
    <t>PN</t>
  </si>
  <si>
    <t>VOL PN</t>
  </si>
  <si>
    <t>Nécéssaire au module RESTIT</t>
  </si>
  <si>
    <t>INDEX AGREG</t>
  </si>
  <si>
    <t>TX CLI</t>
  </si>
  <si>
    <t>MN TX</t>
  </si>
  <si>
    <t>MN MG</t>
  </si>
  <si>
    <t>Affectation Social</t>
  </si>
  <si>
    <t>Affectation Social 2</t>
  </si>
  <si>
    <t>MN EVE GP RG TX</t>
  </si>
  <si>
    <t>DIM NSFR 1</t>
  </si>
  <si>
    <t>MN EVE GP RG MG</t>
  </si>
  <si>
    <t>DIM NSFR 2</t>
  </si>
  <si>
    <t>MN EVE GP LIQ</t>
  </si>
  <si>
    <t>Regroupement 1</t>
  </si>
  <si>
    <t>MN EVE GP LIQ TX</t>
  </si>
  <si>
    <t>Regroupement 2</t>
  </si>
  <si>
    <t>LCR &amp; NSFR</t>
  </si>
  <si>
    <t>OUTFLOW</t>
  </si>
  <si>
    <t>MN EVE GP LIQ MG</t>
  </si>
  <si>
    <t>Regroupement 3</t>
  </si>
  <si>
    <t>Bilan Cash</t>
  </si>
  <si>
    <t>Bilan Cash Detail</t>
  </si>
  <si>
    <t>inf</t>
  </si>
  <si>
    <t>Bilan Cash CTA</t>
  </si>
  <si>
    <t>DELTA EM</t>
  </si>
  <si>
    <t>TOP_MNI</t>
  </si>
  <si>
    <t>DELTA ASF</t>
  </si>
  <si>
    <t>DELTA RSF</t>
  </si>
  <si>
    <t>DELTA RL</t>
  </si>
  <si>
    <t>DELTA NCO</t>
  </si>
  <si>
    <t>NCO</t>
  </si>
  <si>
    <t>ASF</t>
  </si>
  <si>
    <t>SCOPE</t>
  </si>
  <si>
    <t>RSF</t>
  </si>
  <si>
    <t>IsIG</t>
  </si>
  <si>
    <t>IND01</t>
  </si>
  <si>
    <t>IND02</t>
  </si>
  <si>
    <t>CONTRIB ANNUELLES</t>
  </si>
  <si>
    <t>CONTRIB</t>
  </si>
  <si>
    <t>AUTRES PARAMETRES</t>
  </si>
  <si>
    <t>AJUSTEMENTS (CALES PERMETTANT D'EQUILIBRER LE BILAN A CHAQUE MOIS DE PROJECTION)</t>
  </si>
  <si>
    <t>Spreads de LIQUIDITE</t>
  </si>
  <si>
    <t>COURBE MNI AJUST</t>
  </si>
  <si>
    <t>TAUX (bps)</t>
  </si>
  <si>
    <t>SORTIR SLT LES AJUSTEMENTS</t>
  </si>
  <si>
    <t>*</t>
  </si>
  <si>
    <t>CONVENTIONS D'ECOULEMENTS</t>
  </si>
  <si>
    <t>Utiliser les conventions d'écoulements</t>
  </si>
  <si>
    <t>GAP LIQ</t>
  </si>
  <si>
    <t>GAP NMD</t>
  </si>
  <si>
    <t>REFIXING TLA</t>
  </si>
  <si>
    <t>PARAMETRE</t>
  </si>
  <si>
    <t>DATE REFIXING</t>
  </si>
  <si>
    <t>FREQ REFIXING (MOIS)</t>
  </si>
  <si>
    <t>PN A UTILISER</t>
  </si>
  <si>
    <t>MOIS</t>
  </si>
  <si>
    <t>GAP DE GESTION</t>
  </si>
  <si>
    <t>TLA</t>
  </si>
  <si>
    <t xml:space="preserve"> GAP G TF </t>
  </si>
  <si>
    <t xml:space="preserve"> GAP G INF </t>
  </si>
  <si>
    <t>TF</t>
  </si>
  <si>
    <t xml:space="preserve"> GAP REG</t>
  </si>
  <si>
    <t>LISTE ETABLISSEMENTS</t>
  </si>
  <si>
    <t>Liste PERIMETRE MNI</t>
  </si>
  <si>
    <t>2. Périmètre STI</t>
  </si>
  <si>
    <t>3. Périmètre STEBA</t>
  </si>
  <si>
    <t>4. Périmètre STEBA cible (hors internes Natixis pour calage FinRep)</t>
  </si>
  <si>
    <t>REPONSE</t>
  </si>
  <si>
    <t>PERIODICITE</t>
  </si>
  <si>
    <t>COURBE LIQ</t>
  </si>
  <si>
    <t>FORMAT COMPIL</t>
  </si>
  <si>
    <t>LISTE SYMBOLE DECIMAL</t>
  </si>
  <si>
    <t>FUSIONER COMPILS</t>
  </si>
  <si>
    <t>UNSEC_E3M</t>
  </si>
  <si>
    <t>ICAAP</t>
  </si>
  <si>
    <t>SEPARATEUR : ";" et DECIMALE : ","</t>
  </si>
  <si>
    <t>SECUR_E3M</t>
  </si>
  <si>
    <t>SEPARATEUR : "," et DECIMALE : "."</t>
  </si>
  <si>
    <t>UNSEC_U3M</t>
  </si>
  <si>
    <t>Sans stress PN</t>
  </si>
  <si>
    <t>STOCK ECH SWAP TF</t>
  </si>
  <si>
    <t>STOCK ECH SWAP TV</t>
  </si>
  <si>
    <t>STOCK ECH TITRES TF</t>
  </si>
  <si>
    <t>STOCK ECH TITRES TV</t>
  </si>
  <si>
    <t>STOCK ECH CHANGE TF</t>
  </si>
  <si>
    <t>C:\Users\HOSSAYNE\Documents\BPCE_ARCHIVES\SOURCES\SOURCES_RCO_2022_v3 -360 - ME\2024-09-30_6.3</t>
  </si>
  <si>
    <t>C:\Users\HOSSAYNE\Documents\BPCE_ARCHIVES\RESULTATS\6.3\3009</t>
  </si>
  <si>
    <t>MODELES_DAV.xlsx</t>
  </si>
  <si>
    <t>TENOR</t>
  </si>
  <si>
    <t>CURVE_NAME</t>
  </si>
  <si>
    <t>C:\Users\HOSSAYNE\Documents\BPCE_ARCHIVES\RESULTATS\6.3\NICOLAS_EVE</t>
  </si>
  <si>
    <t>C:\Users\HOSSAYNE\Documents\BPCE_ARCHIVES\SOURCES\SOURCES_RCO_2022_v3 -360 - ME\2024-12-31_6.4</t>
  </si>
  <si>
    <t>RATE_INPUT_USER_20241231.xlsx</t>
  </si>
  <si>
    <t>LIQ_INPUT_USER_20241231.xlsx</t>
  </si>
  <si>
    <t>MODELES_NMD_NEW_TCI_2024-12-31_CALAGE.xlsx</t>
  </si>
  <si>
    <t>RATE-INPUT-TCI_2024-12-31_6.3.xlsx</t>
  </si>
  <si>
    <t>C:\Users\HOSSAYNE\Documents\BPCE_ARCHIVES\RESULTATS\6.4\3112</t>
  </si>
  <si>
    <t>Sans SC Calculateur</t>
  </si>
  <si>
    <t>Sans SC SURCOUCHE</t>
  </si>
  <si>
    <t>C:\Users\HOSSAYNE\Documents\BPCE_ARCHIVES\RESULTATS\6.4\3112\ALIM_DAR-20241231_EXEC-20250211.1317.19</t>
  </si>
  <si>
    <t>MODELES_NMD_NEW_TCI_2024-12-31.xlsx</t>
  </si>
  <si>
    <t>SC_MOD_ECH_CAT_LIQ_2403_NoRN_2024-12-31.xlsx</t>
  </si>
  <si>
    <t>@BASELINE_REV</t>
  </si>
  <si>
    <t>@FWD_PLUS200</t>
  </si>
  <si>
    <t>FORWARD_200</t>
  </si>
  <si>
    <t>@FWD_MOINS200</t>
  </si>
  <si>
    <t>FORWARD_-200</t>
  </si>
  <si>
    <t>RATE_INPUT_USER_20241231_EURIBMOY MODIF.xlsx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</si>
</sst>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[$-F400]h:mm:ss\ AM/PM"/>
    <numFmt numFmtId="165" formatCode="ddd\ dd\-mmm\-yy"/>
    <numFmt numFmtId="166" formatCode="_-* #,##0.00\ _€_-;\-* #,##0.00\ _€_-;_-* &quot;-&quot;??\ _€_-;_-@_-"/>
    <numFmt numFmtId="167" formatCode="&quot;M&quot;00"/>
    <numFmt numFmtId="168" formatCode="#,##0.0,,_-;\-\ #,##0.0,,_-;&quot;-&quot;_-;_-@_-"/>
    <numFmt numFmtId="169" formatCode="&quot;ETAB &quot;00&quot; :&quot;"/>
    <numFmt numFmtId="170" formatCode="0%_/;\-0%_/;\-_/;@"/>
    <numFmt numFmtId="171" formatCode="_-@_-"/>
  </numFmts>
  <fonts count="73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i/>
      <sz val="11"/>
      <color rgb="FF7030A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4"/>
      <name val="Calibri"/>
      <family val="2"/>
      <scheme val="minor"/>
    </font>
    <font>
      <b/>
      <sz val="10"/>
      <color theme="5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</font>
    <font>
      <sz val="10"/>
      <color theme="4"/>
      <name val="Calibri"/>
      <family val="2"/>
      <scheme val="minor"/>
    </font>
    <font>
      <sz val="10"/>
      <color rgb="FF7030A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0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rgb="FF7030A0"/>
      <name val="Calibri"/>
      <family val="2"/>
    </font>
    <font>
      <b/>
      <sz val="11"/>
      <color rgb="FFFF0000"/>
      <name val="Calibri"/>
      <family val="2"/>
      <scheme val="minor"/>
    </font>
    <font>
      <sz val="11"/>
      <color theme="1"/>
      <name val="Arial"/>
      <family val="2"/>
    </font>
    <font>
      <sz val="6"/>
      <color theme="1"/>
      <name val="Calibri"/>
      <family val="2"/>
      <scheme val="minor"/>
    </font>
    <font>
      <sz val="10"/>
      <color theme="1"/>
      <name val="Cambria"/>
      <family val="1"/>
    </font>
    <font>
      <b/>
      <sz val="10"/>
      <color theme="0"/>
      <name val="Cambria"/>
      <family val="1"/>
    </font>
    <font>
      <sz val="10"/>
      <name val="Cambria"/>
      <family val="1"/>
    </font>
    <font>
      <sz val="11"/>
      <color theme="5"/>
      <name val="Calibri"/>
      <family val="2"/>
      <scheme val="minor"/>
    </font>
    <font>
      <sz val="9"/>
      <color theme="1"/>
      <name val="Arial"/>
      <family val="2"/>
    </font>
    <font>
      <sz val="10"/>
      <color theme="4"/>
      <name val="Calibri"/>
      <family val="2"/>
    </font>
    <font>
      <b/>
      <sz val="10"/>
      <color theme="4"/>
      <name val="Calibri"/>
      <family val="2"/>
    </font>
    <font>
      <b/>
      <sz val="10"/>
      <color theme="0"/>
      <name val="Calibri"/>
      <family val="2"/>
    </font>
    <font>
      <sz val="10"/>
      <color theme="1" tint="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0"/>
      <name val="Calibri"/>
      <family val="2"/>
    </font>
    <font>
      <b/>
      <sz val="11"/>
      <color theme="3"/>
      <name val="Calibri"/>
      <family val="2"/>
      <scheme val="minor"/>
    </font>
    <font>
      <sz val="11"/>
      <color theme="0"/>
      <name val="Arial"/>
      <family val="2"/>
    </font>
    <font>
      <b/>
      <sz val="11"/>
      <color theme="1"/>
      <name val="Arial"/>
      <family val="2"/>
    </font>
    <font>
      <b/>
      <sz val="11"/>
      <color theme="0"/>
      <name val="Comic Sans MS"/>
      <family val="4"/>
    </font>
    <font>
      <sz val="10"/>
      <color theme="1"/>
      <name val="Comic Sans MS"/>
      <family val="4"/>
    </font>
    <font>
      <b/>
      <sz val="10"/>
      <color theme="1" tint="0.34998626667073579"/>
      <name val="Calibri"/>
      <family val="2"/>
    </font>
    <font>
      <b/>
      <sz val="10"/>
      <color theme="7"/>
      <name val="Calibri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11"/>
      <color theme="0"/>
      <name val="Arial"/>
      <family val="2"/>
    </font>
    <font>
      <b/>
      <sz val="11"/>
      <color theme="4" tint="-0.249977111117893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Arial"/>
      <family val="2"/>
    </font>
    <font>
      <b/>
      <sz val="12"/>
      <color rgb="FF7B00F6"/>
      <name val="Calibri"/>
      <family val="2"/>
      <scheme val="minor"/>
    </font>
    <font>
      <b/>
      <sz val="10"/>
      <color theme="7"/>
      <name val="Calibri"/>
      <family val="2"/>
      <scheme val="minor"/>
    </font>
    <font>
      <sz val="12"/>
      <color rgb="FFFF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5"/>
      <color theme="0"/>
      <name val="Arial"/>
      <family val="2"/>
    </font>
    <font>
      <b/>
      <sz val="12"/>
      <name val="Cambria"/>
      <family val="1"/>
    </font>
    <font>
      <b/>
      <sz val="12"/>
      <color theme="1"/>
      <name val="Lucida Bright"/>
      <family val="1"/>
    </font>
    <font>
      <b/>
      <sz val="10"/>
      <color theme="4" tint="-0.249977111117893"/>
      <name val="Calibri"/>
      <family val="2"/>
      <scheme val="minor"/>
    </font>
    <font>
      <b/>
      <sz val="13"/>
      <color theme="1"/>
      <name val="Lucida Bright"/>
      <family val="1"/>
    </font>
    <font>
      <b/>
      <sz val="10"/>
      <color rgb="FF0082B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Lucida Bright"/>
      <family val="1"/>
    </font>
    <font>
      <b/>
      <sz val="11"/>
      <name val="Calibri"/>
      <family val="2"/>
      <scheme val="minor"/>
    </font>
    <font>
      <b/>
      <sz val="10"/>
      <name val="Cambria"/>
      <family val="1"/>
    </font>
    <font>
      <b/>
      <sz val="9"/>
      <name val="Cambria"/>
      <family val="1"/>
    </font>
    <font>
      <b/>
      <sz val="10"/>
      <color theme="1"/>
      <name val="Cambria"/>
      <family val="1"/>
    </font>
    <font>
      <sz val="11"/>
      <name val="Arial"/>
      <family val="2"/>
    </font>
    <font>
      <b/>
      <sz val="11"/>
      <name val="Arial"/>
      <family val="2"/>
    </font>
    <font>
      <b/>
      <sz val="10"/>
      <color theme="0"/>
      <name val="Comic Sans MS"/>
      <family val="4"/>
    </font>
    <font>
      <b/>
      <sz val="10"/>
      <color theme="1" tint="0.34998626667073579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EAF7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6924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gradientFill degree="180">
        <stop position="0">
          <color theme="4"/>
        </stop>
        <stop position="1">
          <color theme="4" tint="-0.25098422193060094"/>
        </stop>
      </gradient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auto="1"/>
      </patternFill>
    </fill>
    <fill>
      <patternFill patternType="solid">
        <fgColor rgb="FF204F88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80ABE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C8EDE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0915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gradientFill degree="90">
        <stop position="0">
          <color theme="7"/>
        </stop>
        <stop position="1">
          <color theme="7" tint="-0.25098422193060094"/>
        </stop>
      </gradientFill>
    </fill>
  </fills>
  <borders count="4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auto="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medium">
        <color theme="7" tint="-0.24994659260841701"/>
      </left>
      <right style="medium">
        <color theme="7" tint="-0.24994659260841701"/>
      </right>
      <top style="medium">
        <color theme="7" tint="-0.24994659260841701"/>
      </top>
      <bottom style="medium">
        <color theme="7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 tint="-0.499984740745262"/>
      </left>
      <right style="medium">
        <color theme="1" tint="0.24994659260841701"/>
      </right>
      <top style="thin">
        <color theme="0" tint="-0.499984740745262"/>
      </top>
      <bottom style="medium">
        <color theme="1" tint="0.24994659260841701"/>
      </bottom>
      <diagonal/>
    </border>
    <border>
      <left style="medium">
        <color theme="1" tint="0.24994659260841701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9982B4"/>
      </left>
      <right style="thin">
        <color rgb="FF9982B4"/>
      </right>
      <top style="thin">
        <color rgb="FF9982B4"/>
      </top>
      <bottom style="thin">
        <color rgb="FF9982B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rgb="FFAC75D5"/>
      </left>
      <right/>
      <top style="thin">
        <color rgb="FFAC75D5"/>
      </top>
      <bottom style="thin">
        <color rgb="FFAC75D5"/>
      </bottom>
      <diagonal/>
    </border>
    <border>
      <left/>
      <right style="thin">
        <color rgb="FFAC75D5"/>
      </right>
      <top style="thin">
        <color rgb="FFAC75D5"/>
      </top>
      <bottom style="thin">
        <color rgb="FFAC75D5"/>
      </bottom>
      <diagonal/>
    </border>
    <border>
      <left style="thick">
        <color theme="0"/>
      </left>
      <right/>
      <top/>
      <bottom/>
      <diagonal/>
    </border>
    <border>
      <left style="thin">
        <color theme="0" tint="-0.34998626667073579"/>
      </left>
      <right style="thin">
        <color theme="1" tint="0.24994659260841701"/>
      </right>
      <top style="thin">
        <color theme="0" tint="-0.34998626667073579"/>
      </top>
      <bottom style="thin">
        <color theme="1" tint="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0" tint="-0.24994659260841701"/>
      </top>
      <bottom/>
      <diagonal/>
    </border>
    <border>
      <left/>
      <right style="medium">
        <color theme="0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/>
      </right>
      <top/>
      <bottom/>
      <diagonal/>
    </border>
  </borders>
  <cellStyleXfs count="42">
    <xf numFmtId="0" fontId="0" fillId="0" borderId="0"/>
    <xf numFmtId="43" fontId="3" fillId="0" borderId="0" applyFont="0" applyFill="0" applyBorder="0" applyAlignment="0" applyProtection="0"/>
    <xf numFmtId="0" fontId="8" fillId="0" borderId="0"/>
    <xf numFmtId="0" fontId="3" fillId="0" borderId="0"/>
    <xf numFmtId="0" fontId="14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8" fillId="0" borderId="0"/>
    <xf numFmtId="166" fontId="25" fillId="0" borderId="0" applyFont="0" applyFill="0" applyBorder="0" applyAlignment="0" applyProtection="0"/>
    <xf numFmtId="0" fontId="8" fillId="0" borderId="0"/>
    <xf numFmtId="0" fontId="8" fillId="0" borderId="0"/>
    <xf numFmtId="0" fontId="14" fillId="0" borderId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5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25" fillId="0" borderId="0" applyFont="0" applyFill="0" applyBorder="0" applyAlignment="0" applyProtection="0"/>
  </cellStyleXfs>
  <cellXfs count="314">
    <xf numFmtId="0" fontId="0" fillId="0" borderId="0" xfId="0"/>
    <xf numFmtId="0" fontId="6" fillId="0" borderId="0" xfId="0" applyFont="1"/>
    <xf numFmtId="164" fontId="9" fillId="5" borderId="0" xfId="2" applyNumberFormat="1" applyFont="1" applyFill="1" applyAlignment="1" applyProtection="1">
      <alignment horizontal="center" vertical="center"/>
      <protection hidden="1"/>
    </xf>
    <xf numFmtId="164" fontId="10" fillId="5" borderId="0" xfId="2" applyNumberFormat="1" applyFont="1" applyFill="1" applyAlignment="1" applyProtection="1">
      <alignment horizontal="center" vertical="center"/>
      <protection hidden="1"/>
    </xf>
    <xf numFmtId="0" fontId="7" fillId="0" borderId="0" xfId="0" applyFont="1"/>
    <xf numFmtId="0" fontId="12" fillId="0" borderId="0" xfId="0" applyFont="1"/>
    <xf numFmtId="164" fontId="10" fillId="5" borderId="0" xfId="2" applyNumberFormat="1" applyFont="1" applyFill="1" applyAlignment="1" applyProtection="1">
      <alignment vertical="center"/>
      <protection locked="0" hidden="1"/>
    </xf>
    <xf numFmtId="164" fontId="10" fillId="5" borderId="0" xfId="2" applyNumberFormat="1" applyFont="1" applyFill="1" applyAlignment="1" applyProtection="1">
      <alignment vertical="center"/>
      <protection hidden="1"/>
    </xf>
    <xf numFmtId="0" fontId="0" fillId="0" borderId="0" xfId="0" applyProtection="1">
      <protection locked="0"/>
    </xf>
    <xf numFmtId="0" fontId="11" fillId="4" borderId="0" xfId="0" applyFont="1" applyFill="1" applyAlignment="1" applyProtection="1">
      <alignment horizontal="center" vertical="center"/>
      <protection locked="0" hidden="1"/>
    </xf>
    <xf numFmtId="0" fontId="11" fillId="0" borderId="0" xfId="0" applyFont="1" applyAlignment="1" applyProtection="1">
      <alignment horizontal="left" vertical="center"/>
      <protection locked="0" hidden="1"/>
    </xf>
    <xf numFmtId="0" fontId="19" fillId="8" borderId="0" xfId="0" applyFont="1" applyFill="1" applyAlignment="1">
      <alignment horizontal="center" vertical="center"/>
    </xf>
    <xf numFmtId="0" fontId="0" fillId="8" borderId="0" xfId="0" applyFill="1"/>
    <xf numFmtId="0" fontId="7" fillId="8" borderId="0" xfId="0" applyFont="1" applyFill="1"/>
    <xf numFmtId="0" fontId="1" fillId="0" borderId="0" xfId="0" applyFont="1" applyAlignment="1" applyProtection="1">
      <alignment vertical="center"/>
      <protection locked="0" hidden="1"/>
    </xf>
    <xf numFmtId="164" fontId="18" fillId="0" borderId="0" xfId="2" applyNumberFormat="1" applyFont="1" applyAlignment="1" applyProtection="1">
      <alignment horizontal="center" vertical="center"/>
      <protection hidden="1"/>
    </xf>
    <xf numFmtId="0" fontId="2" fillId="0" borderId="0" xfId="0" applyFont="1" applyAlignment="1">
      <alignment horizontal="left"/>
    </xf>
    <xf numFmtId="0" fontId="20" fillId="0" borderId="0" xfId="0" applyFont="1" applyAlignment="1" applyProtection="1">
      <alignment vertical="center"/>
      <protection locked="0" hidden="1"/>
    </xf>
    <xf numFmtId="164" fontId="10" fillId="0" borderId="0" xfId="2" applyNumberFormat="1" applyFont="1" applyAlignment="1" applyProtection="1">
      <alignment horizontal="center" vertical="center"/>
      <protection locked="0" hidden="1"/>
    </xf>
    <xf numFmtId="0" fontId="21" fillId="0" borderId="0" xfId="2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21" fillId="0" borderId="4" xfId="0" applyFont="1" applyBorder="1" applyAlignment="1">
      <alignment horizontal="center" vertical="center"/>
    </xf>
    <xf numFmtId="0" fontId="0" fillId="0" borderId="5" xfId="0" applyBorder="1"/>
    <xf numFmtId="0" fontId="0" fillId="0" borderId="4" xfId="0" applyBorder="1" applyAlignment="1">
      <alignment horizontal="center" vertical="center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6" xfId="0" applyBorder="1" applyAlignment="1">
      <alignment horizontal="center" vertical="center"/>
    </xf>
    <xf numFmtId="0" fontId="2" fillId="0" borderId="5" xfId="0" applyFont="1" applyBorder="1"/>
    <xf numFmtId="0" fontId="0" fillId="0" borderId="1" xfId="0" applyBorder="1"/>
    <xf numFmtId="0" fontId="17" fillId="4" borderId="0" xfId="0" applyFont="1" applyFill="1" applyAlignment="1" applyProtection="1">
      <alignment horizontal="center" vertical="center"/>
      <protection locked="0" hidden="1"/>
    </xf>
    <xf numFmtId="0" fontId="17" fillId="7" borderId="0" xfId="0" applyFont="1" applyFill="1" applyAlignment="1" applyProtection="1">
      <alignment horizontal="center" vertical="center"/>
      <protection locked="0"/>
    </xf>
    <xf numFmtId="0" fontId="17" fillId="0" borderId="7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21" fillId="0" borderId="0" xfId="0" applyFont="1" applyAlignment="1">
      <alignment horizontal="left"/>
    </xf>
    <xf numFmtId="0" fontId="11" fillId="0" borderId="0" xfId="0" applyFont="1" applyAlignment="1" applyProtection="1">
      <alignment horizontal="right" vertical="center"/>
      <protection locked="0" hidden="1"/>
    </xf>
    <xf numFmtId="0" fontId="21" fillId="0" borderId="0" xfId="0" applyFont="1" applyAlignment="1" applyProtection="1">
      <alignment horizontal="left" vertical="center"/>
      <protection locked="0" hidden="1"/>
    </xf>
    <xf numFmtId="0" fontId="13" fillId="0" borderId="5" xfId="0" applyFont="1" applyBorder="1"/>
    <xf numFmtId="0" fontId="13" fillId="0" borderId="8" xfId="0" applyFont="1" applyBorder="1"/>
    <xf numFmtId="0" fontId="13" fillId="0" borderId="7" xfId="0" applyFont="1" applyBorder="1"/>
    <xf numFmtId="164" fontId="10" fillId="5" borderId="0" xfId="2" applyNumberFormat="1" applyFont="1" applyFill="1" applyAlignment="1" applyProtection="1">
      <alignment horizontal="center" vertical="center"/>
      <protection locked="0" hidden="1"/>
    </xf>
    <xf numFmtId="0" fontId="0" fillId="4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1" fillId="0" borderId="4" xfId="0" applyFont="1" applyBorder="1" applyAlignment="1">
      <alignment horizontal="center"/>
    </xf>
    <xf numFmtId="0" fontId="21" fillId="0" borderId="0" xfId="0" applyFont="1" applyAlignment="1">
      <alignment horizontal="center"/>
    </xf>
    <xf numFmtId="0" fontId="21" fillId="4" borderId="0" xfId="0" applyFont="1" applyFill="1" applyAlignment="1" applyProtection="1">
      <alignment horizontal="center" vertical="center"/>
      <protection locked="0" hidden="1"/>
    </xf>
    <xf numFmtId="0" fontId="11" fillId="0" borderId="0" xfId="0" applyFont="1" applyAlignment="1" applyProtection="1">
      <alignment horizontal="center"/>
      <protection locked="0" hidden="1"/>
    </xf>
    <xf numFmtId="14" fontId="16" fillId="9" borderId="0" xfId="2" applyNumberFormat="1" applyFont="1" applyFill="1" applyAlignment="1" applyProtection="1">
      <alignment horizontal="center" vertical="center"/>
      <protection locked="0"/>
    </xf>
    <xf numFmtId="0" fontId="0" fillId="4" borderId="0" xfId="0" applyFill="1" applyAlignment="1">
      <alignment horizontal="center" vertical="center"/>
    </xf>
    <xf numFmtId="0" fontId="17" fillId="4" borderId="0" xfId="0" applyFont="1" applyFill="1" applyAlignment="1" applyProtection="1">
      <alignment horizontal="center" vertical="center"/>
      <protection locked="0"/>
    </xf>
    <xf numFmtId="2" fontId="21" fillId="4" borderId="0" xfId="6" applyNumberFormat="1" applyFont="1" applyFill="1" applyBorder="1" applyAlignment="1" applyProtection="1">
      <alignment horizontal="center" vertical="center"/>
      <protection locked="0" hidden="1"/>
    </xf>
    <xf numFmtId="0" fontId="24" fillId="0" borderId="5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43" fontId="0" fillId="4" borderId="0" xfId="1" applyFont="1" applyFill="1" applyAlignment="1" applyProtection="1">
      <alignment horizontal="center" vertical="center"/>
    </xf>
    <xf numFmtId="43" fontId="0" fillId="0" borderId="0" xfId="1" applyFont="1" applyAlignment="1" applyProtection="1">
      <alignment horizontal="center" vertical="center"/>
    </xf>
    <xf numFmtId="0" fontId="17" fillId="0" borderId="0" xfId="0" applyFont="1" applyProtection="1">
      <protection locked="0"/>
    </xf>
    <xf numFmtId="2" fontId="17" fillId="4" borderId="0" xfId="6" applyNumberFormat="1" applyFont="1" applyFill="1" applyAlignment="1" applyProtection="1">
      <alignment horizontal="center" vertical="center"/>
      <protection locked="0"/>
    </xf>
    <xf numFmtId="2" fontId="0" fillId="4" borderId="0" xfId="6" applyNumberFormat="1" applyFont="1" applyFill="1" applyAlignment="1" applyProtection="1">
      <alignment horizontal="center" vertical="center"/>
    </xf>
    <xf numFmtId="2" fontId="0" fillId="0" borderId="0" xfId="6" applyNumberFormat="1" applyFont="1" applyAlignment="1" applyProtection="1">
      <alignment horizontal="center" vertical="center"/>
    </xf>
    <xf numFmtId="2" fontId="17" fillId="7" borderId="0" xfId="6" applyNumberFormat="1" applyFont="1" applyFill="1" applyAlignment="1" applyProtection="1">
      <alignment horizontal="center" vertical="center"/>
      <protection locked="0"/>
    </xf>
    <xf numFmtId="0" fontId="24" fillId="0" borderId="0" xfId="0" applyFont="1"/>
    <xf numFmtId="0" fontId="24" fillId="0" borderId="5" xfId="0" applyFont="1" applyBorder="1"/>
    <xf numFmtId="0" fontId="11" fillId="4" borderId="0" xfId="0" applyFont="1" applyFill="1" applyAlignment="1" applyProtection="1">
      <alignment vertical="center"/>
      <protection locked="0" hidden="1"/>
    </xf>
    <xf numFmtId="0" fontId="11" fillId="0" borderId="0" xfId="0" applyFont="1" applyAlignment="1" applyProtection="1">
      <alignment vertical="center"/>
      <protection locked="0" hidden="1"/>
    </xf>
    <xf numFmtId="0" fontId="21" fillId="0" borderId="0" xfId="0" applyFont="1" applyAlignment="1">
      <alignment horizontal="left" vertical="center"/>
    </xf>
    <xf numFmtId="0" fontId="19" fillId="8" borderId="0" xfId="0" applyFont="1" applyFill="1" applyAlignment="1">
      <alignment horizontal="left" vertical="center"/>
    </xf>
    <xf numFmtId="0" fontId="15" fillId="6" borderId="0" xfId="2" applyFont="1" applyFill="1" applyAlignment="1">
      <alignment vertical="center"/>
    </xf>
    <xf numFmtId="0" fontId="11" fillId="4" borderId="0" xfId="0" applyFont="1" applyFill="1" applyAlignment="1" applyProtection="1">
      <alignment horizontal="center"/>
      <protection locked="0" hidden="1"/>
    </xf>
    <xf numFmtId="0" fontId="11" fillId="4" borderId="0" xfId="0" applyFont="1" applyFill="1" applyAlignment="1" applyProtection="1">
      <alignment horizontal="left" vertical="center"/>
      <protection locked="0" hidden="1"/>
    </xf>
    <xf numFmtId="0" fontId="26" fillId="0" borderId="0" xfId="0" applyFont="1"/>
    <xf numFmtId="0" fontId="21" fillId="0" borderId="0" xfId="2" applyFont="1" applyAlignment="1">
      <alignment horizontal="left" vertical="center"/>
    </xf>
    <xf numFmtId="0" fontId="21" fillId="0" borderId="0" xfId="0" applyFont="1" applyAlignment="1" applyProtection="1">
      <alignment horizontal="left"/>
      <protection locked="0"/>
    </xf>
    <xf numFmtId="0" fontId="0" fillId="4" borderId="0" xfId="0" applyFill="1" applyAlignment="1">
      <alignment horizontal="center" vertical="center" shrinkToFit="1"/>
    </xf>
    <xf numFmtId="0" fontId="0" fillId="0" borderId="0" xfId="0" applyAlignment="1">
      <alignment shrinkToFit="1"/>
    </xf>
    <xf numFmtId="0" fontId="26" fillId="4" borderId="0" xfId="0" applyFont="1" applyFill="1" applyAlignment="1">
      <alignment horizontal="center" vertical="center" shrinkToFit="1"/>
    </xf>
    <xf numFmtId="0" fontId="26" fillId="0" borderId="0" xfId="0" applyFont="1" applyAlignment="1">
      <alignment shrinkToFit="1"/>
    </xf>
    <xf numFmtId="0" fontId="15" fillId="6" borderId="0" xfId="2" applyFont="1" applyFill="1" applyAlignment="1">
      <alignment vertical="center" shrinkToFit="1"/>
    </xf>
    <xf numFmtId="0" fontId="17" fillId="4" borderId="0" xfId="0" quotePrefix="1" applyFont="1" applyFill="1" applyAlignment="1" applyProtection="1">
      <alignment horizontal="center" vertical="center"/>
      <protection locked="0"/>
    </xf>
    <xf numFmtId="0" fontId="27" fillId="0" borderId="0" xfId="0" applyFont="1" applyAlignment="1">
      <alignment horizontal="center" vertical="center"/>
    </xf>
    <xf numFmtId="0" fontId="28" fillId="3" borderId="0" xfId="0" quotePrefix="1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27" fillId="0" borderId="0" xfId="0" applyFont="1" applyAlignment="1" applyProtection="1">
      <alignment horizontal="center" vertical="center"/>
      <protection locked="0"/>
    </xf>
    <xf numFmtId="165" fontId="29" fillId="6" borderId="0" xfId="4" applyNumberFormat="1" applyFont="1" applyFill="1" applyAlignment="1">
      <alignment horizontal="center" vertical="center"/>
    </xf>
    <xf numFmtId="0" fontId="27" fillId="0" borderId="0" xfId="0" quotePrefix="1" applyFont="1" applyAlignment="1" applyProtection="1">
      <alignment horizontal="center" vertical="center"/>
      <protection locked="0"/>
    </xf>
    <xf numFmtId="0" fontId="28" fillId="3" borderId="0" xfId="0" applyFont="1" applyFill="1" applyAlignment="1" applyProtection="1">
      <alignment horizontal="center" vertical="center"/>
      <protection locked="0"/>
    </xf>
    <xf numFmtId="9" fontId="31" fillId="0" borderId="0" xfId="8" applyNumberFormat="1" applyFont="1"/>
    <xf numFmtId="0" fontId="31" fillId="0" borderId="0" xfId="8" applyFont="1"/>
    <xf numFmtId="0" fontId="11" fillId="4" borderId="0" xfId="0" applyFont="1" applyFill="1" applyAlignment="1" applyProtection="1">
      <alignment horizontal="left" vertical="center" indent="1"/>
      <protection locked="0" hidden="1"/>
    </xf>
    <xf numFmtId="0" fontId="27" fillId="5" borderId="0" xfId="0" applyFont="1" applyFill="1" applyAlignment="1" applyProtection="1">
      <alignment horizontal="center" vertical="center"/>
      <protection locked="0"/>
    </xf>
    <xf numFmtId="0" fontId="13" fillId="0" borderId="0" xfId="0" applyFont="1"/>
    <xf numFmtId="0" fontId="21" fillId="4" borderId="0" xfId="0" applyFont="1" applyFill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43" fontId="5" fillId="0" borderId="0" xfId="1" applyFont="1" applyFill="1" applyBorder="1" applyAlignment="1" applyProtection="1">
      <alignment horizontal="center" vertical="center"/>
      <protection locked="0"/>
    </xf>
    <xf numFmtId="43" fontId="5" fillId="0" borderId="0" xfId="1" applyFont="1" applyFill="1" applyBorder="1" applyAlignment="1" applyProtection="1">
      <alignment horizontal="center"/>
      <protection locked="0"/>
    </xf>
    <xf numFmtId="0" fontId="32" fillId="11" borderId="0" xfId="27" quotePrefix="1" applyNumberFormat="1" applyFont="1" applyFill="1" applyBorder="1" applyAlignment="1">
      <alignment horizontal="center" vertical="center"/>
    </xf>
    <xf numFmtId="0" fontId="33" fillId="4" borderId="0" xfId="27" quotePrefix="1" applyNumberFormat="1" applyFont="1" applyFill="1" applyBorder="1" applyAlignment="1">
      <alignment horizontal="center" vertical="center"/>
    </xf>
    <xf numFmtId="0" fontId="34" fillId="12" borderId="9" xfId="8" quotePrefix="1" applyFont="1" applyFill="1" applyBorder="1" applyAlignment="1">
      <alignment horizontal="center" vertical="center"/>
    </xf>
    <xf numFmtId="167" fontId="34" fillId="13" borderId="0" xfId="8" quotePrefix="1" applyNumberFormat="1" applyFont="1" applyFill="1" applyAlignment="1">
      <alignment horizontal="center" vertical="center" wrapText="1"/>
    </xf>
    <xf numFmtId="0" fontId="8" fillId="5" borderId="0" xfId="8" applyFont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7" fillId="14" borderId="0" xfId="0" applyFont="1" applyFill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36" fillId="15" borderId="12" xfId="0" applyFont="1" applyFill="1" applyBorder="1" applyAlignment="1">
      <alignment horizontal="center" vertical="center"/>
    </xf>
    <xf numFmtId="0" fontId="36" fillId="15" borderId="10" xfId="0" applyFont="1" applyFill="1" applyBorder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168" fontId="35" fillId="5" borderId="17" xfId="8" applyNumberFormat="1" applyFont="1" applyFill="1" applyBorder="1" applyAlignment="1" applyProtection="1">
      <alignment horizontal="center" vertical="center" wrapText="1" shrinkToFit="1"/>
      <protection locked="0"/>
    </xf>
    <xf numFmtId="168" fontId="35" fillId="5" borderId="18" xfId="8" applyNumberFormat="1" applyFont="1" applyFill="1" applyBorder="1" applyAlignment="1" applyProtection="1">
      <alignment horizontal="center" vertical="center" wrapText="1" shrinkToFit="1"/>
      <protection locked="0"/>
    </xf>
    <xf numFmtId="43" fontId="35" fillId="5" borderId="15" xfId="1" applyFont="1" applyFill="1" applyBorder="1" applyAlignment="1" applyProtection="1">
      <alignment horizontal="center" vertical="center" wrapText="1" shrinkToFit="1"/>
      <protection locked="0"/>
    </xf>
    <xf numFmtId="43" fontId="35" fillId="5" borderId="19" xfId="1" applyFont="1" applyFill="1" applyBorder="1" applyAlignment="1" applyProtection="1">
      <alignment horizontal="center" vertical="center" wrapText="1" shrinkToFit="1"/>
      <protection locked="0"/>
    </xf>
    <xf numFmtId="43" fontId="35" fillId="5" borderId="16" xfId="1" applyFont="1" applyFill="1" applyBorder="1" applyAlignment="1" applyProtection="1">
      <alignment horizontal="center" vertical="center" wrapText="1" shrinkToFit="1"/>
      <protection locked="0"/>
    </xf>
    <xf numFmtId="43" fontId="35" fillId="5" borderId="20" xfId="1" applyFont="1" applyFill="1" applyBorder="1" applyAlignment="1" applyProtection="1">
      <alignment horizontal="center" vertical="center" wrapText="1" shrinkToFit="1"/>
      <protection locked="0"/>
    </xf>
    <xf numFmtId="0" fontId="37" fillId="5" borderId="12" xfId="8" applyFont="1" applyFill="1" applyBorder="1" applyAlignment="1" applyProtection="1">
      <alignment horizontal="center" vertical="center"/>
      <protection locked="0"/>
    </xf>
    <xf numFmtId="0" fontId="37" fillId="5" borderId="0" xfId="8" applyFont="1" applyFill="1" applyAlignment="1" applyProtection="1">
      <alignment horizontal="center" vertical="center"/>
      <protection locked="0"/>
    </xf>
    <xf numFmtId="0" fontId="37" fillId="5" borderId="10" xfId="8" applyFont="1" applyFill="1" applyBorder="1" applyAlignment="1" applyProtection="1">
      <alignment horizontal="center" vertical="center"/>
      <protection locked="0"/>
    </xf>
    <xf numFmtId="0" fontId="38" fillId="12" borderId="9" xfId="8" quotePrefix="1" applyFont="1" applyFill="1" applyBorder="1" applyAlignment="1">
      <alignment horizontal="center" vertical="center"/>
    </xf>
    <xf numFmtId="167" fontId="38" fillId="13" borderId="0" xfId="8" quotePrefix="1" applyNumberFormat="1" applyFont="1" applyFill="1" applyAlignment="1">
      <alignment horizontal="center" vertical="center" wrapText="1"/>
    </xf>
    <xf numFmtId="0" fontId="21" fillId="4" borderId="0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/>
    <xf numFmtId="0" fontId="21" fillId="0" borderId="0" xfId="0" applyFont="1" applyBorder="1" applyAlignment="1">
      <alignment horizontal="center"/>
    </xf>
    <xf numFmtId="0" fontId="21" fillId="4" borderId="0" xfId="0" applyFont="1" applyFill="1" applyBorder="1" applyAlignment="1" applyProtection="1">
      <alignment horizontal="center" vertical="center"/>
      <protection locked="0" hidden="1"/>
    </xf>
    <xf numFmtId="0" fontId="27" fillId="16" borderId="0" xfId="0" applyFont="1" applyFill="1" applyAlignment="1">
      <alignment horizontal="center" vertical="center"/>
    </xf>
    <xf numFmtId="0" fontId="1" fillId="3" borderId="0" xfId="0" quotePrefix="1" applyFont="1" applyFill="1" applyAlignment="1" applyProtection="1">
      <alignment horizontal="center" vertical="center"/>
    </xf>
    <xf numFmtId="43" fontId="5" fillId="0" borderId="0" xfId="1" applyFont="1" applyFill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43" fontId="5" fillId="4" borderId="0" xfId="1" applyFont="1" applyFill="1" applyBorder="1" applyAlignment="1" applyProtection="1">
      <alignment horizontal="center" vertical="center"/>
    </xf>
    <xf numFmtId="43" fontId="4" fillId="4" borderId="0" xfId="1" applyFont="1" applyFill="1" applyBorder="1" applyAlignment="1" applyProtection="1">
      <alignment horizontal="center" vertical="center"/>
    </xf>
    <xf numFmtId="0" fontId="30" fillId="0" borderId="0" xfId="0" applyFont="1" applyAlignment="1" applyProtection="1">
      <alignment horizontal="center" vertical="center"/>
    </xf>
    <xf numFmtId="0" fontId="0" fillId="0" borderId="0" xfId="0" applyProtection="1"/>
    <xf numFmtId="43" fontId="5" fillId="0" borderId="0" xfId="1" applyFont="1" applyFill="1" applyBorder="1" applyAlignment="1" applyProtection="1">
      <alignment horizontal="center" vertical="center"/>
    </xf>
    <xf numFmtId="0" fontId="30" fillId="0" borderId="0" xfId="0" applyFont="1" applyProtection="1"/>
    <xf numFmtId="0" fontId="21" fillId="4" borderId="0" xfId="0" quotePrefix="1" applyFont="1" applyFill="1" applyAlignment="1" applyProtection="1">
      <alignment horizontal="center" vertical="center"/>
      <protection locked="0" hidden="1"/>
    </xf>
    <xf numFmtId="0" fontId="30" fillId="0" borderId="0" xfId="0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15" fillId="6" borderId="0" xfId="2" applyFont="1" applyFill="1" applyAlignment="1">
      <alignment horizontal="center" vertical="center"/>
    </xf>
    <xf numFmtId="0" fontId="15" fillId="6" borderId="0" xfId="2" applyFont="1" applyFill="1" applyAlignment="1">
      <alignment horizontal="center" vertical="center" shrinkToFit="1"/>
    </xf>
    <xf numFmtId="0" fontId="0" fillId="17" borderId="0" xfId="0" applyFill="1"/>
    <xf numFmtId="0" fontId="19" fillId="17" borderId="0" xfId="0" applyFont="1" applyFill="1" applyAlignment="1">
      <alignment horizontal="center" vertical="center"/>
    </xf>
    <xf numFmtId="0" fontId="0" fillId="0" borderId="0" xfId="0" applyFill="1"/>
    <xf numFmtId="0" fontId="15" fillId="0" borderId="0" xfId="2" applyFont="1" applyFill="1" applyAlignment="1">
      <alignment vertical="center"/>
    </xf>
    <xf numFmtId="0" fontId="34" fillId="12" borderId="9" xfId="8" quotePrefix="1" applyFont="1" applyFill="1" applyBorder="1" applyAlignment="1" applyProtection="1">
      <alignment horizontal="center" vertical="center"/>
      <protection locked="0"/>
    </xf>
    <xf numFmtId="20" fontId="0" fillId="0" borderId="0" xfId="0" applyNumberFormat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 applyProtection="1">
      <alignment horizontal="center" vertical="center"/>
      <protection locked="0" hidden="1"/>
    </xf>
    <xf numFmtId="0" fontId="0" fillId="8" borderId="0" xfId="0" applyFill="1" applyAlignment="1">
      <alignment horizontal="center"/>
    </xf>
    <xf numFmtId="0" fontId="11" fillId="0" borderId="0" xfId="0" applyFont="1" applyAlignment="1" applyProtection="1">
      <alignment horizontal="center" vertical="center"/>
      <protection locked="0" hidden="1"/>
    </xf>
    <xf numFmtId="0" fontId="0" fillId="0" borderId="4" xfId="0" applyBorder="1"/>
    <xf numFmtId="0" fontId="40" fillId="18" borderId="21" xfId="0" applyFont="1" applyFill="1" applyBorder="1" applyAlignment="1">
      <alignment horizontal="center" vertical="center"/>
    </xf>
    <xf numFmtId="0" fontId="41" fillId="0" borderId="21" xfId="0" applyFont="1" applyBorder="1" applyAlignment="1">
      <alignment horizontal="center" vertical="center"/>
    </xf>
    <xf numFmtId="0" fontId="8" fillId="6" borderId="0" xfId="11" applyFill="1" applyAlignment="1">
      <alignment vertical="center"/>
    </xf>
    <xf numFmtId="0" fontId="19" fillId="19" borderId="22" xfId="2" quotePrefix="1" applyFont="1" applyFill="1" applyBorder="1" applyAlignment="1">
      <alignment horizontal="center" vertical="center"/>
    </xf>
    <xf numFmtId="0" fontId="44" fillId="5" borderId="23" xfId="11" applyFont="1" applyFill="1" applyBorder="1" applyAlignment="1" applyProtection="1">
      <alignment horizontal="left" vertical="center" indent="1"/>
      <protection locked="0"/>
    </xf>
    <xf numFmtId="0" fontId="8" fillId="0" borderId="0" xfId="11" applyAlignment="1">
      <alignment vertical="center"/>
    </xf>
    <xf numFmtId="0" fontId="8" fillId="6" borderId="0" xfId="11" applyFill="1" applyAlignment="1">
      <alignment horizontal="left" vertical="center"/>
    </xf>
    <xf numFmtId="0" fontId="19" fillId="19" borderId="24" xfId="2" quotePrefix="1" applyFont="1" applyFill="1" applyBorder="1" applyAlignment="1">
      <alignment horizontal="center" vertical="center"/>
    </xf>
    <xf numFmtId="0" fontId="19" fillId="19" borderId="0" xfId="2" quotePrefix="1" applyFont="1" applyFill="1" applyAlignment="1">
      <alignment horizontal="center" vertical="center"/>
    </xf>
    <xf numFmtId="0" fontId="33" fillId="6" borderId="0" xfId="11" applyFont="1" applyFill="1" applyAlignment="1">
      <alignment horizontal="left" vertical="center" indent="1"/>
    </xf>
    <xf numFmtId="0" fontId="44" fillId="5" borderId="27" xfId="11" applyFont="1" applyFill="1" applyBorder="1" applyAlignment="1" applyProtection="1">
      <alignment horizontal="center" vertical="center"/>
      <protection locked="0"/>
    </xf>
    <xf numFmtId="0" fontId="19" fillId="19" borderId="22" xfId="2" quotePrefix="1" applyFont="1" applyFill="1" applyBorder="1" applyAlignment="1">
      <alignment horizontal="center" vertical="center" wrapText="1"/>
    </xf>
    <xf numFmtId="0" fontId="47" fillId="6" borderId="0" xfId="11" applyFont="1" applyFill="1" applyAlignment="1">
      <alignment vertical="center"/>
    </xf>
    <xf numFmtId="0" fontId="19" fillId="19" borderId="28" xfId="2" quotePrefix="1" applyFont="1" applyFill="1" applyBorder="1" applyAlignment="1">
      <alignment horizontal="center" vertical="center"/>
    </xf>
    <xf numFmtId="0" fontId="42" fillId="20" borderId="0" xfId="11" applyFont="1" applyFill="1" applyAlignment="1">
      <alignment horizontal="left" vertical="center" indent="1"/>
    </xf>
    <xf numFmtId="0" fontId="8" fillId="2" borderId="0" xfId="11" applyFill="1" applyAlignment="1">
      <alignment vertical="center"/>
    </xf>
    <xf numFmtId="0" fontId="43" fillId="2" borderId="0" xfId="11" applyFont="1" applyFill="1" applyAlignment="1">
      <alignment vertical="center"/>
    </xf>
    <xf numFmtId="0" fontId="15" fillId="6" borderId="31" xfId="2" applyFont="1" applyFill="1" applyBorder="1" applyAlignment="1">
      <alignment vertical="center"/>
    </xf>
    <xf numFmtId="0" fontId="15" fillId="6" borderId="0" xfId="2" applyFont="1" applyFill="1" applyAlignment="1">
      <alignment horizontal="left" vertical="center"/>
    </xf>
    <xf numFmtId="0" fontId="1" fillId="21" borderId="31" xfId="2" applyFont="1" applyFill="1" applyBorder="1" applyAlignment="1">
      <alignment horizontal="center" vertical="center"/>
    </xf>
    <xf numFmtId="0" fontId="1" fillId="21" borderId="0" xfId="2" applyFont="1" applyFill="1" applyAlignment="1">
      <alignment horizontal="center" vertical="center"/>
    </xf>
    <xf numFmtId="0" fontId="48" fillId="21" borderId="0" xfId="8" applyFont="1" applyFill="1" applyAlignment="1">
      <alignment horizontal="center" vertical="center"/>
    </xf>
    <xf numFmtId="0" fontId="49" fillId="0" borderId="0" xfId="2" applyFont="1" applyAlignment="1">
      <alignment horizontal="center" vertical="center"/>
    </xf>
    <xf numFmtId="0" fontId="16" fillId="9" borderId="0" xfId="2" quotePrefix="1" applyFont="1" applyFill="1" applyAlignment="1" applyProtection="1">
      <alignment horizontal="center" vertical="center"/>
      <protection locked="0"/>
    </xf>
    <xf numFmtId="0" fontId="50" fillId="6" borderId="0" xfId="2" applyFont="1" applyFill="1" applyAlignment="1">
      <alignment vertical="center"/>
    </xf>
    <xf numFmtId="0" fontId="51" fillId="6" borderId="0" xfId="8" applyFont="1" applyFill="1"/>
    <xf numFmtId="0" fontId="51" fillId="6" borderId="0" xfId="8" applyFont="1" applyFill="1" applyAlignment="1">
      <alignment horizontal="center"/>
    </xf>
    <xf numFmtId="0" fontId="1" fillId="22" borderId="31" xfId="2" applyFont="1" applyFill="1" applyBorder="1" applyAlignment="1">
      <alignment horizontal="center" vertical="center"/>
    </xf>
    <xf numFmtId="0" fontId="1" fillId="22" borderId="0" xfId="2" applyFont="1" applyFill="1" applyAlignment="1">
      <alignment horizontal="center" vertical="center"/>
    </xf>
    <xf numFmtId="0" fontId="48" fillId="22" borderId="0" xfId="8" applyFont="1" applyFill="1" applyAlignment="1">
      <alignment horizontal="center" vertical="center"/>
    </xf>
    <xf numFmtId="0" fontId="19" fillId="23" borderId="32" xfId="2" quotePrefix="1" applyFont="1" applyFill="1" applyBorder="1" applyAlignment="1">
      <alignment horizontal="center" vertical="center"/>
    </xf>
    <xf numFmtId="0" fontId="1" fillId="24" borderId="31" xfId="2" applyFont="1" applyFill="1" applyBorder="1" applyAlignment="1">
      <alignment horizontal="center" vertical="center"/>
    </xf>
    <xf numFmtId="0" fontId="1" fillId="24" borderId="0" xfId="2" applyFont="1" applyFill="1" applyAlignment="1">
      <alignment horizontal="center" vertical="center"/>
    </xf>
    <xf numFmtId="0" fontId="48" fillId="24" borderId="0" xfId="8" applyFont="1" applyFill="1" applyAlignment="1">
      <alignment horizontal="center" vertical="center"/>
    </xf>
    <xf numFmtId="0" fontId="1" fillId="25" borderId="31" xfId="2" applyFont="1" applyFill="1" applyBorder="1" applyAlignment="1">
      <alignment horizontal="center" vertical="center"/>
    </xf>
    <xf numFmtId="0" fontId="1" fillId="25" borderId="0" xfId="2" applyFont="1" applyFill="1" applyAlignment="1">
      <alignment horizontal="center" vertical="center"/>
    </xf>
    <xf numFmtId="0" fontId="48" fillId="25" borderId="0" xfId="8" applyFont="1" applyFill="1" applyAlignment="1">
      <alignment horizontal="center" vertical="center"/>
    </xf>
    <xf numFmtId="0" fontId="19" fillId="26" borderId="0" xfId="2" quotePrefix="1" applyFont="1" applyFill="1" applyAlignment="1">
      <alignment horizontal="center" vertical="center"/>
    </xf>
    <xf numFmtId="0" fontId="13" fillId="6" borderId="0" xfId="2" applyFont="1" applyFill="1" applyAlignment="1">
      <alignment horizontal="left" vertical="center"/>
    </xf>
    <xf numFmtId="0" fontId="13" fillId="6" borderId="0" xfId="2" applyFont="1" applyFill="1" applyAlignment="1">
      <alignment vertical="center"/>
    </xf>
    <xf numFmtId="20" fontId="13" fillId="6" borderId="0" xfId="2" applyNumberFormat="1" applyFont="1" applyFill="1" applyAlignment="1">
      <alignment horizontal="left" vertical="center"/>
    </xf>
    <xf numFmtId="169" fontId="53" fillId="6" borderId="31" xfId="2" applyNumberFormat="1" applyFont="1" applyFill="1" applyBorder="1" applyAlignment="1">
      <alignment horizontal="right" vertical="center" indent="1"/>
    </xf>
    <xf numFmtId="0" fontId="19" fillId="23" borderId="0" xfId="2" quotePrefix="1" applyFont="1" applyFill="1" applyAlignment="1">
      <alignment horizontal="center" vertical="center"/>
    </xf>
    <xf numFmtId="0" fontId="54" fillId="6" borderId="0" xfId="8" applyFont="1" applyFill="1"/>
    <xf numFmtId="0" fontId="57" fillId="17" borderId="0" xfId="8" applyFont="1" applyFill="1" applyAlignment="1">
      <alignment horizontal="left" vertical="center"/>
    </xf>
    <xf numFmtId="0" fontId="48" fillId="17" borderId="0" xfId="8" applyFont="1" applyFill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25" fillId="0" borderId="0" xfId="8"/>
    <xf numFmtId="0" fontId="15" fillId="0" borderId="0" xfId="8" applyFont="1" applyAlignment="1">
      <alignment horizontal="center" vertical="center"/>
    </xf>
    <xf numFmtId="0" fontId="48" fillId="27" borderId="35" xfId="8" applyFont="1" applyFill="1" applyBorder="1" applyAlignment="1" applyProtection="1">
      <alignment horizontal="center" vertical="center"/>
      <protection locked="0"/>
    </xf>
    <xf numFmtId="0" fontId="19" fillId="28" borderId="36" xfId="8" applyFont="1" applyFill="1" applyBorder="1" applyAlignment="1">
      <alignment horizontal="center" vertical="center" wrapText="1" shrinkToFit="1"/>
    </xf>
    <xf numFmtId="0" fontId="19" fillId="28" borderId="36" xfId="8" applyFont="1" applyFill="1" applyBorder="1" applyAlignment="1">
      <alignment horizontal="center" vertical="center"/>
    </xf>
    <xf numFmtId="0" fontId="19" fillId="28" borderId="35" xfId="8" applyFont="1" applyFill="1" applyBorder="1" applyAlignment="1">
      <alignment horizontal="center" vertical="center"/>
    </xf>
    <xf numFmtId="0" fontId="19" fillId="28" borderId="35" xfId="8" applyFont="1" applyFill="1" applyBorder="1" applyAlignment="1">
      <alignment horizontal="center" vertical="center" wrapText="1" shrinkToFit="1"/>
    </xf>
    <xf numFmtId="0" fontId="15" fillId="5" borderId="36" xfId="8" applyFont="1" applyFill="1" applyBorder="1" applyAlignment="1">
      <alignment horizontal="center" vertical="center"/>
    </xf>
    <xf numFmtId="0" fontId="15" fillId="19" borderId="36" xfId="8" applyFont="1" applyFill="1" applyBorder="1" applyAlignment="1" applyProtection="1">
      <alignment horizontal="center" vertical="center"/>
      <protection locked="0"/>
    </xf>
    <xf numFmtId="0" fontId="60" fillId="5" borderId="36" xfId="8" applyFont="1" applyFill="1" applyBorder="1" applyAlignment="1">
      <alignment horizontal="center" vertical="center"/>
    </xf>
    <xf numFmtId="0" fontId="15" fillId="5" borderId="1" xfId="8" applyFont="1" applyFill="1" applyBorder="1" applyAlignment="1">
      <alignment horizontal="center" vertical="center"/>
    </xf>
    <xf numFmtId="0" fontId="15" fillId="5" borderId="2" xfId="8" applyFont="1" applyFill="1" applyBorder="1" applyAlignment="1">
      <alignment horizontal="center" vertical="center"/>
    </xf>
    <xf numFmtId="0" fontId="15" fillId="5" borderId="3" xfId="8" applyFont="1" applyFill="1" applyBorder="1" applyAlignment="1" applyProtection="1">
      <alignment horizontal="center" vertical="center"/>
      <protection locked="0"/>
    </xf>
    <xf numFmtId="0" fontId="60" fillId="0" borderId="2" xfId="8" applyFont="1" applyBorder="1" applyAlignment="1">
      <alignment horizontal="center" vertical="center"/>
    </xf>
    <xf numFmtId="0" fontId="15" fillId="0" borderId="2" xfId="8" applyFont="1" applyBorder="1" applyAlignment="1">
      <alignment horizontal="center" vertical="center"/>
    </xf>
    <xf numFmtId="0" fontId="15" fillId="0" borderId="2" xfId="8" applyFont="1" applyBorder="1" applyAlignment="1" applyProtection="1">
      <alignment horizontal="center" vertical="center"/>
      <protection locked="0"/>
    </xf>
    <xf numFmtId="0" fontId="15" fillId="5" borderId="2" xfId="8" applyFont="1" applyFill="1" applyBorder="1" applyAlignment="1" applyProtection="1">
      <alignment horizontal="center" vertical="center"/>
      <protection locked="0"/>
    </xf>
    <xf numFmtId="0" fontId="15" fillId="5" borderId="37" xfId="8" applyFont="1" applyFill="1" applyBorder="1" applyAlignment="1">
      <alignment horizontal="center" vertical="center"/>
    </xf>
    <xf numFmtId="0" fontId="15" fillId="19" borderId="37" xfId="8" applyFont="1" applyFill="1" applyBorder="1" applyAlignment="1" applyProtection="1">
      <alignment horizontal="center" vertical="center"/>
      <protection locked="0"/>
    </xf>
    <xf numFmtId="0" fontId="60" fillId="5" borderId="37" xfId="8" applyFont="1" applyFill="1" applyBorder="1" applyAlignment="1">
      <alignment horizontal="center" vertical="center"/>
    </xf>
    <xf numFmtId="0" fontId="15" fillId="5" borderId="4" xfId="8" applyFont="1" applyFill="1" applyBorder="1" applyAlignment="1">
      <alignment horizontal="center" vertical="center"/>
    </xf>
    <xf numFmtId="0" fontId="15" fillId="5" borderId="0" xfId="8" applyFont="1" applyFill="1" applyAlignment="1">
      <alignment horizontal="center" vertical="center"/>
    </xf>
    <xf numFmtId="0" fontId="15" fillId="5" borderId="5" xfId="8" applyFont="1" applyFill="1" applyBorder="1" applyAlignment="1" applyProtection="1">
      <alignment horizontal="center" vertical="center"/>
      <protection locked="0"/>
    </xf>
    <xf numFmtId="0" fontId="60" fillId="0" borderId="0" xfId="8" applyFont="1" applyAlignment="1">
      <alignment horizontal="center" vertical="center"/>
    </xf>
    <xf numFmtId="0" fontId="15" fillId="0" borderId="0" xfId="8" applyFont="1" applyAlignment="1" applyProtection="1">
      <alignment horizontal="center" vertical="center"/>
      <protection locked="0"/>
    </xf>
    <xf numFmtId="0" fontId="15" fillId="5" borderId="0" xfId="8" applyFont="1" applyFill="1" applyAlignment="1" applyProtection="1">
      <alignment horizontal="center" vertical="center"/>
      <protection locked="0"/>
    </xf>
    <xf numFmtId="0" fontId="60" fillId="0" borderId="37" xfId="8" applyFont="1" applyBorder="1" applyAlignment="1">
      <alignment horizontal="center" vertical="center"/>
    </xf>
    <xf numFmtId="0" fontId="15" fillId="0" borderId="4" xfId="8" applyFont="1" applyBorder="1" applyAlignment="1">
      <alignment horizontal="center" vertical="center"/>
    </xf>
    <xf numFmtId="0" fontId="60" fillId="0" borderId="38" xfId="8" applyFont="1" applyBorder="1" applyAlignment="1">
      <alignment horizontal="center" vertical="center"/>
    </xf>
    <xf numFmtId="0" fontId="15" fillId="0" borderId="6" xfId="8" applyFont="1" applyBorder="1" applyAlignment="1">
      <alignment horizontal="center" vertical="center"/>
    </xf>
    <xf numFmtId="0" fontId="15" fillId="0" borderId="7" xfId="8" applyFont="1" applyBorder="1" applyAlignment="1">
      <alignment horizontal="center" vertical="center"/>
    </xf>
    <xf numFmtId="0" fontId="15" fillId="0" borderId="7" xfId="8" applyFont="1" applyBorder="1" applyAlignment="1" applyProtection="1">
      <alignment horizontal="center" vertical="center"/>
      <protection locked="0"/>
    </xf>
    <xf numFmtId="0" fontId="15" fillId="5" borderId="7" xfId="8" applyFont="1" applyFill="1" applyBorder="1" applyAlignment="1" applyProtection="1">
      <alignment horizontal="center" vertical="center"/>
      <protection locked="0"/>
    </xf>
    <xf numFmtId="0" fontId="15" fillId="5" borderId="8" xfId="8" applyFont="1" applyFill="1" applyBorder="1" applyAlignment="1" applyProtection="1">
      <alignment horizontal="center" vertical="center"/>
      <protection locked="0"/>
    </xf>
    <xf numFmtId="0" fontId="62" fillId="5" borderId="36" xfId="8" applyFont="1" applyFill="1" applyBorder="1" applyAlignment="1">
      <alignment horizontal="center" vertical="center"/>
    </xf>
    <xf numFmtId="0" fontId="15" fillId="0" borderId="1" xfId="8" applyFont="1" applyBorder="1" applyAlignment="1">
      <alignment horizontal="center" vertical="center"/>
    </xf>
    <xf numFmtId="0" fontId="62" fillId="5" borderId="2" xfId="8" applyFont="1" applyFill="1" applyBorder="1" applyAlignment="1">
      <alignment horizontal="center" vertical="center"/>
    </xf>
    <xf numFmtId="0" fontId="62" fillId="5" borderId="37" xfId="8" applyFont="1" applyFill="1" applyBorder="1" applyAlignment="1">
      <alignment horizontal="center" vertical="center"/>
    </xf>
    <xf numFmtId="0" fontId="62" fillId="5" borderId="0" xfId="8" applyFont="1" applyFill="1" applyAlignment="1">
      <alignment horizontal="center" vertical="center"/>
    </xf>
    <xf numFmtId="0" fontId="15" fillId="5" borderId="37" xfId="8" applyFont="1" applyFill="1" applyBorder="1" applyAlignment="1" applyProtection="1">
      <alignment horizontal="center" vertical="center"/>
      <protection locked="0"/>
    </xf>
    <xf numFmtId="0" fontId="60" fillId="0" borderId="36" xfId="8" applyFont="1" applyBorder="1" applyAlignment="1">
      <alignment horizontal="center" vertical="center"/>
    </xf>
    <xf numFmtId="0" fontId="62" fillId="5" borderId="7" xfId="8" applyFont="1" applyFill="1" applyBorder="1" applyAlignment="1">
      <alignment horizontal="center" vertical="center"/>
    </xf>
    <xf numFmtId="0" fontId="61" fillId="0" borderId="0" xfId="0" applyFont="1" applyAlignment="1">
      <alignment vertical="center"/>
    </xf>
    <xf numFmtId="0" fontId="15" fillId="5" borderId="38" xfId="8" applyFont="1" applyFill="1" applyBorder="1" applyAlignment="1">
      <alignment horizontal="center" vertical="center"/>
    </xf>
    <xf numFmtId="0" fontId="15" fillId="19" borderId="38" xfId="8" applyFont="1" applyFill="1" applyBorder="1" applyAlignment="1" applyProtection="1">
      <alignment horizontal="center" vertical="center"/>
      <protection locked="0"/>
    </xf>
    <xf numFmtId="0" fontId="62" fillId="0" borderId="37" xfId="8" applyFont="1" applyBorder="1" applyAlignment="1">
      <alignment horizontal="center" vertical="center"/>
    </xf>
    <xf numFmtId="0" fontId="62" fillId="5" borderId="38" xfId="8" applyFont="1" applyFill="1" applyBorder="1" applyAlignment="1">
      <alignment horizontal="center" vertical="center"/>
    </xf>
    <xf numFmtId="0" fontId="48" fillId="29" borderId="0" xfId="8" applyFont="1" applyFill="1" applyAlignment="1">
      <alignment horizontal="center" vertical="center"/>
    </xf>
    <xf numFmtId="0" fontId="63" fillId="10" borderId="31" xfId="2" applyFont="1" applyFill="1" applyBorder="1" applyAlignment="1">
      <alignment horizontal="center" vertical="center"/>
    </xf>
    <xf numFmtId="0" fontId="65" fillId="10" borderId="0" xfId="8" applyFont="1" applyFill="1" applyAlignment="1">
      <alignment horizontal="center" vertical="center"/>
    </xf>
    <xf numFmtId="0" fontId="28" fillId="31" borderId="0" xfId="2" applyFont="1" applyFill="1" applyAlignment="1">
      <alignment horizontal="center" vertical="center"/>
    </xf>
    <xf numFmtId="0" fontId="66" fillId="32" borderId="0" xfId="2" applyFont="1" applyFill="1" applyAlignment="1">
      <alignment horizontal="center" vertical="center"/>
    </xf>
    <xf numFmtId="2" fontId="67" fillId="5" borderId="0" xfId="1" applyNumberFormat="1" applyFont="1" applyFill="1" applyBorder="1" applyAlignment="1" applyProtection="1">
      <alignment horizontal="center" vertical="center"/>
    </xf>
    <xf numFmtId="2" fontId="66" fillId="5" borderId="0" xfId="1" applyNumberFormat="1" applyFont="1" applyFill="1" applyBorder="1" applyAlignment="1" applyProtection="1">
      <alignment horizontal="center" vertical="center"/>
    </xf>
    <xf numFmtId="0" fontId="66" fillId="31" borderId="0" xfId="2" applyFont="1" applyFill="1" applyAlignment="1">
      <alignment horizontal="center" vertical="center"/>
    </xf>
    <xf numFmtId="0" fontId="68" fillId="5" borderId="0" xfId="8" applyFont="1" applyFill="1" applyAlignment="1">
      <alignment horizontal="center" vertical="center"/>
    </xf>
    <xf numFmtId="0" fontId="69" fillId="0" borderId="0" xfId="8" applyFont="1"/>
    <xf numFmtId="0" fontId="66" fillId="0" borderId="0" xfId="2" applyFont="1" applyAlignment="1">
      <alignment horizontal="center" vertical="center"/>
    </xf>
    <xf numFmtId="2" fontId="67" fillId="0" borderId="0" xfId="1" applyNumberFormat="1" applyFont="1" applyFill="1" applyBorder="1" applyAlignment="1" applyProtection="1">
      <alignment horizontal="center" vertical="center"/>
    </xf>
    <xf numFmtId="0" fontId="64" fillId="10" borderId="0" xfId="8" applyFont="1" applyFill="1" applyAlignment="1">
      <alignment vertical="center"/>
    </xf>
    <xf numFmtId="0" fontId="70" fillId="10" borderId="0" xfId="8" applyFont="1" applyFill="1" applyAlignment="1">
      <alignment horizontal="center" vertical="center"/>
    </xf>
    <xf numFmtId="14" fontId="66" fillId="0" borderId="0" xfId="8" applyNumberFormat="1" applyFont="1" applyAlignment="1">
      <alignment horizontal="center" vertical="center"/>
    </xf>
    <xf numFmtId="0" fontId="66" fillId="32" borderId="0" xfId="2" applyFont="1" applyFill="1" applyAlignment="1">
      <alignment horizontal="left" vertical="center"/>
    </xf>
    <xf numFmtId="170" fontId="63" fillId="5" borderId="0" xfId="9" applyNumberFormat="1" applyFont="1" applyFill="1" applyBorder="1" applyAlignment="1" applyProtection="1">
      <alignment horizontal="center" vertical="center"/>
      <protection hidden="1"/>
    </xf>
    <xf numFmtId="0" fontId="66" fillId="31" borderId="39" xfId="2" applyFont="1" applyFill="1" applyBorder="1" applyAlignment="1">
      <alignment horizontal="center" vertical="center"/>
    </xf>
    <xf numFmtId="0" fontId="28" fillId="33" borderId="0" xfId="8" applyFont="1" applyFill="1" applyAlignment="1">
      <alignment horizontal="center" vertical="center"/>
    </xf>
    <xf numFmtId="0" fontId="27" fillId="0" borderId="0" xfId="8" applyFont="1" applyAlignment="1" applyProtection="1">
      <alignment horizontal="center" vertical="center"/>
      <protection locked="0"/>
    </xf>
    <xf numFmtId="0" fontId="15" fillId="5" borderId="0" xfId="8" applyFont="1" applyFill="1" applyAlignment="1">
      <alignment horizontal="center"/>
    </xf>
    <xf numFmtId="0" fontId="71" fillId="34" borderId="31" xfId="3" applyFont="1" applyFill="1" applyBorder="1" applyAlignment="1">
      <alignment horizontal="left" vertical="center" indent="1"/>
    </xf>
    <xf numFmtId="171" fontId="72" fillId="5" borderId="40" xfId="0" applyNumberFormat="1" applyFont="1" applyFill="1" applyBorder="1" applyAlignment="1">
      <alignment horizontal="center" vertical="center"/>
    </xf>
    <xf numFmtId="43" fontId="0" fillId="0" borderId="0" xfId="1" applyFont="1" applyAlignment="1">
      <alignment horizontal="center" vertical="center"/>
    </xf>
    <xf numFmtId="171" fontId="72" fillId="5" borderId="41" xfId="0" applyNumberFormat="1" applyFont="1" applyFill="1" applyBorder="1" applyAlignment="1">
      <alignment horizontal="center" vertical="center"/>
    </xf>
    <xf numFmtId="0" fontId="44" fillId="5" borderId="23" xfId="11" applyFont="1" applyFill="1" applyBorder="1" applyAlignment="1" applyProtection="1">
      <alignment horizontal="left" vertical="center" indent="1"/>
      <protection locked="0"/>
    </xf>
    <xf numFmtId="0" fontId="44" fillId="5" borderId="25" xfId="11" applyFont="1" applyFill="1" applyBorder="1" applyAlignment="1" applyProtection="1">
      <alignment horizontal="left" vertical="center" indent="1"/>
      <protection locked="0"/>
    </xf>
    <xf numFmtId="0" fontId="44" fillId="5" borderId="23" xfId="11" applyFont="1" applyFill="1" applyBorder="1" applyAlignment="1" applyProtection="1">
      <alignment horizontal="left" vertical="center" indent="1"/>
      <protection locked="0"/>
    </xf>
    <xf numFmtId="0" fontId="44" fillId="5" borderId="26" xfId="11" applyFont="1" applyFill="1" applyBorder="1" applyAlignment="1" applyProtection="1">
      <alignment horizontal="left" vertical="center" indent="1"/>
      <protection locked="0"/>
    </xf>
    <xf numFmtId="14" fontId="45" fillId="5" borderId="29" xfId="11" quotePrefix="1" applyNumberFormat="1" applyFont="1" applyFill="1" applyBorder="1" applyAlignment="1" applyProtection="1">
      <alignment horizontal="center" vertical="center"/>
      <protection locked="0"/>
    </xf>
    <xf numFmtId="14" fontId="45" fillId="5" borderId="30" xfId="11" quotePrefix="1" applyNumberFormat="1" applyFont="1" applyFill="1" applyBorder="1" applyAlignment="1" applyProtection="1">
      <alignment horizontal="center" vertical="center"/>
      <protection locked="0"/>
    </xf>
    <xf numFmtId="14" fontId="46" fillId="5" borderId="29" xfId="11" quotePrefix="1" applyNumberFormat="1" applyFont="1" applyFill="1" applyBorder="1" applyAlignment="1" applyProtection="1">
      <alignment horizontal="center" vertical="center"/>
      <protection locked="0"/>
    </xf>
    <xf numFmtId="14" fontId="46" fillId="5" borderId="30" xfId="11" quotePrefix="1" applyNumberFormat="1" applyFont="1" applyFill="1" applyBorder="1" applyAlignment="1" applyProtection="1">
      <alignment horizontal="center" vertical="center"/>
      <protection locked="0"/>
    </xf>
    <xf numFmtId="0" fontId="52" fillId="0" borderId="0" xfId="2" quotePrefix="1" applyFont="1" applyAlignment="1" applyProtection="1">
      <alignment horizontal="center" vertical="center"/>
      <protection locked="0"/>
    </xf>
    <xf numFmtId="0" fontId="52" fillId="0" borderId="0" xfId="2" applyFont="1" applyAlignment="1" applyProtection="1">
      <alignment horizontal="center" vertical="center"/>
      <protection locked="0"/>
    </xf>
    <xf numFmtId="0" fontId="39" fillId="5" borderId="0" xfId="2" applyFont="1" applyFill="1" applyAlignment="1" applyProtection="1">
      <alignment horizontal="left" vertical="center" indent="1"/>
      <protection locked="0"/>
    </xf>
    <xf numFmtId="0" fontId="48" fillId="21" borderId="0" xfId="8" applyFont="1" applyFill="1" applyAlignment="1">
      <alignment horizontal="center" vertical="center"/>
    </xf>
    <xf numFmtId="0" fontId="48" fillId="22" borderId="0" xfId="8" applyFont="1" applyFill="1" applyAlignment="1">
      <alignment horizontal="center" vertical="center"/>
    </xf>
    <xf numFmtId="0" fontId="49" fillId="5" borderId="0" xfId="2" applyFont="1" applyFill="1" applyAlignment="1" applyProtection="1">
      <alignment horizontal="left" vertical="center" indent="1"/>
      <protection locked="0"/>
    </xf>
    <xf numFmtId="0" fontId="48" fillId="24" borderId="0" xfId="8" applyFont="1" applyFill="1" applyAlignment="1">
      <alignment horizontal="center" vertical="center"/>
    </xf>
    <xf numFmtId="0" fontId="48" fillId="25" borderId="0" xfId="8" applyFont="1" applyFill="1" applyAlignment="1">
      <alignment horizontal="center" vertical="center"/>
    </xf>
    <xf numFmtId="0" fontId="59" fillId="0" borderId="36" xfId="0" applyFont="1" applyBorder="1" applyAlignment="1">
      <alignment horizontal="center" vertical="center" wrapText="1" shrinkToFit="1"/>
    </xf>
    <xf numFmtId="0" fontId="59" fillId="0" borderId="37" xfId="0" applyFont="1" applyBorder="1" applyAlignment="1">
      <alignment horizontal="center" vertical="center" wrapText="1" shrinkToFit="1"/>
    </xf>
    <xf numFmtId="0" fontId="59" fillId="0" borderId="38" xfId="0" applyFont="1" applyBorder="1" applyAlignment="1">
      <alignment horizontal="center" vertical="center" wrapText="1" shrinkToFit="1"/>
    </xf>
    <xf numFmtId="20" fontId="57" fillId="17" borderId="0" xfId="8" applyNumberFormat="1" applyFont="1" applyFill="1" applyAlignment="1">
      <alignment horizontal="center" vertical="center"/>
    </xf>
    <xf numFmtId="0" fontId="58" fillId="17" borderId="33" xfId="2" applyFont="1" applyFill="1" applyBorder="1" applyAlignment="1">
      <alignment horizontal="center" vertical="center"/>
    </xf>
    <xf numFmtId="0" fontId="58" fillId="17" borderId="34" xfId="2" applyFont="1" applyFill="1" applyBorder="1" applyAlignment="1">
      <alignment horizontal="center" vertical="center"/>
    </xf>
    <xf numFmtId="0" fontId="59" fillId="0" borderId="36" xfId="8" applyFont="1" applyBorder="1" applyAlignment="1">
      <alignment horizontal="center" vertical="center" wrapText="1" shrinkToFit="1"/>
    </xf>
    <xf numFmtId="0" fontId="59" fillId="0" borderId="37" xfId="8" applyFont="1" applyBorder="1" applyAlignment="1">
      <alignment horizontal="center" vertical="center" wrapText="1" shrinkToFit="1"/>
    </xf>
    <xf numFmtId="0" fontId="59" fillId="0" borderId="38" xfId="8" applyFont="1" applyBorder="1" applyAlignment="1">
      <alignment horizontal="center" vertical="center" wrapText="1" shrinkToFit="1"/>
    </xf>
    <xf numFmtId="0" fontId="61" fillId="0" borderId="36" xfId="0" applyFont="1" applyBorder="1" applyAlignment="1">
      <alignment horizontal="center" vertical="center"/>
    </xf>
    <xf numFmtId="0" fontId="61" fillId="0" borderId="37" xfId="0" applyFont="1" applyBorder="1" applyAlignment="1">
      <alignment horizontal="center" vertical="center"/>
    </xf>
    <xf numFmtId="0" fontId="61" fillId="0" borderId="38" xfId="0" applyFont="1" applyBorder="1" applyAlignment="1">
      <alignment horizontal="center" vertical="center"/>
    </xf>
    <xf numFmtId="0" fontId="28" fillId="30" borderId="0" xfId="2" applyFont="1" applyFill="1" applyAlignment="1">
      <alignment horizontal="center" vertical="center"/>
    </xf>
    <xf numFmtId="0" fontId="64" fillId="10" borderId="0" xfId="8" applyFont="1" applyFill="1" applyAlignment="1">
      <alignment horizontal="left" vertical="center"/>
    </xf>
    <xf numFmtId="0" fontId="57" fillId="29" borderId="0" xfId="8" applyFont="1" applyFill="1" applyAlignment="1">
      <alignment horizontal="left" vertical="center"/>
    </xf>
    <xf numFmtId="0" fontId="64" fillId="10" borderId="0" xfId="8" applyFont="1" applyFill="1" applyAlignment="1">
      <alignment horizontal="center" vertical="center"/>
    </xf>
    <xf numFmtId="0" fontId="19" fillId="8" borderId="0" xfId="0" applyFont="1" applyFill="1" applyAlignment="1">
      <alignment horizontal="left" vertical="center"/>
    </xf>
    <xf numFmtId="0" fontId="19" fillId="8" borderId="0" xfId="0" applyFont="1" applyFill="1" applyAlignment="1">
      <alignment horizontal="center" vertical="center"/>
    </xf>
    <xf numFmtId="0" fontId="16" fillId="2" borderId="0" xfId="0" applyFont="1" applyFill="1" applyAlignment="1" applyProtection="1">
      <alignment horizontal="center" vertical="center"/>
    </xf>
    <xf numFmtId="0" fontId="28" fillId="10" borderId="0" xfId="0" applyFont="1" applyFill="1" applyAlignment="1">
      <alignment horizontal="center" vertical="center"/>
    </xf>
  </cellXfs>
  <cellStyles count="42">
    <cellStyle name="Comma 2" xfId="7" xr:uid="{5DD5338F-451C-486C-9DC2-1123739F189A}"/>
    <cellStyle name="Comma 2 2" xfId="18" xr:uid="{946C55E5-DB8A-43B8-8804-560CCD6EBB52}"/>
    <cellStyle name="Comma 2 2 2" xfId="25" xr:uid="{9ABF8EEC-0F2C-4AEA-82DA-749626940A74}"/>
    <cellStyle name="Comma 2 2 2 2" xfId="40" xr:uid="{5B7B82C5-5AE5-456C-AFE7-15279B6FDBE1}"/>
    <cellStyle name="Comma 2 2 3" xfId="33" xr:uid="{7E7F73FB-6CE5-4110-B699-39EE2929C809}"/>
    <cellStyle name="Comma 2 3" xfId="22" xr:uid="{0A4D5084-EDD1-41DE-8FC1-9362073A5AFC}"/>
    <cellStyle name="Comma 2 3 2" xfId="37" xr:uid="{0EA8CF0E-AE83-458F-A7A2-D6F598F9F331}"/>
    <cellStyle name="Comma 2 4" xfId="30" xr:uid="{64F20DAD-CDE6-4C36-9C46-825F20A8C976}"/>
    <cellStyle name="Milliers" xfId="1" builtinId="3"/>
    <cellStyle name="Milliers 2" xfId="5" xr:uid="{9E1FA4A1-FEDA-45E9-BAE4-E27A7B44D8D4}"/>
    <cellStyle name="Milliers 2 2" xfId="17" xr:uid="{AB4DD5E0-6BEE-4577-833D-E2C1A52591BA}"/>
    <cellStyle name="Milliers 2 2 2" xfId="24" xr:uid="{5290A114-467E-414F-B28E-790D9A6BEA8E}"/>
    <cellStyle name="Milliers 2 2 2 2" xfId="39" xr:uid="{F18E069C-7420-4883-95B2-F3347A0F1964}"/>
    <cellStyle name="Milliers 2 2 3" xfId="32" xr:uid="{46241638-4A3B-4C70-AA43-CC4A667661A3}"/>
    <cellStyle name="Milliers 2 3" xfId="21" xr:uid="{6C5E11D4-4AA9-4417-84A6-26D0AD4C04B9}"/>
    <cellStyle name="Milliers 2 3 2" xfId="36" xr:uid="{724C6280-CF5E-42A1-8E62-34B622DAA089}"/>
    <cellStyle name="Milliers 2 4" xfId="29" xr:uid="{BFCB47E5-2CE0-44FA-8934-F8748A0FFF41}"/>
    <cellStyle name="Milliers 3" xfId="12" xr:uid="{46A60213-A350-4131-B6BD-AB1647B0CC80}"/>
    <cellStyle name="Milliers 4" xfId="16" xr:uid="{AFB5D469-25D8-477E-B19A-130E43C8799D}"/>
    <cellStyle name="Milliers 4 2" xfId="23" xr:uid="{EDA5D44C-1F61-4C1D-BBCD-3FCFD15E0194}"/>
    <cellStyle name="Milliers 4 2 2" xfId="38" xr:uid="{485A99E1-6D19-46F9-9BDC-395E507F1B78}"/>
    <cellStyle name="Milliers 4 3" xfId="31" xr:uid="{4CD22021-CE5A-45EE-9BF5-A1430D85EFBB}"/>
    <cellStyle name="Milliers 5" xfId="19" xr:uid="{F0CEE025-A19A-46E0-B001-BF87EAAD1328}"/>
    <cellStyle name="Milliers 5 2" xfId="26" xr:uid="{682B11F6-D9F2-4CE6-8186-10F228978FA1}"/>
    <cellStyle name="Milliers 5 2 2" xfId="41" xr:uid="{C73544D4-44E2-4F01-A8EA-3F69C2B531F0}"/>
    <cellStyle name="Milliers 5 3" xfId="34" xr:uid="{C8F69D75-E51F-4956-B8A0-DB48D25F1E7E}"/>
    <cellStyle name="Milliers 56" xfId="27" xr:uid="{BB048180-7C05-4CBD-B1F8-B35ED642C200}"/>
    <cellStyle name="Milliers 6" xfId="20" xr:uid="{FB0ABCA0-F4E3-4BE4-A1C9-47DB1632D8BA}"/>
    <cellStyle name="Milliers 6 2" xfId="35" xr:uid="{D104F6DD-1D91-49FF-9616-7EADFDBD5712}"/>
    <cellStyle name="Milliers 7" xfId="28" xr:uid="{496D0D75-B328-4C73-A83C-EED405F0DABD}"/>
    <cellStyle name="Normal" xfId="0" builtinId="0"/>
    <cellStyle name="Normal 126" xfId="3" xr:uid="{00000000-0005-0000-0000-000002000000}"/>
    <cellStyle name="Normal 2" xfId="8" xr:uid="{55E89E39-CA5D-4BB9-9812-002C43560022}"/>
    <cellStyle name="Normal 2 2" xfId="15" xr:uid="{749175B6-8723-43DD-8E66-D3A227EE777E}"/>
    <cellStyle name="Normal 2 3 2 2" xfId="11" xr:uid="{C87F9ABC-00C5-418E-A8F4-D8460A77FA00}"/>
    <cellStyle name="Normal 2 5" xfId="2" xr:uid="{00000000-0005-0000-0000-000003000000}"/>
    <cellStyle name="Normal 2 5 2 2" xfId="14" xr:uid="{FBD63597-4078-4A99-868D-24FB27399771}"/>
    <cellStyle name="Normal 2 5 3" xfId="13" xr:uid="{F6DBEA5E-E16B-4E16-96BE-630A1EBA85FF}"/>
    <cellStyle name="Normal 4" xfId="4" xr:uid="{00000000-0005-0000-0000-000004000000}"/>
    <cellStyle name="Percent 2" xfId="10" xr:uid="{89A7D006-B406-47D3-9753-048A7F1598C4}"/>
    <cellStyle name="Pourcentage" xfId="6" builtinId="5"/>
    <cellStyle name="Pourcentage 2" xfId="9" xr:uid="{1D767ADB-1FD2-4887-8540-3955A1FE5BBB}"/>
  </cellStyles>
  <dxfs count="3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u val="none"/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/>
      </font>
      <fill>
        <patternFill>
          <bgColor rgb="FFBC8EDE"/>
        </patternFill>
      </fill>
    </dxf>
    <dxf>
      <font>
        <color auto="1"/>
      </font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 tint="-4.9989318521683403E-2"/>
      </font>
      <fill>
        <patternFill patternType="solid">
          <bgColor theme="0" tint="-4.9989318521683403E-2"/>
        </patternFill>
      </fill>
      <border>
        <left/>
        <right/>
        <top/>
        <bottom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  <vertical/>
        <horizontal/>
      </border>
    </dxf>
    <dxf>
      <font>
        <color theme="0" tint="-4.9989318521683403E-2"/>
      </font>
      <fill>
        <patternFill>
          <bgColor theme="0" tint="-4.9989318521683403E-2"/>
        </patternFill>
      </fill>
      <border>
        <left/>
        <right/>
        <top/>
        <bottom/>
      </border>
    </dxf>
  </dxfs>
  <tableStyles count="0" defaultTableStyle="TableStyleMedium2" defaultPivotStyle="PivotStyleLight16"/>
  <colors>
    <mruColors>
      <color rgb="FFAC75D5"/>
      <color rgb="FFD2B7D3"/>
      <color rgb="FFCC66FF"/>
      <color rgb="FFF85E62"/>
      <color rgb="FFF7393E"/>
      <color rgb="FFC825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476250</xdr:colOff>
      <xdr:row>1</xdr:row>
      <xdr:rowOff>0</xdr:rowOff>
    </xdr:from>
    <xdr:to>
      <xdr:col>12</xdr:col>
      <xdr:colOff>261943</xdr:colOff>
      <xdr:row>5</xdr:row>
      <xdr:rowOff>71437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B152F8C6-972F-4518-88D5-AA494CAE5771}"/>
            </a:ext>
          </a:extLst>
        </xdr:cNvPr>
        <xdr:cNvSpPr/>
      </xdr:nvSpPr>
      <xdr:spPr bwMode="auto">
        <a:xfrm>
          <a:off x="3524250" y="167640"/>
          <a:ext cx="12206293" cy="650557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ALIM</a:t>
          </a:r>
        </a:p>
      </xdr:txBody>
    </xdr:sp>
    <xdr:clientData/>
  </xdr:twoCellAnchor>
  <xdr:twoCellAnchor>
    <xdr:from>
      <xdr:col>8</xdr:col>
      <xdr:colOff>226695</xdr:colOff>
      <xdr:row>8</xdr:row>
      <xdr:rowOff>176213</xdr:rowOff>
    </xdr:from>
    <xdr:to>
      <xdr:col>8</xdr:col>
      <xdr:colOff>942975</xdr:colOff>
      <xdr:row>12</xdr:row>
      <xdr:rowOff>226519</xdr:rowOff>
    </xdr:to>
    <xdr:grpSp>
      <xdr:nvGrpSpPr>
        <xdr:cNvPr id="3" name="Shape 503">
          <a:extLst>
            <a:ext uri="{FF2B5EF4-FFF2-40B4-BE49-F238E27FC236}">
              <a16:creationId xmlns:a16="http://schemas.microsoft.com/office/drawing/2014/main" id="{389DB8AD-24F1-478C-B074-B92DAD9BE083}"/>
            </a:ext>
          </a:extLst>
        </xdr:cNvPr>
        <xdr:cNvGrpSpPr/>
      </xdr:nvGrpSpPr>
      <xdr:grpSpPr>
        <a:xfrm>
          <a:off x="11409045" y="1471613"/>
          <a:ext cx="716280" cy="621806"/>
          <a:chOff x="570875" y="4322250"/>
          <a:chExt cx="443300" cy="438701"/>
        </a:xfrm>
        <a:solidFill>
          <a:srgbClr val="7030A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Start_ALIM_Python" textlink="">
        <xdr:nvSpPr>
          <xdr:cNvPr id="4" name="Shape 504">
            <a:extLst>
              <a:ext uri="{FF2B5EF4-FFF2-40B4-BE49-F238E27FC236}">
                <a16:creationId xmlns:a16="http://schemas.microsoft.com/office/drawing/2014/main" id="{6A97CEA4-EBD0-4CB8-8D4F-856D916923F7}"/>
              </a:ext>
            </a:extLst>
          </xdr:cNvPr>
          <xdr:cNvSpPr/>
        </xdr:nvSpPr>
        <xdr:spPr>
          <a:xfrm>
            <a:off x="570875" y="4322250"/>
            <a:ext cx="443300" cy="438701"/>
          </a:xfrm>
          <a:custGeom>
            <a:avLst/>
            <a:gdLst/>
            <a:ahLst/>
            <a:cxnLst/>
            <a:rect l="0" t="0" r="0" b="0"/>
            <a:pathLst>
              <a:path w="17732" h="17733" extrusionOk="0">
                <a:moveTo>
                  <a:pt x="13091" y="2712"/>
                </a:moveTo>
                <a:lnTo>
                  <a:pt x="13286" y="2736"/>
                </a:lnTo>
                <a:lnTo>
                  <a:pt x="13506" y="2785"/>
                </a:lnTo>
                <a:lnTo>
                  <a:pt x="13702" y="2858"/>
                </a:lnTo>
                <a:lnTo>
                  <a:pt x="13873" y="2956"/>
                </a:lnTo>
                <a:lnTo>
                  <a:pt x="14068" y="3054"/>
                </a:lnTo>
                <a:lnTo>
                  <a:pt x="14239" y="3176"/>
                </a:lnTo>
                <a:lnTo>
                  <a:pt x="14410" y="3323"/>
                </a:lnTo>
                <a:lnTo>
                  <a:pt x="14556" y="3493"/>
                </a:lnTo>
                <a:lnTo>
                  <a:pt x="14679" y="3664"/>
                </a:lnTo>
                <a:lnTo>
                  <a:pt x="14776" y="3860"/>
                </a:lnTo>
                <a:lnTo>
                  <a:pt x="14874" y="4031"/>
                </a:lnTo>
                <a:lnTo>
                  <a:pt x="14947" y="4226"/>
                </a:lnTo>
                <a:lnTo>
                  <a:pt x="14996" y="4446"/>
                </a:lnTo>
                <a:lnTo>
                  <a:pt x="15021" y="4641"/>
                </a:lnTo>
                <a:lnTo>
                  <a:pt x="15021" y="4861"/>
                </a:lnTo>
                <a:lnTo>
                  <a:pt x="15021" y="5057"/>
                </a:lnTo>
                <a:lnTo>
                  <a:pt x="14996" y="5252"/>
                </a:lnTo>
                <a:lnTo>
                  <a:pt x="14947" y="5472"/>
                </a:lnTo>
                <a:lnTo>
                  <a:pt x="14874" y="5667"/>
                </a:lnTo>
                <a:lnTo>
                  <a:pt x="14776" y="5838"/>
                </a:lnTo>
                <a:lnTo>
                  <a:pt x="14679" y="6033"/>
                </a:lnTo>
                <a:lnTo>
                  <a:pt x="14556" y="6204"/>
                </a:lnTo>
                <a:lnTo>
                  <a:pt x="14410" y="6375"/>
                </a:lnTo>
                <a:lnTo>
                  <a:pt x="13433" y="7328"/>
                </a:lnTo>
                <a:lnTo>
                  <a:pt x="13311" y="7426"/>
                </a:lnTo>
                <a:lnTo>
                  <a:pt x="13189" y="7499"/>
                </a:lnTo>
                <a:lnTo>
                  <a:pt x="13042" y="7548"/>
                </a:lnTo>
                <a:lnTo>
                  <a:pt x="12871" y="7572"/>
                </a:lnTo>
                <a:lnTo>
                  <a:pt x="12725" y="7548"/>
                </a:lnTo>
                <a:lnTo>
                  <a:pt x="12578" y="7499"/>
                </a:lnTo>
                <a:lnTo>
                  <a:pt x="12456" y="7426"/>
                </a:lnTo>
                <a:lnTo>
                  <a:pt x="12334" y="7328"/>
                </a:lnTo>
                <a:lnTo>
                  <a:pt x="10405" y="5398"/>
                </a:lnTo>
                <a:lnTo>
                  <a:pt x="10307" y="5276"/>
                </a:lnTo>
                <a:lnTo>
                  <a:pt x="10234" y="5154"/>
                </a:lnTo>
                <a:lnTo>
                  <a:pt x="10185" y="5008"/>
                </a:lnTo>
                <a:lnTo>
                  <a:pt x="10160" y="4861"/>
                </a:lnTo>
                <a:lnTo>
                  <a:pt x="10185" y="4690"/>
                </a:lnTo>
                <a:lnTo>
                  <a:pt x="10234" y="4544"/>
                </a:lnTo>
                <a:lnTo>
                  <a:pt x="10307" y="4422"/>
                </a:lnTo>
                <a:lnTo>
                  <a:pt x="10405" y="4299"/>
                </a:lnTo>
                <a:lnTo>
                  <a:pt x="11357" y="3323"/>
                </a:lnTo>
                <a:lnTo>
                  <a:pt x="11528" y="3176"/>
                </a:lnTo>
                <a:lnTo>
                  <a:pt x="11699" y="3054"/>
                </a:lnTo>
                <a:lnTo>
                  <a:pt x="11894" y="2956"/>
                </a:lnTo>
                <a:lnTo>
                  <a:pt x="12065" y="2858"/>
                </a:lnTo>
                <a:lnTo>
                  <a:pt x="12261" y="2785"/>
                </a:lnTo>
                <a:lnTo>
                  <a:pt x="12481" y="2736"/>
                </a:lnTo>
                <a:lnTo>
                  <a:pt x="12676" y="2712"/>
                </a:lnTo>
                <a:close/>
                <a:moveTo>
                  <a:pt x="8377" y="8867"/>
                </a:moveTo>
                <a:lnTo>
                  <a:pt x="8475" y="8891"/>
                </a:lnTo>
                <a:lnTo>
                  <a:pt x="8548" y="8915"/>
                </a:lnTo>
                <a:lnTo>
                  <a:pt x="8646" y="8964"/>
                </a:lnTo>
                <a:lnTo>
                  <a:pt x="8719" y="9013"/>
                </a:lnTo>
                <a:lnTo>
                  <a:pt x="8768" y="9086"/>
                </a:lnTo>
                <a:lnTo>
                  <a:pt x="8817" y="9184"/>
                </a:lnTo>
                <a:lnTo>
                  <a:pt x="8841" y="9257"/>
                </a:lnTo>
                <a:lnTo>
                  <a:pt x="8866" y="9355"/>
                </a:lnTo>
                <a:lnTo>
                  <a:pt x="8841" y="9453"/>
                </a:lnTo>
                <a:lnTo>
                  <a:pt x="8817" y="9550"/>
                </a:lnTo>
                <a:lnTo>
                  <a:pt x="8768" y="9624"/>
                </a:lnTo>
                <a:lnTo>
                  <a:pt x="8719" y="9697"/>
                </a:lnTo>
                <a:lnTo>
                  <a:pt x="6179" y="12237"/>
                </a:lnTo>
                <a:lnTo>
                  <a:pt x="6106" y="12310"/>
                </a:lnTo>
                <a:lnTo>
                  <a:pt x="6033" y="12359"/>
                </a:lnTo>
                <a:lnTo>
                  <a:pt x="5935" y="12383"/>
                </a:lnTo>
                <a:lnTo>
                  <a:pt x="5740" y="12383"/>
                </a:lnTo>
                <a:lnTo>
                  <a:pt x="5642" y="12359"/>
                </a:lnTo>
                <a:lnTo>
                  <a:pt x="5569" y="12310"/>
                </a:lnTo>
                <a:lnTo>
                  <a:pt x="5496" y="12237"/>
                </a:lnTo>
                <a:lnTo>
                  <a:pt x="5422" y="12164"/>
                </a:lnTo>
                <a:lnTo>
                  <a:pt x="5373" y="12090"/>
                </a:lnTo>
                <a:lnTo>
                  <a:pt x="5349" y="11993"/>
                </a:lnTo>
                <a:lnTo>
                  <a:pt x="5349" y="11895"/>
                </a:lnTo>
                <a:lnTo>
                  <a:pt x="5349" y="11797"/>
                </a:lnTo>
                <a:lnTo>
                  <a:pt x="5373" y="11700"/>
                </a:lnTo>
                <a:lnTo>
                  <a:pt x="5422" y="11626"/>
                </a:lnTo>
                <a:lnTo>
                  <a:pt x="5496" y="11553"/>
                </a:lnTo>
                <a:lnTo>
                  <a:pt x="8036" y="9013"/>
                </a:lnTo>
                <a:lnTo>
                  <a:pt x="8109" y="8964"/>
                </a:lnTo>
                <a:lnTo>
                  <a:pt x="8182" y="8915"/>
                </a:lnTo>
                <a:lnTo>
                  <a:pt x="8280" y="8891"/>
                </a:lnTo>
                <a:lnTo>
                  <a:pt x="8377" y="8867"/>
                </a:lnTo>
                <a:close/>
                <a:moveTo>
                  <a:pt x="14825" y="1"/>
                </a:moveTo>
                <a:lnTo>
                  <a:pt x="14288" y="25"/>
                </a:lnTo>
                <a:lnTo>
                  <a:pt x="13751" y="50"/>
                </a:lnTo>
                <a:lnTo>
                  <a:pt x="13213" y="123"/>
                </a:lnTo>
                <a:lnTo>
                  <a:pt x="12676" y="245"/>
                </a:lnTo>
                <a:lnTo>
                  <a:pt x="12163" y="367"/>
                </a:lnTo>
                <a:lnTo>
                  <a:pt x="11675" y="538"/>
                </a:lnTo>
                <a:lnTo>
                  <a:pt x="11235" y="758"/>
                </a:lnTo>
                <a:lnTo>
                  <a:pt x="11015" y="856"/>
                </a:lnTo>
                <a:lnTo>
                  <a:pt x="10844" y="1002"/>
                </a:lnTo>
                <a:lnTo>
                  <a:pt x="10649" y="1124"/>
                </a:lnTo>
                <a:lnTo>
                  <a:pt x="10502" y="1271"/>
                </a:lnTo>
                <a:lnTo>
                  <a:pt x="5544" y="6229"/>
                </a:lnTo>
                <a:lnTo>
                  <a:pt x="391" y="6229"/>
                </a:lnTo>
                <a:lnTo>
                  <a:pt x="245" y="6253"/>
                </a:lnTo>
                <a:lnTo>
                  <a:pt x="147" y="6278"/>
                </a:lnTo>
                <a:lnTo>
                  <a:pt x="49" y="6327"/>
                </a:lnTo>
                <a:lnTo>
                  <a:pt x="0" y="6400"/>
                </a:lnTo>
                <a:lnTo>
                  <a:pt x="0" y="6473"/>
                </a:lnTo>
                <a:lnTo>
                  <a:pt x="25" y="6571"/>
                </a:lnTo>
                <a:lnTo>
                  <a:pt x="74" y="6668"/>
                </a:lnTo>
                <a:lnTo>
                  <a:pt x="171" y="6791"/>
                </a:lnTo>
                <a:lnTo>
                  <a:pt x="2589" y="9184"/>
                </a:lnTo>
                <a:lnTo>
                  <a:pt x="2272" y="9502"/>
                </a:lnTo>
                <a:lnTo>
                  <a:pt x="953" y="9746"/>
                </a:lnTo>
                <a:lnTo>
                  <a:pt x="806" y="9795"/>
                </a:lnTo>
                <a:lnTo>
                  <a:pt x="684" y="9843"/>
                </a:lnTo>
                <a:lnTo>
                  <a:pt x="611" y="9941"/>
                </a:lnTo>
                <a:lnTo>
                  <a:pt x="562" y="10014"/>
                </a:lnTo>
                <a:lnTo>
                  <a:pt x="562" y="10112"/>
                </a:lnTo>
                <a:lnTo>
                  <a:pt x="586" y="10234"/>
                </a:lnTo>
                <a:lnTo>
                  <a:pt x="635" y="10332"/>
                </a:lnTo>
                <a:lnTo>
                  <a:pt x="733" y="10454"/>
                </a:lnTo>
                <a:lnTo>
                  <a:pt x="7278" y="16999"/>
                </a:lnTo>
                <a:lnTo>
                  <a:pt x="7401" y="17097"/>
                </a:lnTo>
                <a:lnTo>
                  <a:pt x="7498" y="17146"/>
                </a:lnTo>
                <a:lnTo>
                  <a:pt x="7620" y="17170"/>
                </a:lnTo>
                <a:lnTo>
                  <a:pt x="7718" y="17170"/>
                </a:lnTo>
                <a:lnTo>
                  <a:pt x="7791" y="17122"/>
                </a:lnTo>
                <a:lnTo>
                  <a:pt x="7889" y="17048"/>
                </a:lnTo>
                <a:lnTo>
                  <a:pt x="7938" y="16926"/>
                </a:lnTo>
                <a:lnTo>
                  <a:pt x="7987" y="16780"/>
                </a:lnTo>
                <a:lnTo>
                  <a:pt x="8231" y="15461"/>
                </a:lnTo>
                <a:lnTo>
                  <a:pt x="8548" y="15143"/>
                </a:lnTo>
                <a:lnTo>
                  <a:pt x="10942" y="17561"/>
                </a:lnTo>
                <a:lnTo>
                  <a:pt x="11064" y="17659"/>
                </a:lnTo>
                <a:lnTo>
                  <a:pt x="11162" y="17708"/>
                </a:lnTo>
                <a:lnTo>
                  <a:pt x="11259" y="17732"/>
                </a:lnTo>
                <a:lnTo>
                  <a:pt x="11333" y="17732"/>
                </a:lnTo>
                <a:lnTo>
                  <a:pt x="11406" y="17683"/>
                </a:lnTo>
                <a:lnTo>
                  <a:pt x="11455" y="17586"/>
                </a:lnTo>
                <a:lnTo>
                  <a:pt x="11479" y="17488"/>
                </a:lnTo>
                <a:lnTo>
                  <a:pt x="11504" y="17341"/>
                </a:lnTo>
                <a:lnTo>
                  <a:pt x="11504" y="12188"/>
                </a:lnTo>
                <a:lnTo>
                  <a:pt x="16461" y="7230"/>
                </a:lnTo>
                <a:lnTo>
                  <a:pt x="16608" y="7084"/>
                </a:lnTo>
                <a:lnTo>
                  <a:pt x="16730" y="6888"/>
                </a:lnTo>
                <a:lnTo>
                  <a:pt x="16877" y="6693"/>
                </a:lnTo>
                <a:lnTo>
                  <a:pt x="16974" y="6498"/>
                </a:lnTo>
                <a:lnTo>
                  <a:pt x="17194" y="6058"/>
                </a:lnTo>
                <a:lnTo>
                  <a:pt x="17365" y="5569"/>
                </a:lnTo>
                <a:lnTo>
                  <a:pt x="17487" y="5057"/>
                </a:lnTo>
                <a:lnTo>
                  <a:pt x="17609" y="4519"/>
                </a:lnTo>
                <a:lnTo>
                  <a:pt x="17683" y="3982"/>
                </a:lnTo>
                <a:lnTo>
                  <a:pt x="17707" y="3445"/>
                </a:lnTo>
                <a:lnTo>
                  <a:pt x="17731" y="2907"/>
                </a:lnTo>
                <a:lnTo>
                  <a:pt x="17731" y="2419"/>
                </a:lnTo>
                <a:lnTo>
                  <a:pt x="17707" y="1955"/>
                </a:lnTo>
                <a:lnTo>
                  <a:pt x="17658" y="1515"/>
                </a:lnTo>
                <a:lnTo>
                  <a:pt x="17585" y="1149"/>
                </a:lnTo>
                <a:lnTo>
                  <a:pt x="17512" y="831"/>
                </a:lnTo>
                <a:lnTo>
                  <a:pt x="17414" y="587"/>
                </a:lnTo>
                <a:lnTo>
                  <a:pt x="17341" y="489"/>
                </a:lnTo>
                <a:lnTo>
                  <a:pt x="17292" y="441"/>
                </a:lnTo>
                <a:lnTo>
                  <a:pt x="17243" y="392"/>
                </a:lnTo>
                <a:lnTo>
                  <a:pt x="17145" y="318"/>
                </a:lnTo>
                <a:lnTo>
                  <a:pt x="16901" y="221"/>
                </a:lnTo>
                <a:lnTo>
                  <a:pt x="16584" y="148"/>
                </a:lnTo>
                <a:lnTo>
                  <a:pt x="16217" y="74"/>
                </a:lnTo>
                <a:lnTo>
                  <a:pt x="15778" y="25"/>
                </a:lnTo>
                <a:lnTo>
                  <a:pt x="15314" y="1"/>
                </a:lnTo>
                <a:close/>
              </a:path>
            </a:pathLst>
          </a:custGeom>
          <a:grpFill/>
          <a:ln>
            <a:noFill/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ALIM_Python" textlink="">
        <xdr:nvSpPr>
          <xdr:cNvPr id="5" name="Shape 505">
            <a:extLst>
              <a:ext uri="{FF2B5EF4-FFF2-40B4-BE49-F238E27FC236}">
                <a16:creationId xmlns:a16="http://schemas.microsoft.com/office/drawing/2014/main" id="{54D5FDD8-0BB3-403F-85F4-597CCA6D3306}"/>
              </a:ext>
            </a:extLst>
          </xdr:cNvPr>
          <xdr:cNvSpPr/>
        </xdr:nvSpPr>
        <xdr:spPr>
          <a:xfrm>
            <a:off x="597725" y="4665400"/>
            <a:ext cx="73300" cy="73300"/>
          </a:xfrm>
          <a:custGeom>
            <a:avLst/>
            <a:gdLst/>
            <a:ahLst/>
            <a:cxnLst/>
            <a:rect l="0" t="0" r="0" b="0"/>
            <a:pathLst>
              <a:path w="2932" h="2932" extrusionOk="0">
                <a:moveTo>
                  <a:pt x="2028" y="1"/>
                </a:moveTo>
                <a:lnTo>
                  <a:pt x="1857" y="25"/>
                </a:lnTo>
                <a:lnTo>
                  <a:pt x="1686" y="74"/>
                </a:lnTo>
                <a:lnTo>
                  <a:pt x="1515" y="147"/>
                </a:lnTo>
                <a:lnTo>
                  <a:pt x="1369" y="269"/>
                </a:lnTo>
                <a:lnTo>
                  <a:pt x="1222" y="489"/>
                </a:lnTo>
                <a:lnTo>
                  <a:pt x="1002" y="831"/>
                </a:lnTo>
                <a:lnTo>
                  <a:pt x="563" y="1735"/>
                </a:lnTo>
                <a:lnTo>
                  <a:pt x="172" y="2565"/>
                </a:lnTo>
                <a:lnTo>
                  <a:pt x="1" y="2932"/>
                </a:lnTo>
                <a:lnTo>
                  <a:pt x="1" y="2932"/>
                </a:lnTo>
                <a:lnTo>
                  <a:pt x="367" y="2761"/>
                </a:lnTo>
                <a:lnTo>
                  <a:pt x="1198" y="2370"/>
                </a:lnTo>
                <a:lnTo>
                  <a:pt x="2101" y="1930"/>
                </a:lnTo>
                <a:lnTo>
                  <a:pt x="2443" y="1710"/>
                </a:lnTo>
                <a:lnTo>
                  <a:pt x="2663" y="1564"/>
                </a:lnTo>
                <a:lnTo>
                  <a:pt x="2785" y="1417"/>
                </a:lnTo>
                <a:lnTo>
                  <a:pt x="2858" y="1246"/>
                </a:lnTo>
                <a:lnTo>
                  <a:pt x="2907" y="1075"/>
                </a:lnTo>
                <a:lnTo>
                  <a:pt x="2932" y="904"/>
                </a:lnTo>
                <a:lnTo>
                  <a:pt x="2907" y="733"/>
                </a:lnTo>
                <a:lnTo>
                  <a:pt x="2858" y="562"/>
                </a:lnTo>
                <a:lnTo>
                  <a:pt x="2785" y="416"/>
                </a:lnTo>
                <a:lnTo>
                  <a:pt x="2663" y="269"/>
                </a:lnTo>
                <a:lnTo>
                  <a:pt x="2517" y="147"/>
                </a:lnTo>
                <a:lnTo>
                  <a:pt x="2370" y="74"/>
                </a:lnTo>
                <a:lnTo>
                  <a:pt x="2199" y="25"/>
                </a:lnTo>
                <a:lnTo>
                  <a:pt x="2028" y="1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ALIM_Python" textlink="">
        <xdr:nvSpPr>
          <xdr:cNvPr id="6" name="Shape 506">
            <a:extLst>
              <a:ext uri="{FF2B5EF4-FFF2-40B4-BE49-F238E27FC236}">
                <a16:creationId xmlns:a16="http://schemas.microsoft.com/office/drawing/2014/main" id="{EAC8B6E8-8C74-4E23-A476-7CF0F0C936E6}"/>
              </a:ext>
            </a:extLst>
          </xdr:cNvPr>
          <xdr:cNvSpPr/>
        </xdr:nvSpPr>
        <xdr:spPr>
          <a:xfrm>
            <a:off x="654525" y="4708150"/>
            <a:ext cx="47025" cy="47025"/>
          </a:xfrm>
          <a:custGeom>
            <a:avLst/>
            <a:gdLst/>
            <a:ahLst/>
            <a:cxnLst/>
            <a:rect l="0" t="0" r="0" b="0"/>
            <a:pathLst>
              <a:path w="1881" h="1881" extrusionOk="0">
                <a:moveTo>
                  <a:pt x="1124" y="0"/>
                </a:moveTo>
                <a:lnTo>
                  <a:pt x="977" y="25"/>
                </a:lnTo>
                <a:lnTo>
                  <a:pt x="831" y="74"/>
                </a:lnTo>
                <a:lnTo>
                  <a:pt x="709" y="147"/>
                </a:lnTo>
                <a:lnTo>
                  <a:pt x="586" y="245"/>
                </a:lnTo>
                <a:lnTo>
                  <a:pt x="464" y="391"/>
                </a:lnTo>
                <a:lnTo>
                  <a:pt x="367" y="611"/>
                </a:lnTo>
                <a:lnTo>
                  <a:pt x="269" y="880"/>
                </a:lnTo>
                <a:lnTo>
                  <a:pt x="171" y="1173"/>
                </a:lnTo>
                <a:lnTo>
                  <a:pt x="49" y="1686"/>
                </a:lnTo>
                <a:lnTo>
                  <a:pt x="0" y="1881"/>
                </a:lnTo>
                <a:lnTo>
                  <a:pt x="0" y="1881"/>
                </a:lnTo>
                <a:lnTo>
                  <a:pt x="220" y="1857"/>
                </a:lnTo>
                <a:lnTo>
                  <a:pt x="733" y="1710"/>
                </a:lnTo>
                <a:lnTo>
                  <a:pt x="1002" y="1637"/>
                </a:lnTo>
                <a:lnTo>
                  <a:pt x="1270" y="1539"/>
                </a:lnTo>
                <a:lnTo>
                  <a:pt x="1515" y="1417"/>
                </a:lnTo>
                <a:lnTo>
                  <a:pt x="1661" y="1319"/>
                </a:lnTo>
                <a:lnTo>
                  <a:pt x="1759" y="1197"/>
                </a:lnTo>
                <a:lnTo>
                  <a:pt x="1832" y="1051"/>
                </a:lnTo>
                <a:lnTo>
                  <a:pt x="1881" y="928"/>
                </a:lnTo>
                <a:lnTo>
                  <a:pt x="1881" y="782"/>
                </a:lnTo>
                <a:lnTo>
                  <a:pt x="1881" y="635"/>
                </a:lnTo>
                <a:lnTo>
                  <a:pt x="1832" y="489"/>
                </a:lnTo>
                <a:lnTo>
                  <a:pt x="1759" y="367"/>
                </a:lnTo>
                <a:lnTo>
                  <a:pt x="1661" y="245"/>
                </a:lnTo>
                <a:lnTo>
                  <a:pt x="1539" y="147"/>
                </a:lnTo>
                <a:lnTo>
                  <a:pt x="1417" y="74"/>
                </a:lnTo>
                <a:lnTo>
                  <a:pt x="1270" y="25"/>
                </a:lnTo>
                <a:lnTo>
                  <a:pt x="1124" y="0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ALIM_Python" textlink="">
        <xdr:nvSpPr>
          <xdr:cNvPr id="7" name="Shape 507">
            <a:extLst>
              <a:ext uri="{FF2B5EF4-FFF2-40B4-BE49-F238E27FC236}">
                <a16:creationId xmlns:a16="http://schemas.microsoft.com/office/drawing/2014/main" id="{F7D30410-88E6-4EB3-B08E-029389692D5F}"/>
              </a:ext>
            </a:extLst>
          </xdr:cNvPr>
          <xdr:cNvSpPr/>
        </xdr:nvSpPr>
        <xdr:spPr>
          <a:xfrm>
            <a:off x="581250" y="4634875"/>
            <a:ext cx="47050" cy="47050"/>
          </a:xfrm>
          <a:custGeom>
            <a:avLst/>
            <a:gdLst/>
            <a:ahLst/>
            <a:cxnLst/>
            <a:rect l="0" t="0" r="0" b="0"/>
            <a:pathLst>
              <a:path w="1882" h="1882" extrusionOk="0">
                <a:moveTo>
                  <a:pt x="953" y="1"/>
                </a:moveTo>
                <a:lnTo>
                  <a:pt x="831" y="49"/>
                </a:lnTo>
                <a:lnTo>
                  <a:pt x="684" y="123"/>
                </a:lnTo>
                <a:lnTo>
                  <a:pt x="562" y="220"/>
                </a:lnTo>
                <a:lnTo>
                  <a:pt x="465" y="367"/>
                </a:lnTo>
                <a:lnTo>
                  <a:pt x="342" y="611"/>
                </a:lnTo>
                <a:lnTo>
                  <a:pt x="245" y="880"/>
                </a:lnTo>
                <a:lnTo>
                  <a:pt x="171" y="1148"/>
                </a:lnTo>
                <a:lnTo>
                  <a:pt x="25" y="1661"/>
                </a:lnTo>
                <a:lnTo>
                  <a:pt x="1" y="1881"/>
                </a:lnTo>
                <a:lnTo>
                  <a:pt x="196" y="1832"/>
                </a:lnTo>
                <a:lnTo>
                  <a:pt x="709" y="1710"/>
                </a:lnTo>
                <a:lnTo>
                  <a:pt x="1002" y="1613"/>
                </a:lnTo>
                <a:lnTo>
                  <a:pt x="1271" y="1515"/>
                </a:lnTo>
                <a:lnTo>
                  <a:pt x="1490" y="1417"/>
                </a:lnTo>
                <a:lnTo>
                  <a:pt x="1637" y="1295"/>
                </a:lnTo>
                <a:lnTo>
                  <a:pt x="1735" y="1173"/>
                </a:lnTo>
                <a:lnTo>
                  <a:pt x="1808" y="1051"/>
                </a:lnTo>
                <a:lnTo>
                  <a:pt x="1857" y="904"/>
                </a:lnTo>
                <a:lnTo>
                  <a:pt x="1881" y="758"/>
                </a:lnTo>
                <a:lnTo>
                  <a:pt x="1857" y="611"/>
                </a:lnTo>
                <a:lnTo>
                  <a:pt x="1808" y="465"/>
                </a:lnTo>
                <a:lnTo>
                  <a:pt x="1735" y="343"/>
                </a:lnTo>
                <a:lnTo>
                  <a:pt x="1637" y="220"/>
                </a:lnTo>
                <a:lnTo>
                  <a:pt x="1515" y="123"/>
                </a:lnTo>
                <a:lnTo>
                  <a:pt x="1393" y="49"/>
                </a:lnTo>
                <a:lnTo>
                  <a:pt x="1246" y="1"/>
                </a:lnTo>
                <a:close/>
              </a:path>
            </a:pathLst>
          </a:custGeom>
          <a:grpFill/>
          <a:ln/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1662787</xdr:colOff>
      <xdr:row>5</xdr:row>
      <xdr:rowOff>21771</xdr:rowOff>
    </xdr:from>
    <xdr:to>
      <xdr:col>24</xdr:col>
      <xdr:colOff>652122</xdr:colOff>
      <xdr:row>8</xdr:row>
      <xdr:rowOff>105118</xdr:rowOff>
    </xdr:to>
    <xdr:sp macro="" textlink="">
      <xdr:nvSpPr>
        <xdr:cNvPr id="2" name="Rectangle à coins arrondis 1">
          <a:extLst>
            <a:ext uri="{FF2B5EF4-FFF2-40B4-BE49-F238E27FC236}">
              <a16:creationId xmlns:a16="http://schemas.microsoft.com/office/drawing/2014/main" id="{B3A5B73E-2B02-429E-8C52-2A3E7E54F46A}"/>
            </a:ext>
          </a:extLst>
        </xdr:cNvPr>
        <xdr:cNvSpPr/>
      </xdr:nvSpPr>
      <xdr:spPr bwMode="auto">
        <a:xfrm>
          <a:off x="15073987" y="898071"/>
          <a:ext cx="8506715" cy="609127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MOTEUR</a:t>
          </a:r>
        </a:p>
      </xdr:txBody>
    </xdr:sp>
    <xdr:clientData/>
  </xdr:twoCellAnchor>
  <xdr:twoCellAnchor>
    <xdr:from>
      <xdr:col>9</xdr:col>
      <xdr:colOff>158750</xdr:colOff>
      <xdr:row>3</xdr:row>
      <xdr:rowOff>71437</xdr:rowOff>
    </xdr:from>
    <xdr:to>
      <xdr:col>10</xdr:col>
      <xdr:colOff>3968</xdr:colOff>
      <xdr:row>6</xdr:row>
      <xdr:rowOff>83345</xdr:rowOff>
    </xdr:to>
    <xdr:grpSp>
      <xdr:nvGrpSpPr>
        <xdr:cNvPr id="3" name="Shape 503">
          <a:extLst>
            <a:ext uri="{FF2B5EF4-FFF2-40B4-BE49-F238E27FC236}">
              <a16:creationId xmlns:a16="http://schemas.microsoft.com/office/drawing/2014/main" id="{4B746B5F-0B26-452A-8E9C-E1D36C758FE6}"/>
            </a:ext>
          </a:extLst>
        </xdr:cNvPr>
        <xdr:cNvGrpSpPr/>
      </xdr:nvGrpSpPr>
      <xdr:grpSpPr>
        <a:xfrm>
          <a:off x="6994979" y="593951"/>
          <a:ext cx="531018" cy="534423"/>
          <a:chOff x="570875" y="4322250"/>
          <a:chExt cx="443300" cy="443325"/>
        </a:xfrm>
        <a:solidFill>
          <a:srgbClr val="4D6995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grpSpPr>
      <xdr:sp macro="[0]!Start_MOTEUR_Python" textlink="">
        <xdr:nvSpPr>
          <xdr:cNvPr id="4" name="Shape 504">
            <a:extLst>
              <a:ext uri="{FF2B5EF4-FFF2-40B4-BE49-F238E27FC236}">
                <a16:creationId xmlns:a16="http://schemas.microsoft.com/office/drawing/2014/main" id="{9CCC8E86-6633-40E7-98C9-383CA440CC52}"/>
              </a:ext>
            </a:extLst>
          </xdr:cNvPr>
          <xdr:cNvSpPr/>
        </xdr:nvSpPr>
        <xdr:spPr>
          <a:xfrm>
            <a:off x="570875" y="4322250"/>
            <a:ext cx="443300" cy="443325"/>
          </a:xfrm>
          <a:custGeom>
            <a:avLst/>
            <a:gdLst/>
            <a:ahLst/>
            <a:cxnLst/>
            <a:rect l="0" t="0" r="0" b="0"/>
            <a:pathLst>
              <a:path w="17732" h="17733" extrusionOk="0">
                <a:moveTo>
                  <a:pt x="13091" y="2712"/>
                </a:moveTo>
                <a:lnTo>
                  <a:pt x="13286" y="2736"/>
                </a:lnTo>
                <a:lnTo>
                  <a:pt x="13506" y="2785"/>
                </a:lnTo>
                <a:lnTo>
                  <a:pt x="13702" y="2858"/>
                </a:lnTo>
                <a:lnTo>
                  <a:pt x="13873" y="2956"/>
                </a:lnTo>
                <a:lnTo>
                  <a:pt x="14068" y="3054"/>
                </a:lnTo>
                <a:lnTo>
                  <a:pt x="14239" y="3176"/>
                </a:lnTo>
                <a:lnTo>
                  <a:pt x="14410" y="3323"/>
                </a:lnTo>
                <a:lnTo>
                  <a:pt x="14556" y="3493"/>
                </a:lnTo>
                <a:lnTo>
                  <a:pt x="14679" y="3664"/>
                </a:lnTo>
                <a:lnTo>
                  <a:pt x="14776" y="3860"/>
                </a:lnTo>
                <a:lnTo>
                  <a:pt x="14874" y="4031"/>
                </a:lnTo>
                <a:lnTo>
                  <a:pt x="14947" y="4226"/>
                </a:lnTo>
                <a:lnTo>
                  <a:pt x="14996" y="4446"/>
                </a:lnTo>
                <a:lnTo>
                  <a:pt x="15021" y="4641"/>
                </a:lnTo>
                <a:lnTo>
                  <a:pt x="15021" y="4861"/>
                </a:lnTo>
                <a:lnTo>
                  <a:pt x="15021" y="5057"/>
                </a:lnTo>
                <a:lnTo>
                  <a:pt x="14996" y="5252"/>
                </a:lnTo>
                <a:lnTo>
                  <a:pt x="14947" y="5472"/>
                </a:lnTo>
                <a:lnTo>
                  <a:pt x="14874" y="5667"/>
                </a:lnTo>
                <a:lnTo>
                  <a:pt x="14776" y="5838"/>
                </a:lnTo>
                <a:lnTo>
                  <a:pt x="14679" y="6033"/>
                </a:lnTo>
                <a:lnTo>
                  <a:pt x="14556" y="6204"/>
                </a:lnTo>
                <a:lnTo>
                  <a:pt x="14410" y="6375"/>
                </a:lnTo>
                <a:lnTo>
                  <a:pt x="13433" y="7328"/>
                </a:lnTo>
                <a:lnTo>
                  <a:pt x="13311" y="7426"/>
                </a:lnTo>
                <a:lnTo>
                  <a:pt x="13189" y="7499"/>
                </a:lnTo>
                <a:lnTo>
                  <a:pt x="13042" y="7548"/>
                </a:lnTo>
                <a:lnTo>
                  <a:pt x="12871" y="7572"/>
                </a:lnTo>
                <a:lnTo>
                  <a:pt x="12725" y="7548"/>
                </a:lnTo>
                <a:lnTo>
                  <a:pt x="12578" y="7499"/>
                </a:lnTo>
                <a:lnTo>
                  <a:pt x="12456" y="7426"/>
                </a:lnTo>
                <a:lnTo>
                  <a:pt x="12334" y="7328"/>
                </a:lnTo>
                <a:lnTo>
                  <a:pt x="10405" y="5398"/>
                </a:lnTo>
                <a:lnTo>
                  <a:pt x="10307" y="5276"/>
                </a:lnTo>
                <a:lnTo>
                  <a:pt x="10234" y="5154"/>
                </a:lnTo>
                <a:lnTo>
                  <a:pt x="10185" y="5008"/>
                </a:lnTo>
                <a:lnTo>
                  <a:pt x="10160" y="4861"/>
                </a:lnTo>
                <a:lnTo>
                  <a:pt x="10185" y="4690"/>
                </a:lnTo>
                <a:lnTo>
                  <a:pt x="10234" y="4544"/>
                </a:lnTo>
                <a:lnTo>
                  <a:pt x="10307" y="4422"/>
                </a:lnTo>
                <a:lnTo>
                  <a:pt x="10405" y="4299"/>
                </a:lnTo>
                <a:lnTo>
                  <a:pt x="11357" y="3323"/>
                </a:lnTo>
                <a:lnTo>
                  <a:pt x="11528" y="3176"/>
                </a:lnTo>
                <a:lnTo>
                  <a:pt x="11699" y="3054"/>
                </a:lnTo>
                <a:lnTo>
                  <a:pt x="11894" y="2956"/>
                </a:lnTo>
                <a:lnTo>
                  <a:pt x="12065" y="2858"/>
                </a:lnTo>
                <a:lnTo>
                  <a:pt x="12261" y="2785"/>
                </a:lnTo>
                <a:lnTo>
                  <a:pt x="12481" y="2736"/>
                </a:lnTo>
                <a:lnTo>
                  <a:pt x="12676" y="2712"/>
                </a:lnTo>
                <a:close/>
                <a:moveTo>
                  <a:pt x="8377" y="8867"/>
                </a:moveTo>
                <a:lnTo>
                  <a:pt x="8475" y="8891"/>
                </a:lnTo>
                <a:lnTo>
                  <a:pt x="8548" y="8915"/>
                </a:lnTo>
                <a:lnTo>
                  <a:pt x="8646" y="8964"/>
                </a:lnTo>
                <a:lnTo>
                  <a:pt x="8719" y="9013"/>
                </a:lnTo>
                <a:lnTo>
                  <a:pt x="8768" y="9086"/>
                </a:lnTo>
                <a:lnTo>
                  <a:pt x="8817" y="9184"/>
                </a:lnTo>
                <a:lnTo>
                  <a:pt x="8841" y="9257"/>
                </a:lnTo>
                <a:lnTo>
                  <a:pt x="8866" y="9355"/>
                </a:lnTo>
                <a:lnTo>
                  <a:pt x="8841" y="9453"/>
                </a:lnTo>
                <a:lnTo>
                  <a:pt x="8817" y="9550"/>
                </a:lnTo>
                <a:lnTo>
                  <a:pt x="8768" y="9624"/>
                </a:lnTo>
                <a:lnTo>
                  <a:pt x="8719" y="9697"/>
                </a:lnTo>
                <a:lnTo>
                  <a:pt x="6179" y="12237"/>
                </a:lnTo>
                <a:lnTo>
                  <a:pt x="6106" y="12310"/>
                </a:lnTo>
                <a:lnTo>
                  <a:pt x="6033" y="12359"/>
                </a:lnTo>
                <a:lnTo>
                  <a:pt x="5935" y="12383"/>
                </a:lnTo>
                <a:lnTo>
                  <a:pt x="5740" y="12383"/>
                </a:lnTo>
                <a:lnTo>
                  <a:pt x="5642" y="12359"/>
                </a:lnTo>
                <a:lnTo>
                  <a:pt x="5569" y="12310"/>
                </a:lnTo>
                <a:lnTo>
                  <a:pt x="5496" y="12237"/>
                </a:lnTo>
                <a:lnTo>
                  <a:pt x="5422" y="12164"/>
                </a:lnTo>
                <a:lnTo>
                  <a:pt x="5373" y="12090"/>
                </a:lnTo>
                <a:lnTo>
                  <a:pt x="5349" y="11993"/>
                </a:lnTo>
                <a:lnTo>
                  <a:pt x="5349" y="11895"/>
                </a:lnTo>
                <a:lnTo>
                  <a:pt x="5349" y="11797"/>
                </a:lnTo>
                <a:lnTo>
                  <a:pt x="5373" y="11700"/>
                </a:lnTo>
                <a:lnTo>
                  <a:pt x="5422" y="11626"/>
                </a:lnTo>
                <a:lnTo>
                  <a:pt x="5496" y="11553"/>
                </a:lnTo>
                <a:lnTo>
                  <a:pt x="8036" y="9013"/>
                </a:lnTo>
                <a:lnTo>
                  <a:pt x="8109" y="8964"/>
                </a:lnTo>
                <a:lnTo>
                  <a:pt x="8182" y="8915"/>
                </a:lnTo>
                <a:lnTo>
                  <a:pt x="8280" y="8891"/>
                </a:lnTo>
                <a:lnTo>
                  <a:pt x="8377" y="8867"/>
                </a:lnTo>
                <a:close/>
                <a:moveTo>
                  <a:pt x="14825" y="1"/>
                </a:moveTo>
                <a:lnTo>
                  <a:pt x="14288" y="25"/>
                </a:lnTo>
                <a:lnTo>
                  <a:pt x="13751" y="50"/>
                </a:lnTo>
                <a:lnTo>
                  <a:pt x="13213" y="123"/>
                </a:lnTo>
                <a:lnTo>
                  <a:pt x="12676" y="245"/>
                </a:lnTo>
                <a:lnTo>
                  <a:pt x="12163" y="367"/>
                </a:lnTo>
                <a:lnTo>
                  <a:pt x="11675" y="538"/>
                </a:lnTo>
                <a:lnTo>
                  <a:pt x="11235" y="758"/>
                </a:lnTo>
                <a:lnTo>
                  <a:pt x="11015" y="856"/>
                </a:lnTo>
                <a:lnTo>
                  <a:pt x="10844" y="1002"/>
                </a:lnTo>
                <a:lnTo>
                  <a:pt x="10649" y="1124"/>
                </a:lnTo>
                <a:lnTo>
                  <a:pt x="10502" y="1271"/>
                </a:lnTo>
                <a:lnTo>
                  <a:pt x="5544" y="6229"/>
                </a:lnTo>
                <a:lnTo>
                  <a:pt x="391" y="6229"/>
                </a:lnTo>
                <a:lnTo>
                  <a:pt x="245" y="6253"/>
                </a:lnTo>
                <a:lnTo>
                  <a:pt x="147" y="6278"/>
                </a:lnTo>
                <a:lnTo>
                  <a:pt x="49" y="6327"/>
                </a:lnTo>
                <a:lnTo>
                  <a:pt x="0" y="6400"/>
                </a:lnTo>
                <a:lnTo>
                  <a:pt x="0" y="6473"/>
                </a:lnTo>
                <a:lnTo>
                  <a:pt x="25" y="6571"/>
                </a:lnTo>
                <a:lnTo>
                  <a:pt x="74" y="6668"/>
                </a:lnTo>
                <a:lnTo>
                  <a:pt x="171" y="6791"/>
                </a:lnTo>
                <a:lnTo>
                  <a:pt x="2589" y="9184"/>
                </a:lnTo>
                <a:lnTo>
                  <a:pt x="2272" y="9502"/>
                </a:lnTo>
                <a:lnTo>
                  <a:pt x="953" y="9746"/>
                </a:lnTo>
                <a:lnTo>
                  <a:pt x="806" y="9795"/>
                </a:lnTo>
                <a:lnTo>
                  <a:pt x="684" y="9843"/>
                </a:lnTo>
                <a:lnTo>
                  <a:pt x="611" y="9941"/>
                </a:lnTo>
                <a:lnTo>
                  <a:pt x="562" y="10014"/>
                </a:lnTo>
                <a:lnTo>
                  <a:pt x="562" y="10112"/>
                </a:lnTo>
                <a:lnTo>
                  <a:pt x="586" y="10234"/>
                </a:lnTo>
                <a:lnTo>
                  <a:pt x="635" y="10332"/>
                </a:lnTo>
                <a:lnTo>
                  <a:pt x="733" y="10454"/>
                </a:lnTo>
                <a:lnTo>
                  <a:pt x="7278" y="16999"/>
                </a:lnTo>
                <a:lnTo>
                  <a:pt x="7401" y="17097"/>
                </a:lnTo>
                <a:lnTo>
                  <a:pt x="7498" y="17146"/>
                </a:lnTo>
                <a:lnTo>
                  <a:pt x="7620" y="17170"/>
                </a:lnTo>
                <a:lnTo>
                  <a:pt x="7718" y="17170"/>
                </a:lnTo>
                <a:lnTo>
                  <a:pt x="7791" y="17122"/>
                </a:lnTo>
                <a:lnTo>
                  <a:pt x="7889" y="17048"/>
                </a:lnTo>
                <a:lnTo>
                  <a:pt x="7938" y="16926"/>
                </a:lnTo>
                <a:lnTo>
                  <a:pt x="7987" y="16780"/>
                </a:lnTo>
                <a:lnTo>
                  <a:pt x="8231" y="15461"/>
                </a:lnTo>
                <a:lnTo>
                  <a:pt x="8548" y="15143"/>
                </a:lnTo>
                <a:lnTo>
                  <a:pt x="10942" y="17561"/>
                </a:lnTo>
                <a:lnTo>
                  <a:pt x="11064" y="17659"/>
                </a:lnTo>
                <a:lnTo>
                  <a:pt x="11162" y="17708"/>
                </a:lnTo>
                <a:lnTo>
                  <a:pt x="11259" y="17732"/>
                </a:lnTo>
                <a:lnTo>
                  <a:pt x="11333" y="17732"/>
                </a:lnTo>
                <a:lnTo>
                  <a:pt x="11406" y="17683"/>
                </a:lnTo>
                <a:lnTo>
                  <a:pt x="11455" y="17586"/>
                </a:lnTo>
                <a:lnTo>
                  <a:pt x="11479" y="17488"/>
                </a:lnTo>
                <a:lnTo>
                  <a:pt x="11504" y="17341"/>
                </a:lnTo>
                <a:lnTo>
                  <a:pt x="11504" y="12188"/>
                </a:lnTo>
                <a:lnTo>
                  <a:pt x="16461" y="7230"/>
                </a:lnTo>
                <a:lnTo>
                  <a:pt x="16608" y="7084"/>
                </a:lnTo>
                <a:lnTo>
                  <a:pt x="16730" y="6888"/>
                </a:lnTo>
                <a:lnTo>
                  <a:pt x="16877" y="6693"/>
                </a:lnTo>
                <a:lnTo>
                  <a:pt x="16974" y="6498"/>
                </a:lnTo>
                <a:lnTo>
                  <a:pt x="17194" y="6058"/>
                </a:lnTo>
                <a:lnTo>
                  <a:pt x="17365" y="5569"/>
                </a:lnTo>
                <a:lnTo>
                  <a:pt x="17487" y="5057"/>
                </a:lnTo>
                <a:lnTo>
                  <a:pt x="17609" y="4519"/>
                </a:lnTo>
                <a:lnTo>
                  <a:pt x="17683" y="3982"/>
                </a:lnTo>
                <a:lnTo>
                  <a:pt x="17707" y="3445"/>
                </a:lnTo>
                <a:lnTo>
                  <a:pt x="17731" y="2907"/>
                </a:lnTo>
                <a:lnTo>
                  <a:pt x="17731" y="2419"/>
                </a:lnTo>
                <a:lnTo>
                  <a:pt x="17707" y="1955"/>
                </a:lnTo>
                <a:lnTo>
                  <a:pt x="17658" y="1515"/>
                </a:lnTo>
                <a:lnTo>
                  <a:pt x="17585" y="1149"/>
                </a:lnTo>
                <a:lnTo>
                  <a:pt x="17512" y="831"/>
                </a:lnTo>
                <a:lnTo>
                  <a:pt x="17414" y="587"/>
                </a:lnTo>
                <a:lnTo>
                  <a:pt x="17341" y="489"/>
                </a:lnTo>
                <a:lnTo>
                  <a:pt x="17292" y="441"/>
                </a:lnTo>
                <a:lnTo>
                  <a:pt x="17243" y="392"/>
                </a:lnTo>
                <a:lnTo>
                  <a:pt x="17145" y="318"/>
                </a:lnTo>
                <a:lnTo>
                  <a:pt x="16901" y="221"/>
                </a:lnTo>
                <a:lnTo>
                  <a:pt x="16584" y="148"/>
                </a:lnTo>
                <a:lnTo>
                  <a:pt x="16217" y="74"/>
                </a:lnTo>
                <a:lnTo>
                  <a:pt x="15778" y="25"/>
                </a:lnTo>
                <a:lnTo>
                  <a:pt x="15314" y="1"/>
                </a:lnTo>
                <a:close/>
              </a:path>
            </a:pathLst>
          </a:custGeom>
          <a:solidFill>
            <a:schemeClr val="tx2"/>
          </a:solidFill>
          <a:ln>
            <a:noFill/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MOTEUR_Python" textlink="">
        <xdr:nvSpPr>
          <xdr:cNvPr id="5" name="Shape 505">
            <a:extLst>
              <a:ext uri="{FF2B5EF4-FFF2-40B4-BE49-F238E27FC236}">
                <a16:creationId xmlns:a16="http://schemas.microsoft.com/office/drawing/2014/main" id="{6454BAAE-FFAE-447F-99EA-6201840FD2FD}"/>
              </a:ext>
            </a:extLst>
          </xdr:cNvPr>
          <xdr:cNvSpPr/>
        </xdr:nvSpPr>
        <xdr:spPr>
          <a:xfrm>
            <a:off x="597725" y="4665400"/>
            <a:ext cx="73300" cy="73300"/>
          </a:xfrm>
          <a:custGeom>
            <a:avLst/>
            <a:gdLst/>
            <a:ahLst/>
            <a:cxnLst/>
            <a:rect l="0" t="0" r="0" b="0"/>
            <a:pathLst>
              <a:path w="2932" h="2932" extrusionOk="0">
                <a:moveTo>
                  <a:pt x="2028" y="1"/>
                </a:moveTo>
                <a:lnTo>
                  <a:pt x="1857" y="25"/>
                </a:lnTo>
                <a:lnTo>
                  <a:pt x="1686" y="74"/>
                </a:lnTo>
                <a:lnTo>
                  <a:pt x="1515" y="147"/>
                </a:lnTo>
                <a:lnTo>
                  <a:pt x="1369" y="269"/>
                </a:lnTo>
                <a:lnTo>
                  <a:pt x="1222" y="489"/>
                </a:lnTo>
                <a:lnTo>
                  <a:pt x="1002" y="831"/>
                </a:lnTo>
                <a:lnTo>
                  <a:pt x="563" y="1735"/>
                </a:lnTo>
                <a:lnTo>
                  <a:pt x="172" y="2565"/>
                </a:lnTo>
                <a:lnTo>
                  <a:pt x="1" y="2932"/>
                </a:lnTo>
                <a:lnTo>
                  <a:pt x="1" y="2932"/>
                </a:lnTo>
                <a:lnTo>
                  <a:pt x="367" y="2761"/>
                </a:lnTo>
                <a:lnTo>
                  <a:pt x="1198" y="2370"/>
                </a:lnTo>
                <a:lnTo>
                  <a:pt x="2101" y="1930"/>
                </a:lnTo>
                <a:lnTo>
                  <a:pt x="2443" y="1710"/>
                </a:lnTo>
                <a:lnTo>
                  <a:pt x="2663" y="1564"/>
                </a:lnTo>
                <a:lnTo>
                  <a:pt x="2785" y="1417"/>
                </a:lnTo>
                <a:lnTo>
                  <a:pt x="2858" y="1246"/>
                </a:lnTo>
                <a:lnTo>
                  <a:pt x="2907" y="1075"/>
                </a:lnTo>
                <a:lnTo>
                  <a:pt x="2932" y="904"/>
                </a:lnTo>
                <a:lnTo>
                  <a:pt x="2907" y="733"/>
                </a:lnTo>
                <a:lnTo>
                  <a:pt x="2858" y="562"/>
                </a:lnTo>
                <a:lnTo>
                  <a:pt x="2785" y="416"/>
                </a:lnTo>
                <a:lnTo>
                  <a:pt x="2663" y="269"/>
                </a:lnTo>
                <a:lnTo>
                  <a:pt x="2517" y="147"/>
                </a:lnTo>
                <a:lnTo>
                  <a:pt x="2370" y="74"/>
                </a:lnTo>
                <a:lnTo>
                  <a:pt x="2199" y="25"/>
                </a:lnTo>
                <a:lnTo>
                  <a:pt x="2028" y="1"/>
                </a:lnTo>
                <a:close/>
              </a:path>
            </a:pathLst>
          </a:custGeom>
          <a:ln/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MOTEUR_Python" textlink="">
        <xdr:nvSpPr>
          <xdr:cNvPr id="6" name="Shape 506">
            <a:extLst>
              <a:ext uri="{FF2B5EF4-FFF2-40B4-BE49-F238E27FC236}">
                <a16:creationId xmlns:a16="http://schemas.microsoft.com/office/drawing/2014/main" id="{4FA54503-7C42-4B2D-9567-FE4C54933323}"/>
              </a:ext>
            </a:extLst>
          </xdr:cNvPr>
          <xdr:cNvSpPr/>
        </xdr:nvSpPr>
        <xdr:spPr>
          <a:xfrm>
            <a:off x="654525" y="4708150"/>
            <a:ext cx="47025" cy="47025"/>
          </a:xfrm>
          <a:custGeom>
            <a:avLst/>
            <a:gdLst/>
            <a:ahLst/>
            <a:cxnLst/>
            <a:rect l="0" t="0" r="0" b="0"/>
            <a:pathLst>
              <a:path w="1881" h="1881" extrusionOk="0">
                <a:moveTo>
                  <a:pt x="1124" y="0"/>
                </a:moveTo>
                <a:lnTo>
                  <a:pt x="977" y="25"/>
                </a:lnTo>
                <a:lnTo>
                  <a:pt x="831" y="74"/>
                </a:lnTo>
                <a:lnTo>
                  <a:pt x="709" y="147"/>
                </a:lnTo>
                <a:lnTo>
                  <a:pt x="586" y="245"/>
                </a:lnTo>
                <a:lnTo>
                  <a:pt x="464" y="391"/>
                </a:lnTo>
                <a:lnTo>
                  <a:pt x="367" y="611"/>
                </a:lnTo>
                <a:lnTo>
                  <a:pt x="269" y="880"/>
                </a:lnTo>
                <a:lnTo>
                  <a:pt x="171" y="1173"/>
                </a:lnTo>
                <a:lnTo>
                  <a:pt x="49" y="1686"/>
                </a:lnTo>
                <a:lnTo>
                  <a:pt x="0" y="1881"/>
                </a:lnTo>
                <a:lnTo>
                  <a:pt x="0" y="1881"/>
                </a:lnTo>
                <a:lnTo>
                  <a:pt x="220" y="1857"/>
                </a:lnTo>
                <a:lnTo>
                  <a:pt x="733" y="1710"/>
                </a:lnTo>
                <a:lnTo>
                  <a:pt x="1002" y="1637"/>
                </a:lnTo>
                <a:lnTo>
                  <a:pt x="1270" y="1539"/>
                </a:lnTo>
                <a:lnTo>
                  <a:pt x="1515" y="1417"/>
                </a:lnTo>
                <a:lnTo>
                  <a:pt x="1661" y="1319"/>
                </a:lnTo>
                <a:lnTo>
                  <a:pt x="1759" y="1197"/>
                </a:lnTo>
                <a:lnTo>
                  <a:pt x="1832" y="1051"/>
                </a:lnTo>
                <a:lnTo>
                  <a:pt x="1881" y="928"/>
                </a:lnTo>
                <a:lnTo>
                  <a:pt x="1881" y="782"/>
                </a:lnTo>
                <a:lnTo>
                  <a:pt x="1881" y="635"/>
                </a:lnTo>
                <a:lnTo>
                  <a:pt x="1832" y="489"/>
                </a:lnTo>
                <a:lnTo>
                  <a:pt x="1759" y="367"/>
                </a:lnTo>
                <a:lnTo>
                  <a:pt x="1661" y="245"/>
                </a:lnTo>
                <a:lnTo>
                  <a:pt x="1539" y="147"/>
                </a:lnTo>
                <a:lnTo>
                  <a:pt x="1417" y="74"/>
                </a:lnTo>
                <a:lnTo>
                  <a:pt x="1270" y="25"/>
                </a:lnTo>
                <a:lnTo>
                  <a:pt x="1124" y="0"/>
                </a:lnTo>
                <a:close/>
              </a:path>
            </a:pathLst>
          </a:custGeom>
          <a:ln/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  <xdr:sp macro="[0]!Start_MOTEUR_Python" textlink="">
        <xdr:nvSpPr>
          <xdr:cNvPr id="7" name="Shape 507">
            <a:extLst>
              <a:ext uri="{FF2B5EF4-FFF2-40B4-BE49-F238E27FC236}">
                <a16:creationId xmlns:a16="http://schemas.microsoft.com/office/drawing/2014/main" id="{32DA9374-13A7-4699-AF69-8238EA170175}"/>
              </a:ext>
            </a:extLst>
          </xdr:cNvPr>
          <xdr:cNvSpPr/>
        </xdr:nvSpPr>
        <xdr:spPr>
          <a:xfrm>
            <a:off x="581250" y="4634875"/>
            <a:ext cx="47050" cy="47050"/>
          </a:xfrm>
          <a:custGeom>
            <a:avLst/>
            <a:gdLst/>
            <a:ahLst/>
            <a:cxnLst/>
            <a:rect l="0" t="0" r="0" b="0"/>
            <a:pathLst>
              <a:path w="1882" h="1882" extrusionOk="0">
                <a:moveTo>
                  <a:pt x="953" y="1"/>
                </a:moveTo>
                <a:lnTo>
                  <a:pt x="831" y="49"/>
                </a:lnTo>
                <a:lnTo>
                  <a:pt x="684" y="123"/>
                </a:lnTo>
                <a:lnTo>
                  <a:pt x="562" y="220"/>
                </a:lnTo>
                <a:lnTo>
                  <a:pt x="465" y="367"/>
                </a:lnTo>
                <a:lnTo>
                  <a:pt x="342" y="611"/>
                </a:lnTo>
                <a:lnTo>
                  <a:pt x="245" y="880"/>
                </a:lnTo>
                <a:lnTo>
                  <a:pt x="171" y="1148"/>
                </a:lnTo>
                <a:lnTo>
                  <a:pt x="25" y="1661"/>
                </a:lnTo>
                <a:lnTo>
                  <a:pt x="1" y="1881"/>
                </a:lnTo>
                <a:lnTo>
                  <a:pt x="196" y="1832"/>
                </a:lnTo>
                <a:lnTo>
                  <a:pt x="709" y="1710"/>
                </a:lnTo>
                <a:lnTo>
                  <a:pt x="1002" y="1613"/>
                </a:lnTo>
                <a:lnTo>
                  <a:pt x="1271" y="1515"/>
                </a:lnTo>
                <a:lnTo>
                  <a:pt x="1490" y="1417"/>
                </a:lnTo>
                <a:lnTo>
                  <a:pt x="1637" y="1295"/>
                </a:lnTo>
                <a:lnTo>
                  <a:pt x="1735" y="1173"/>
                </a:lnTo>
                <a:lnTo>
                  <a:pt x="1808" y="1051"/>
                </a:lnTo>
                <a:lnTo>
                  <a:pt x="1857" y="904"/>
                </a:lnTo>
                <a:lnTo>
                  <a:pt x="1881" y="758"/>
                </a:lnTo>
                <a:lnTo>
                  <a:pt x="1857" y="611"/>
                </a:lnTo>
                <a:lnTo>
                  <a:pt x="1808" y="465"/>
                </a:lnTo>
                <a:lnTo>
                  <a:pt x="1735" y="343"/>
                </a:lnTo>
                <a:lnTo>
                  <a:pt x="1637" y="220"/>
                </a:lnTo>
                <a:lnTo>
                  <a:pt x="1515" y="123"/>
                </a:lnTo>
                <a:lnTo>
                  <a:pt x="1393" y="49"/>
                </a:lnTo>
                <a:lnTo>
                  <a:pt x="1246" y="1"/>
                </a:lnTo>
                <a:close/>
              </a:path>
            </a:pathLst>
          </a:custGeom>
          <a:ln/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wrap="square" lIns="91425" tIns="91425" rIns="91425" bIns="91425" anchor="ctr" anchorCtr="0">
            <a:noAutofit/>
          </a:bodyPr>
          <a:lstStyle>
            <a:def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</a:defPPr>
            <a:lvl1pPr marR="0" lvl="0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1pPr>
            <a:lvl2pPr marR="0" lvl="1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2pPr>
            <a:lvl3pPr marR="0" lvl="2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3pPr>
            <a:lvl4pPr marR="0" lvl="3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4pPr>
            <a:lvl5pPr marR="0" lvl="4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5pPr>
            <a:lvl6pPr marR="0" lvl="5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6pPr>
            <a:lvl7pPr marR="0" lvl="6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7pPr>
            <a:lvl8pPr marR="0" lvl="7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8pPr>
            <a:lvl9pPr marR="0" lvl="8" algn="l" rtl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None/>
              <a:defRPr sz="1400" b="0" i="0" u="none" strike="noStrike" cap="none">
                <a:solidFill>
                  <a:srgbClr val="000000"/>
                </a:solidFill>
                <a:latin typeface="Arial"/>
                <a:ea typeface="Arial"/>
                <a:cs typeface="Arial"/>
                <a:sym typeface="Arial"/>
              </a:defRPr>
            </a:lvl9pPr>
          </a:lstStyle>
          <a:p>
            <a:pPr lvl="0">
              <a:spcBef>
                <a:spcPts val="0"/>
              </a:spcBef>
              <a:buNone/>
            </a:pPr>
            <a:endParaRPr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1846792</xdr:colOff>
      <xdr:row>5</xdr:row>
      <xdr:rowOff>1334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62667" cy="953834"/>
        </a:xfrm>
        <a:prstGeom prst="rect">
          <a:avLst/>
        </a:prstGeom>
      </xdr:spPr>
    </xdr:pic>
    <xdr:clientData/>
  </xdr:twoCellAnchor>
  <xdr:twoCellAnchor>
    <xdr:from>
      <xdr:col>1</xdr:col>
      <xdr:colOff>345283</xdr:colOff>
      <xdr:row>34</xdr:row>
      <xdr:rowOff>29076</xdr:rowOff>
    </xdr:from>
    <xdr:to>
      <xdr:col>1</xdr:col>
      <xdr:colOff>2631283</xdr:colOff>
      <xdr:row>35</xdr:row>
      <xdr:rowOff>3913</xdr:rowOff>
    </xdr:to>
    <xdr:sp macro="[0]!SelectOutputDir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1107283" y="7041857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SORTIE </a:t>
          </a:r>
        </a:p>
      </xdr:txBody>
    </xdr:sp>
    <xdr:clientData/>
  </xdr:twoCellAnchor>
  <xdr:twoCellAnchor>
    <xdr:from>
      <xdr:col>1</xdr:col>
      <xdr:colOff>309563</xdr:colOff>
      <xdr:row>19</xdr:row>
      <xdr:rowOff>118797</xdr:rowOff>
    </xdr:from>
    <xdr:to>
      <xdr:col>1</xdr:col>
      <xdr:colOff>2593591</xdr:colOff>
      <xdr:row>20</xdr:row>
      <xdr:rowOff>285750</xdr:rowOff>
    </xdr:to>
    <xdr:sp macro="[0]!SelectInputFile" textlink="">
      <xdr:nvSpPr>
        <xdr:cNvPr id="6" name="Rectangle à coins arrondi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1071563" y="3809735"/>
          <a:ext cx="2284028" cy="286015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DE SORTIE DE l'ALIM</a:t>
          </a:r>
        </a:p>
      </xdr:txBody>
    </xdr:sp>
    <xdr:clientData/>
  </xdr:twoCellAnchor>
  <xdr:twoCellAnchor>
    <xdr:from>
      <xdr:col>7</xdr:col>
      <xdr:colOff>447068</xdr:colOff>
      <xdr:row>6</xdr:row>
      <xdr:rowOff>14617</xdr:rowOff>
    </xdr:from>
    <xdr:to>
      <xdr:col>8</xdr:col>
      <xdr:colOff>1402906</xdr:colOff>
      <xdr:row>8</xdr:row>
      <xdr:rowOff>30425</xdr:rowOff>
    </xdr:to>
    <xdr:sp macro="[0]!ReinitialiserTout" textlink="">
      <xdr:nvSpPr>
        <xdr:cNvPr id="14" name="Rectangle à coins arrondi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12329506" y="1157617"/>
          <a:ext cx="2408400" cy="396808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EFFACER TOUS CHAMPS</a:t>
          </a:r>
        </a:p>
      </xdr:txBody>
    </xdr:sp>
    <xdr:clientData/>
  </xdr:twoCellAnchor>
  <xdr:twoCellAnchor>
    <xdr:from>
      <xdr:col>2</xdr:col>
      <xdr:colOff>202596</xdr:colOff>
      <xdr:row>0</xdr:row>
      <xdr:rowOff>122465</xdr:rowOff>
    </xdr:from>
    <xdr:to>
      <xdr:col>8</xdr:col>
      <xdr:colOff>386335</xdr:colOff>
      <xdr:row>3</xdr:row>
      <xdr:rowOff>124168</xdr:rowOff>
    </xdr:to>
    <xdr:sp macro="" textlink="">
      <xdr:nvSpPr>
        <xdr:cNvPr id="16" name="Rectangle à coins arrondis 1">
          <a:extLst>
            <a:ext uri="{FF2B5EF4-FFF2-40B4-BE49-F238E27FC236}">
              <a16:creationId xmlns:a16="http://schemas.microsoft.com/office/drawing/2014/main" id="{F572EA31-D29B-401B-A3AE-D4671BBB5BD0}"/>
            </a:ext>
          </a:extLst>
        </xdr:cNvPr>
        <xdr:cNvSpPr/>
      </xdr:nvSpPr>
      <xdr:spPr bwMode="auto">
        <a:xfrm>
          <a:off x="2636763" y="122465"/>
          <a:ext cx="5962239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SCENARIO</a:t>
          </a:r>
        </a:p>
      </xdr:txBody>
    </xdr:sp>
    <xdr:clientData/>
  </xdr:twoCellAnchor>
  <xdr:twoCellAnchor>
    <xdr:from>
      <xdr:col>5</xdr:col>
      <xdr:colOff>448657</xdr:colOff>
      <xdr:row>6</xdr:row>
      <xdr:rowOff>8269</xdr:rowOff>
    </xdr:from>
    <xdr:to>
      <xdr:col>7</xdr:col>
      <xdr:colOff>166688</xdr:colOff>
      <xdr:row>8</xdr:row>
      <xdr:rowOff>24077</xdr:rowOff>
    </xdr:to>
    <xdr:sp macro="[0]!CreateScenario" textlink="">
      <xdr:nvSpPr>
        <xdr:cNvPr id="17" name="Rectangle à coins arrondis 13">
          <a:extLst>
            <a:ext uri="{FF2B5EF4-FFF2-40B4-BE49-F238E27FC236}">
              <a16:creationId xmlns:a16="http://schemas.microsoft.com/office/drawing/2014/main" id="{29451A65-549A-4264-983A-CA9164DECB11}"/>
            </a:ext>
          </a:extLst>
        </xdr:cNvPr>
        <xdr:cNvSpPr/>
      </xdr:nvSpPr>
      <xdr:spPr bwMode="auto">
        <a:xfrm>
          <a:off x="9640282" y="1151269"/>
          <a:ext cx="2408844" cy="396808"/>
        </a:xfrm>
        <a:prstGeom prst="roundRect">
          <a:avLst/>
        </a:prstGeom>
        <a:gradFill rotWithShape="1">
          <a:gsLst>
            <a:gs pos="100000">
              <a:srgbClr val="CC66FF"/>
            </a:gs>
            <a:gs pos="10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CREER SCENARIOS</a:t>
          </a:r>
        </a:p>
      </xdr:txBody>
    </xdr:sp>
    <xdr:clientData/>
  </xdr:twoCellAnchor>
  <xdr:twoCellAnchor>
    <xdr:from>
      <xdr:col>5</xdr:col>
      <xdr:colOff>344893</xdr:colOff>
      <xdr:row>40</xdr:row>
      <xdr:rowOff>0</xdr:rowOff>
    </xdr:from>
    <xdr:to>
      <xdr:col>6</xdr:col>
      <xdr:colOff>1432243</xdr:colOff>
      <xdr:row>43</xdr:row>
      <xdr:rowOff>38813</xdr:rowOff>
    </xdr:to>
    <xdr:sp macro="[0]!AjouterScenarioGLobal" textlink="">
      <xdr:nvSpPr>
        <xdr:cNvPr id="15" name="Rectangle à coins arrondis 12">
          <a:extLst>
            <a:ext uri="{FF2B5EF4-FFF2-40B4-BE49-F238E27FC236}">
              <a16:creationId xmlns:a16="http://schemas.microsoft.com/office/drawing/2014/main" id="{6EE9EECF-6C50-4A39-BC9C-A8BF31F60C17}"/>
            </a:ext>
          </a:extLst>
        </xdr:cNvPr>
        <xdr:cNvSpPr/>
      </xdr:nvSpPr>
      <xdr:spPr bwMode="auto">
        <a:xfrm>
          <a:off x="9536518" y="6655594"/>
          <a:ext cx="2325600" cy="3960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5</xdr:col>
      <xdr:colOff>344224</xdr:colOff>
      <xdr:row>43</xdr:row>
      <xdr:rowOff>164039</xdr:rowOff>
    </xdr:from>
    <xdr:to>
      <xdr:col>6</xdr:col>
      <xdr:colOff>1430073</xdr:colOff>
      <xdr:row>45</xdr:row>
      <xdr:rowOff>161924</xdr:rowOff>
    </xdr:to>
    <xdr:sp macro="[0]!DeleteSelectedRowsGlobal" textlink="">
      <xdr:nvSpPr>
        <xdr:cNvPr id="18" name="Rectangle à coins arrondis 7">
          <a:extLst>
            <a:ext uri="{FF2B5EF4-FFF2-40B4-BE49-F238E27FC236}">
              <a16:creationId xmlns:a16="http://schemas.microsoft.com/office/drawing/2014/main" id="{41215765-EFB8-4B45-B763-202B4BE0121A}"/>
            </a:ext>
          </a:extLst>
        </xdr:cNvPr>
        <xdr:cNvSpPr/>
      </xdr:nvSpPr>
      <xdr:spPr bwMode="auto">
        <a:xfrm>
          <a:off x="9402499" y="7631639"/>
          <a:ext cx="2362199" cy="378885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285750</xdr:colOff>
      <xdr:row>18</xdr:row>
      <xdr:rowOff>11641</xdr:rowOff>
    </xdr:from>
    <xdr:to>
      <xdr:col>1</xdr:col>
      <xdr:colOff>2569778</xdr:colOff>
      <xdr:row>18</xdr:row>
      <xdr:rowOff>297656</xdr:rowOff>
    </xdr:to>
    <xdr:sp macro="[0]!SelectSourceFilesDir" textlink="">
      <xdr:nvSpPr>
        <xdr:cNvPr id="19" name="Rectangle à coins arrondis 5">
          <a:extLst>
            <a:ext uri="{FF2B5EF4-FFF2-40B4-BE49-F238E27FC236}">
              <a16:creationId xmlns:a16="http://schemas.microsoft.com/office/drawing/2014/main" id="{8DEAB434-1379-40F7-BEDF-4CA79D3E3C65}"/>
            </a:ext>
          </a:extLst>
        </xdr:cNvPr>
        <xdr:cNvSpPr/>
      </xdr:nvSpPr>
      <xdr:spPr bwMode="auto">
        <a:xfrm>
          <a:off x="1047750" y="3393016"/>
          <a:ext cx="2284028" cy="286015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FICHIERS SOURCE</a:t>
          </a:r>
        </a:p>
      </xdr:txBody>
    </xdr:sp>
    <xdr:clientData/>
  </xdr:twoCellAnchor>
  <xdr:twoCellAnchor>
    <xdr:from>
      <xdr:col>1</xdr:col>
      <xdr:colOff>345282</xdr:colOff>
      <xdr:row>24</xdr:row>
      <xdr:rowOff>23812</xdr:rowOff>
    </xdr:from>
    <xdr:to>
      <xdr:col>1</xdr:col>
      <xdr:colOff>2631282</xdr:colOff>
      <xdr:row>24</xdr:row>
      <xdr:rowOff>308212</xdr:rowOff>
    </xdr:to>
    <xdr:sp macro="[0]!SelectInputTxReferenceFile" textlink="">
      <xdr:nvSpPr>
        <xdr:cNvPr id="11" name="Rectangle à coins arrondis 11">
          <a:extLst>
            <a:ext uri="{FF2B5EF4-FFF2-40B4-BE49-F238E27FC236}">
              <a16:creationId xmlns:a16="http://schemas.microsoft.com/office/drawing/2014/main" id="{3961AC80-B8BF-4771-AC11-ECCD21BAA1DE}"/>
            </a:ext>
          </a:extLst>
        </xdr:cNvPr>
        <xdr:cNvSpPr/>
      </xdr:nvSpPr>
      <xdr:spPr bwMode="auto">
        <a:xfrm>
          <a:off x="1130142" y="4397692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SCENARIOS TAUX </a:t>
          </a:r>
        </a:p>
      </xdr:txBody>
    </xdr:sp>
    <xdr:clientData/>
  </xdr:twoCellAnchor>
  <xdr:twoCellAnchor>
    <xdr:from>
      <xdr:col>1</xdr:col>
      <xdr:colOff>339567</xdr:colOff>
      <xdr:row>28</xdr:row>
      <xdr:rowOff>25717</xdr:rowOff>
    </xdr:from>
    <xdr:to>
      <xdr:col>1</xdr:col>
      <xdr:colOff>2625567</xdr:colOff>
      <xdr:row>28</xdr:row>
      <xdr:rowOff>310117</xdr:rowOff>
    </xdr:to>
    <xdr:sp macro="[0]!SelectInputZCEVE" textlink="">
      <xdr:nvSpPr>
        <xdr:cNvPr id="12" name="BOUTON_ZC">
          <a:extLst>
            <a:ext uri="{FF2B5EF4-FFF2-40B4-BE49-F238E27FC236}">
              <a16:creationId xmlns:a16="http://schemas.microsoft.com/office/drawing/2014/main" id="{5F5D20B4-117D-4239-9B10-CA2945C96389}"/>
            </a:ext>
          </a:extLst>
        </xdr:cNvPr>
        <xdr:cNvSpPr/>
      </xdr:nvSpPr>
      <xdr:spPr bwMode="auto">
        <a:xfrm>
          <a:off x="1120617" y="4921567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FICHIER ZERO COUPONS</a:t>
          </a:r>
        </a:p>
      </xdr:txBody>
    </xdr:sp>
    <xdr:clientData/>
  </xdr:twoCellAnchor>
  <xdr:twoCellAnchor>
    <xdr:from>
      <xdr:col>1</xdr:col>
      <xdr:colOff>368142</xdr:colOff>
      <xdr:row>25</xdr:row>
      <xdr:rowOff>187642</xdr:rowOff>
    </xdr:from>
    <xdr:to>
      <xdr:col>1</xdr:col>
      <xdr:colOff>2654142</xdr:colOff>
      <xdr:row>27</xdr:row>
      <xdr:rowOff>33892</xdr:rowOff>
    </xdr:to>
    <xdr:sp macro="[0]!SelectInputLIQReferenceFile" textlink="">
      <xdr:nvSpPr>
        <xdr:cNvPr id="2" name="Rectangle à coins arrondis 11">
          <a:extLst>
            <a:ext uri="{FF2B5EF4-FFF2-40B4-BE49-F238E27FC236}">
              <a16:creationId xmlns:a16="http://schemas.microsoft.com/office/drawing/2014/main" id="{A5902953-EA92-4932-B011-91FEE3667C16}"/>
            </a:ext>
          </a:extLst>
        </xdr:cNvPr>
        <xdr:cNvSpPr/>
      </xdr:nvSpPr>
      <xdr:spPr bwMode="auto">
        <a:xfrm>
          <a:off x="1149192" y="4883467"/>
          <a:ext cx="2286000" cy="2844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SCENARIOS LIQUIDITE</a:t>
          </a:r>
        </a:p>
      </xdr:txBody>
    </xdr:sp>
    <xdr:clientData/>
  </xdr:twoCellAnchor>
  <xdr:twoCellAnchor>
    <xdr:from>
      <xdr:col>1</xdr:col>
      <xdr:colOff>368141</xdr:colOff>
      <xdr:row>29</xdr:row>
      <xdr:rowOff>187642</xdr:rowOff>
    </xdr:from>
    <xdr:to>
      <xdr:col>1</xdr:col>
      <xdr:colOff>2638424</xdr:colOff>
      <xdr:row>31</xdr:row>
      <xdr:rowOff>38100</xdr:rowOff>
    </xdr:to>
    <xdr:sp macro="[0]!SelectInputTCI" textlink="">
      <xdr:nvSpPr>
        <xdr:cNvPr id="20" name="Rectangle à coins arrondis 11">
          <a:extLst>
            <a:ext uri="{FF2B5EF4-FFF2-40B4-BE49-F238E27FC236}">
              <a16:creationId xmlns:a16="http://schemas.microsoft.com/office/drawing/2014/main" id="{3C96E511-AF5B-4311-83E5-254430AFFDEF}"/>
            </a:ext>
          </a:extLst>
        </xdr:cNvPr>
        <xdr:cNvSpPr/>
      </xdr:nvSpPr>
      <xdr:spPr bwMode="auto">
        <a:xfrm>
          <a:off x="1149191" y="6178867"/>
          <a:ext cx="2270283" cy="288608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TCI NMD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313765</xdr:colOff>
      <xdr:row>12</xdr:row>
      <xdr:rowOff>183775</xdr:rowOff>
    </xdr:from>
    <xdr:to>
      <xdr:col>9</xdr:col>
      <xdr:colOff>517262</xdr:colOff>
      <xdr:row>14</xdr:row>
      <xdr:rowOff>120524</xdr:rowOff>
    </xdr:to>
    <xdr:sp macro="[0]!AjouterLaLigneDeChoc" textlink="">
      <xdr:nvSpPr>
        <xdr:cNvPr id="9" name="Rectangle à coins arrondi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7541559" y="2111187"/>
          <a:ext cx="1817144" cy="317749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CHOC</a:t>
          </a:r>
        </a:p>
      </xdr:txBody>
    </xdr:sp>
    <xdr:clientData/>
  </xdr:twoCellAnchor>
  <xdr:twoCellAnchor>
    <xdr:from>
      <xdr:col>9</xdr:col>
      <xdr:colOff>317200</xdr:colOff>
      <xdr:row>23</xdr:row>
      <xdr:rowOff>44825</xdr:rowOff>
    </xdr:from>
    <xdr:to>
      <xdr:col>12</xdr:col>
      <xdr:colOff>679825</xdr:colOff>
      <xdr:row>25</xdr:row>
      <xdr:rowOff>109570</xdr:rowOff>
    </xdr:to>
    <xdr:sp macro="[0]!DeleteSelectedRowsGlobal" textlink="">
      <xdr:nvSpPr>
        <xdr:cNvPr id="11" name="Rectangle à coins arrondis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9113818" y="4191001"/>
          <a:ext cx="3208919" cy="356098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Calibri" panose="020F0502020204030204" pitchFamily="34" charset="0"/>
            </a:rPr>
            <a:t>SUPPRIMER LIGNES SELECTIONNEES</a:t>
          </a:r>
        </a:p>
      </xdr:txBody>
    </xdr:sp>
    <xdr:clientData/>
  </xdr:twoCellAnchor>
  <xdr:twoCellAnchor>
    <xdr:from>
      <xdr:col>1</xdr:col>
      <xdr:colOff>1086075</xdr:colOff>
      <xdr:row>23</xdr:row>
      <xdr:rowOff>24652</xdr:rowOff>
    </xdr:from>
    <xdr:to>
      <xdr:col>4</xdr:col>
      <xdr:colOff>868830</xdr:colOff>
      <xdr:row>25</xdr:row>
      <xdr:rowOff>98362</xdr:rowOff>
    </xdr:to>
    <xdr:sp macro="[0]!CreateVisualisationTx" textlink="">
      <xdr:nvSpPr>
        <xdr:cNvPr id="12" name="Rectangle à coins arrondi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1679987" y="4170828"/>
          <a:ext cx="3043667" cy="365063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CREER FICHIERS DE VISUALISATION</a:t>
          </a:r>
        </a:p>
      </xdr:txBody>
    </xdr:sp>
    <xdr:clientData/>
  </xdr:twoCellAnchor>
  <xdr:twoCellAnchor>
    <xdr:from>
      <xdr:col>4</xdr:col>
      <xdr:colOff>1053352</xdr:colOff>
      <xdr:row>0</xdr:row>
      <xdr:rowOff>156881</xdr:rowOff>
    </xdr:from>
    <xdr:to>
      <xdr:col>10</xdr:col>
      <xdr:colOff>234165</xdr:colOff>
      <xdr:row>3</xdr:row>
      <xdr:rowOff>158584</xdr:rowOff>
    </xdr:to>
    <xdr:sp macro="" textlink="">
      <xdr:nvSpPr>
        <xdr:cNvPr id="7" name="Rectangle à coins arrondis 1">
          <a:extLst>
            <a:ext uri="{FF2B5EF4-FFF2-40B4-BE49-F238E27FC236}">
              <a16:creationId xmlns:a16="http://schemas.microsoft.com/office/drawing/2014/main" id="{709D3FBA-2408-48C7-B036-9641D775F5E0}"/>
            </a:ext>
          </a:extLst>
        </xdr:cNvPr>
        <xdr:cNvSpPr/>
      </xdr:nvSpPr>
      <xdr:spPr bwMode="auto">
        <a:xfrm>
          <a:off x="4908176" y="156881"/>
          <a:ext cx="5119930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CHOC DE TAUX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320842</xdr:colOff>
      <xdr:row>10</xdr:row>
      <xdr:rowOff>51566</xdr:rowOff>
    </xdr:from>
    <xdr:to>
      <xdr:col>11</xdr:col>
      <xdr:colOff>614842</xdr:colOff>
      <xdr:row>11</xdr:row>
      <xdr:rowOff>166661</xdr:rowOff>
    </xdr:to>
    <xdr:sp macro="[0]!AddStressPN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6820254" y="1900537"/>
          <a:ext cx="1818000" cy="3168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STRESS</a:t>
          </a:r>
        </a:p>
      </xdr:txBody>
    </xdr:sp>
    <xdr:clientData/>
  </xdr:twoCellAnchor>
  <xdr:twoCellAnchor>
    <xdr:from>
      <xdr:col>7</xdr:col>
      <xdr:colOff>110637</xdr:colOff>
      <xdr:row>26</xdr:row>
      <xdr:rowOff>179294</xdr:rowOff>
    </xdr:from>
    <xdr:to>
      <xdr:col>10</xdr:col>
      <xdr:colOff>806823</xdr:colOff>
      <xdr:row>28</xdr:row>
      <xdr:rowOff>132283</xdr:rowOff>
    </xdr:to>
    <xdr:sp macro="[0]!DeleteSelectedRowsGlobal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7551343" y="4912659"/>
          <a:ext cx="3475245" cy="347436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389691</xdr:colOff>
      <xdr:row>27</xdr:row>
      <xdr:rowOff>156883</xdr:rowOff>
    </xdr:from>
    <xdr:to>
      <xdr:col>3</xdr:col>
      <xdr:colOff>667438</xdr:colOff>
      <xdr:row>29</xdr:row>
      <xdr:rowOff>117072</xdr:rowOff>
    </xdr:to>
    <xdr:sp macro="[0]!CreateVisualisationPn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1151691" y="3709148"/>
          <a:ext cx="3045600" cy="3636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CREER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FICHIERS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DE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VISUALISATION</a:t>
          </a:r>
        </a:p>
      </xdr:txBody>
    </xdr:sp>
    <xdr:clientData/>
  </xdr:twoCellAnchor>
  <xdr:twoCellAnchor>
    <xdr:from>
      <xdr:col>5</xdr:col>
      <xdr:colOff>95251</xdr:colOff>
      <xdr:row>0</xdr:row>
      <xdr:rowOff>149679</xdr:rowOff>
    </xdr:from>
    <xdr:to>
      <xdr:col>13</xdr:col>
      <xdr:colOff>439074</xdr:colOff>
      <xdr:row>3</xdr:row>
      <xdr:rowOff>110561</xdr:rowOff>
    </xdr:to>
    <xdr:sp macro="" textlink="">
      <xdr:nvSpPr>
        <xdr:cNvPr id="9" name="Rectangle à coins arrondis 1">
          <a:extLst>
            <a:ext uri="{FF2B5EF4-FFF2-40B4-BE49-F238E27FC236}">
              <a16:creationId xmlns:a16="http://schemas.microsoft.com/office/drawing/2014/main" id="{D60F1045-8EF2-4FFC-90A8-5EF1117B0E62}"/>
            </a:ext>
          </a:extLst>
        </xdr:cNvPr>
        <xdr:cNvSpPr/>
      </xdr:nvSpPr>
      <xdr:spPr bwMode="auto">
        <a:xfrm>
          <a:off x="5728608" y="149679"/>
          <a:ext cx="5119930" cy="57320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STRESS PN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60960</xdr:colOff>
      <xdr:row>11</xdr:row>
      <xdr:rowOff>38100</xdr:rowOff>
    </xdr:from>
    <xdr:to>
      <xdr:col>10</xdr:col>
      <xdr:colOff>441960</xdr:colOff>
      <xdr:row>13</xdr:row>
      <xdr:rowOff>15240</xdr:rowOff>
    </xdr:to>
    <xdr:sp macro="[0]!Add_PN" textlink="">
      <xdr:nvSpPr>
        <xdr:cNvPr id="2" name="Rectangle à coins arrondis 3">
          <a:extLst>
            <a:ext uri="{FF2B5EF4-FFF2-40B4-BE49-F238E27FC236}">
              <a16:creationId xmlns:a16="http://schemas.microsoft.com/office/drawing/2014/main" id="{6A05658B-A985-435C-A0CC-833B233FE6EA}"/>
            </a:ext>
          </a:extLst>
        </xdr:cNvPr>
        <xdr:cNvSpPr/>
      </xdr:nvSpPr>
      <xdr:spPr bwMode="auto">
        <a:xfrm>
          <a:off x="8366760" y="1104900"/>
          <a:ext cx="1965960" cy="37338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</a:t>
          </a:r>
          <a:r>
            <a:rPr kumimoji="0" lang="fr-FR" sz="14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 </a:t>
          </a: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PN</a:t>
          </a:r>
        </a:p>
      </xdr:txBody>
    </xdr:sp>
    <xdr:clientData/>
  </xdr:twoCellAnchor>
  <xdr:twoCellAnchor>
    <xdr:from>
      <xdr:col>7</xdr:col>
      <xdr:colOff>739140</xdr:colOff>
      <xdr:row>14</xdr:row>
      <xdr:rowOff>0</xdr:rowOff>
    </xdr:from>
    <xdr:to>
      <xdr:col>11</xdr:col>
      <xdr:colOff>670560</xdr:colOff>
      <xdr:row>15</xdr:row>
      <xdr:rowOff>152400</xdr:rowOff>
    </xdr:to>
    <xdr:sp macro="[0]!DeleteSelectedRowsADDPN" textlink="">
      <xdr:nvSpPr>
        <xdr:cNvPr id="3" name="Rectangle à coins arrondis 7">
          <a:extLst>
            <a:ext uri="{FF2B5EF4-FFF2-40B4-BE49-F238E27FC236}">
              <a16:creationId xmlns:a16="http://schemas.microsoft.com/office/drawing/2014/main" id="{BB5E02E2-AD8A-49E2-8358-3A1C5D8F0156}"/>
            </a:ext>
          </a:extLst>
        </xdr:cNvPr>
        <xdr:cNvSpPr/>
      </xdr:nvSpPr>
      <xdr:spPr bwMode="auto">
        <a:xfrm>
          <a:off x="8252460" y="1661160"/>
          <a:ext cx="3101340" cy="35052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LES LIGNES SELECTIONNEES </a:t>
          </a:r>
        </a:p>
      </xdr:txBody>
    </xdr:sp>
    <xdr:clientData/>
  </xdr:twoCellAnchor>
  <xdr:twoCellAnchor>
    <xdr:from>
      <xdr:col>1</xdr:col>
      <xdr:colOff>1211580</xdr:colOff>
      <xdr:row>0</xdr:row>
      <xdr:rowOff>106680</xdr:rowOff>
    </xdr:from>
    <xdr:to>
      <xdr:col>11</xdr:col>
      <xdr:colOff>480983</xdr:colOff>
      <xdr:row>3</xdr:row>
      <xdr:rowOff>110593</xdr:rowOff>
    </xdr:to>
    <xdr:sp macro="" textlink="">
      <xdr:nvSpPr>
        <xdr:cNvPr id="4" name="Rectangle à coins arrondis 1">
          <a:extLst>
            <a:ext uri="{FF2B5EF4-FFF2-40B4-BE49-F238E27FC236}">
              <a16:creationId xmlns:a16="http://schemas.microsoft.com/office/drawing/2014/main" id="{05CA4C5E-E0E6-47D9-AA1B-26E7F4DEF069}"/>
            </a:ext>
          </a:extLst>
        </xdr:cNvPr>
        <xdr:cNvSpPr/>
      </xdr:nvSpPr>
      <xdr:spPr bwMode="auto">
        <a:xfrm>
          <a:off x="2286000" y="106680"/>
          <a:ext cx="8878223" cy="552553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20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AJOUT PN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590549</xdr:colOff>
      <xdr:row>8</xdr:row>
      <xdr:rowOff>28575</xdr:rowOff>
    </xdr:from>
    <xdr:to>
      <xdr:col>2</xdr:col>
      <xdr:colOff>1923749</xdr:colOff>
      <xdr:row>8</xdr:row>
      <xdr:rowOff>285750</xdr:rowOff>
    </xdr:to>
    <xdr:sp macro="[0]!SelectScDirPnBPCE" textlink="">
      <xdr:nvSpPr>
        <xdr:cNvPr id="3" name="Rectangle à coins arrondis 8">
          <a:extLst>
            <a:ext uri="{FF2B5EF4-FFF2-40B4-BE49-F238E27FC236}">
              <a16:creationId xmlns:a16="http://schemas.microsoft.com/office/drawing/2014/main" id="{6F33A87D-4EFF-45FE-98A8-7C8788A526B2}"/>
            </a:ext>
          </a:extLst>
        </xdr:cNvPr>
        <xdr:cNvSpPr/>
      </xdr:nvSpPr>
      <xdr:spPr bwMode="auto">
        <a:xfrm>
          <a:off x="1352549" y="2733675"/>
          <a:ext cx="2095200" cy="257175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SCENARIOS</a:t>
          </a:r>
        </a:p>
      </xdr:txBody>
    </xdr:sp>
    <xdr:clientData/>
  </xdr:twoCellAnchor>
  <xdr:twoCellAnchor>
    <xdr:from>
      <xdr:col>1</xdr:col>
      <xdr:colOff>590550</xdr:colOff>
      <xdr:row>9</xdr:row>
      <xdr:rowOff>171451</xdr:rowOff>
    </xdr:from>
    <xdr:to>
      <xdr:col>2</xdr:col>
      <xdr:colOff>1924050</xdr:colOff>
      <xdr:row>10</xdr:row>
      <xdr:rowOff>215384</xdr:rowOff>
    </xdr:to>
    <xdr:sp macro="[0]!SelectAjustDirPnBPCE" textlink="">
      <xdr:nvSpPr>
        <xdr:cNvPr id="4" name="Rectangle à coins arrondis 8">
          <a:extLst>
            <a:ext uri="{FF2B5EF4-FFF2-40B4-BE49-F238E27FC236}">
              <a16:creationId xmlns:a16="http://schemas.microsoft.com/office/drawing/2014/main" id="{18A41601-10A9-4F47-829B-6A56A6B2872A}"/>
            </a:ext>
          </a:extLst>
        </xdr:cNvPr>
        <xdr:cNvSpPr/>
      </xdr:nvSpPr>
      <xdr:spPr bwMode="auto">
        <a:xfrm>
          <a:off x="1352550" y="2595034"/>
          <a:ext cx="2095500" cy="255600"/>
        </a:xfrm>
        <a:prstGeom prst="roundRect">
          <a:avLst>
            <a:gd name="adj" fmla="val 48096"/>
          </a:avLst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REPERTOIRE AJUSTEMENT</a:t>
          </a:r>
        </a:p>
      </xdr:txBody>
    </xdr:sp>
    <xdr:clientData/>
  </xdr:twoCellAnchor>
  <xdr:twoCellAnchor>
    <xdr:from>
      <xdr:col>3</xdr:col>
      <xdr:colOff>279927</xdr:colOff>
      <xdr:row>12</xdr:row>
      <xdr:rowOff>73025</xdr:rowOff>
    </xdr:from>
    <xdr:to>
      <xdr:col>4</xdr:col>
      <xdr:colOff>478208</xdr:colOff>
      <xdr:row>14</xdr:row>
      <xdr:rowOff>73625</xdr:rowOff>
    </xdr:to>
    <xdr:sp macro="[0]!AddSCBPCE" textlink="">
      <xdr:nvSpPr>
        <xdr:cNvPr id="5" name="Rectangle à coins arrondis 3">
          <a:extLst>
            <a:ext uri="{FF2B5EF4-FFF2-40B4-BE49-F238E27FC236}">
              <a16:creationId xmlns:a16="http://schemas.microsoft.com/office/drawing/2014/main" id="{FFEAEE47-5017-49AD-A9DA-8D556B0B5CC8}"/>
            </a:ext>
          </a:extLst>
        </xdr:cNvPr>
        <xdr:cNvSpPr/>
      </xdr:nvSpPr>
      <xdr:spPr bwMode="auto">
        <a:xfrm>
          <a:off x="3851802" y="2382838"/>
          <a:ext cx="2520000" cy="38160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4</xdr:col>
      <xdr:colOff>720723</xdr:colOff>
      <xdr:row>12</xdr:row>
      <xdr:rowOff>94454</xdr:rowOff>
    </xdr:from>
    <xdr:to>
      <xdr:col>5</xdr:col>
      <xdr:colOff>1216661</xdr:colOff>
      <xdr:row>14</xdr:row>
      <xdr:rowOff>95054</xdr:rowOff>
    </xdr:to>
    <xdr:sp macro="[0]!DeleteSelectedRowsGlobal" textlink="">
      <xdr:nvSpPr>
        <xdr:cNvPr id="6" name="Rectangle à coins arrondis 10">
          <a:extLst>
            <a:ext uri="{FF2B5EF4-FFF2-40B4-BE49-F238E27FC236}">
              <a16:creationId xmlns:a16="http://schemas.microsoft.com/office/drawing/2014/main" id="{175121A3-95CA-4C2D-840D-E538BD2E8591}"/>
            </a:ext>
          </a:extLst>
        </xdr:cNvPr>
        <xdr:cNvSpPr/>
      </xdr:nvSpPr>
      <xdr:spPr bwMode="auto">
        <a:xfrm>
          <a:off x="6614317" y="2404267"/>
          <a:ext cx="2520000" cy="38160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5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+mn-lt"/>
              <a:ea typeface="+mn-ea"/>
              <a:cs typeface="Calibri" panose="020F0502020204030204" pitchFamily="34" charset="0"/>
            </a:rPr>
            <a:t>SUPPRIMER LIGNES SELECTIONNEES</a:t>
          </a:r>
        </a:p>
      </xdr:txBody>
    </xdr:sp>
    <xdr:clientData/>
  </xdr:twoCellAnchor>
  <xdr:twoCellAnchor>
    <xdr:from>
      <xdr:col>2</xdr:col>
      <xdr:colOff>1643063</xdr:colOff>
      <xdr:row>1</xdr:row>
      <xdr:rowOff>23814</xdr:rowOff>
    </xdr:from>
    <xdr:to>
      <xdr:col>8</xdr:col>
      <xdr:colOff>15409</xdr:colOff>
      <xdr:row>2</xdr:row>
      <xdr:rowOff>173833</xdr:rowOff>
    </xdr:to>
    <xdr:sp macro="" textlink="">
      <xdr:nvSpPr>
        <xdr:cNvPr id="10" name="Rectangle à coins arrondis 10">
          <a:extLst>
            <a:ext uri="{FF2B5EF4-FFF2-40B4-BE49-F238E27FC236}">
              <a16:creationId xmlns:a16="http://schemas.microsoft.com/office/drawing/2014/main" id="{57BA8101-6DD5-4785-A30C-2C74A73412B6}"/>
            </a:ext>
          </a:extLst>
        </xdr:cNvPr>
        <xdr:cNvSpPr/>
      </xdr:nvSpPr>
      <xdr:spPr bwMode="auto">
        <a:xfrm>
          <a:off x="3167063" y="214314"/>
          <a:ext cx="9778534" cy="352425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</a:t>
          </a:r>
          <a:r>
            <a:rPr lang="fr-FR" sz="1600" b="1" i="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GENERATION DES PN BPCE </a:t>
          </a:r>
          <a:endParaRPr kumimoji="0" lang="fr-FR" sz="1600" b="1" i="0" u="none" strike="noStrike" cap="none" normalizeH="0" baseline="0">
            <a:ln>
              <a:noFill/>
            </a:ln>
            <a:solidFill>
              <a:schemeClr val="bg1"/>
            </a:solidFill>
            <a:effectLst/>
            <a:latin typeface="+mn-lt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1136699</xdr:colOff>
      <xdr:row>0</xdr:row>
      <xdr:rowOff>174392</xdr:rowOff>
    </xdr:from>
    <xdr:to>
      <xdr:col>5</xdr:col>
      <xdr:colOff>417421</xdr:colOff>
      <xdr:row>2</xdr:row>
      <xdr:rowOff>157724</xdr:rowOff>
    </xdr:to>
    <xdr:sp macro="" textlink="">
      <xdr:nvSpPr>
        <xdr:cNvPr id="3" name="Rectangle à coins arrondis 10">
          <a:extLst>
            <a:ext uri="{FF2B5EF4-FFF2-40B4-BE49-F238E27FC236}">
              <a16:creationId xmlns:a16="http://schemas.microsoft.com/office/drawing/2014/main" id="{2AA1A8CE-C26B-4DAA-BA4E-CE6768906EDE}"/>
            </a:ext>
          </a:extLst>
        </xdr:cNvPr>
        <xdr:cNvSpPr/>
      </xdr:nvSpPr>
      <xdr:spPr bwMode="auto">
        <a:xfrm>
          <a:off x="1880770" y="174392"/>
          <a:ext cx="10029404" cy="3419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SCENARIO CALCULATEUR: STOCK + PN</a:t>
          </a:r>
        </a:p>
      </xdr:txBody>
    </xdr:sp>
    <xdr:clientData/>
  </xdr:twoCellAnchor>
  <xdr:twoCellAnchor>
    <xdr:from>
      <xdr:col>2</xdr:col>
      <xdr:colOff>180662</xdr:colOff>
      <xdr:row>11</xdr:row>
      <xdr:rowOff>134469</xdr:rowOff>
    </xdr:from>
    <xdr:to>
      <xdr:col>3</xdr:col>
      <xdr:colOff>224118</xdr:colOff>
      <xdr:row>13</xdr:row>
      <xdr:rowOff>135069</xdr:rowOff>
    </xdr:to>
    <xdr:sp macro="[0]!AddModelCalc" textlink="">
      <xdr:nvSpPr>
        <xdr:cNvPr id="11" name="Rectangle à coins arrondis 12">
          <a:extLst>
            <a:ext uri="{FF2B5EF4-FFF2-40B4-BE49-F238E27FC236}">
              <a16:creationId xmlns:a16="http://schemas.microsoft.com/office/drawing/2014/main" id="{33BC0667-BB9F-48E8-8061-B73B3EB5755B}"/>
            </a:ext>
          </a:extLst>
        </xdr:cNvPr>
        <xdr:cNvSpPr/>
      </xdr:nvSpPr>
      <xdr:spPr bwMode="auto">
        <a:xfrm>
          <a:off x="2628027" y="2707340"/>
          <a:ext cx="2679079" cy="359188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3</xdr:col>
      <xdr:colOff>1387287</xdr:colOff>
      <xdr:row>11</xdr:row>
      <xdr:rowOff>130302</xdr:rowOff>
    </xdr:from>
    <xdr:to>
      <xdr:col>4</xdr:col>
      <xdr:colOff>708212</xdr:colOff>
      <xdr:row>13</xdr:row>
      <xdr:rowOff>130902</xdr:rowOff>
    </xdr:to>
    <xdr:sp macro="[0]!DeleteSelectedRowsGlobal" textlink="">
      <xdr:nvSpPr>
        <xdr:cNvPr id="12" name="Rectangle à coins arrondis 7">
          <a:extLst>
            <a:ext uri="{FF2B5EF4-FFF2-40B4-BE49-F238E27FC236}">
              <a16:creationId xmlns:a16="http://schemas.microsoft.com/office/drawing/2014/main" id="{380FB53A-B604-403B-953B-9F4DF2FD9B7F}"/>
            </a:ext>
          </a:extLst>
        </xdr:cNvPr>
        <xdr:cNvSpPr/>
      </xdr:nvSpPr>
      <xdr:spPr bwMode="auto">
        <a:xfrm>
          <a:off x="5699311" y="2855573"/>
          <a:ext cx="2485466" cy="359188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LIGNES SELECTIONNEES 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1136699</xdr:colOff>
      <xdr:row>0</xdr:row>
      <xdr:rowOff>174392</xdr:rowOff>
    </xdr:from>
    <xdr:to>
      <xdr:col>5</xdr:col>
      <xdr:colOff>417421</xdr:colOff>
      <xdr:row>2</xdr:row>
      <xdr:rowOff>157724</xdr:rowOff>
    </xdr:to>
    <xdr:sp macro="" textlink="">
      <xdr:nvSpPr>
        <xdr:cNvPr id="2" name="Rectangle à coins arrondis 10">
          <a:extLst>
            <a:ext uri="{FF2B5EF4-FFF2-40B4-BE49-F238E27FC236}">
              <a16:creationId xmlns:a16="http://schemas.microsoft.com/office/drawing/2014/main" id="{88987B56-4A99-4281-BC63-FA9F23583F98}"/>
            </a:ext>
          </a:extLst>
        </xdr:cNvPr>
        <xdr:cNvSpPr/>
      </xdr:nvSpPr>
      <xdr:spPr bwMode="auto">
        <a:xfrm>
          <a:off x="671879" y="174392"/>
          <a:ext cx="7380782" cy="349092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SCENARIO CALCULATEUR: MODELES</a:t>
          </a:r>
        </a:p>
      </xdr:txBody>
    </xdr:sp>
    <xdr:clientData/>
  </xdr:twoCellAnchor>
  <xdr:twoCellAnchor>
    <xdr:from>
      <xdr:col>2</xdr:col>
      <xdr:colOff>180662</xdr:colOff>
      <xdr:row>12</xdr:row>
      <xdr:rowOff>134469</xdr:rowOff>
    </xdr:from>
    <xdr:to>
      <xdr:col>3</xdr:col>
      <xdr:colOff>224118</xdr:colOff>
      <xdr:row>14</xdr:row>
      <xdr:rowOff>135069</xdr:rowOff>
    </xdr:to>
    <xdr:sp macro="[0]!AddModel" textlink="">
      <xdr:nvSpPr>
        <xdr:cNvPr id="3" name="Rectangle à coins arrondis 12">
          <a:extLst>
            <a:ext uri="{FF2B5EF4-FFF2-40B4-BE49-F238E27FC236}">
              <a16:creationId xmlns:a16="http://schemas.microsoft.com/office/drawing/2014/main" id="{551968A2-4358-41E5-8E77-C1FB87309042}"/>
            </a:ext>
          </a:extLst>
        </xdr:cNvPr>
        <xdr:cNvSpPr/>
      </xdr:nvSpPr>
      <xdr:spPr bwMode="auto">
        <a:xfrm>
          <a:off x="851222" y="2557629"/>
          <a:ext cx="1910356" cy="36636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3</xdr:col>
      <xdr:colOff>1387287</xdr:colOff>
      <xdr:row>12</xdr:row>
      <xdr:rowOff>130302</xdr:rowOff>
    </xdr:from>
    <xdr:to>
      <xdr:col>4</xdr:col>
      <xdr:colOff>708212</xdr:colOff>
      <xdr:row>14</xdr:row>
      <xdr:rowOff>130902</xdr:rowOff>
    </xdr:to>
    <xdr:sp macro="[0]!DeleteSelectedRowsGlobal" textlink="">
      <xdr:nvSpPr>
        <xdr:cNvPr id="4" name="Rectangle à coins arrondis 7">
          <a:extLst>
            <a:ext uri="{FF2B5EF4-FFF2-40B4-BE49-F238E27FC236}">
              <a16:creationId xmlns:a16="http://schemas.microsoft.com/office/drawing/2014/main" id="{5BDE54AC-DF67-4D06-AD2C-152184AA636D}"/>
            </a:ext>
          </a:extLst>
        </xdr:cNvPr>
        <xdr:cNvSpPr/>
      </xdr:nvSpPr>
      <xdr:spPr bwMode="auto">
        <a:xfrm>
          <a:off x="3924747" y="2553462"/>
          <a:ext cx="2483225" cy="36636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LIGNES SELECTIONNEES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487680</xdr:colOff>
      <xdr:row>0</xdr:row>
      <xdr:rowOff>76200</xdr:rowOff>
    </xdr:from>
    <xdr:to>
      <xdr:col>5</xdr:col>
      <xdr:colOff>1289712</xdr:colOff>
      <xdr:row>2</xdr:row>
      <xdr:rowOff>52360</xdr:rowOff>
    </xdr:to>
    <xdr:sp macro="" textlink="">
      <xdr:nvSpPr>
        <xdr:cNvPr id="2" name="Rectangle à coins arrondis 10">
          <a:extLst>
            <a:ext uri="{FF2B5EF4-FFF2-40B4-BE49-F238E27FC236}">
              <a16:creationId xmlns:a16="http://schemas.microsoft.com/office/drawing/2014/main" id="{99D6DA8D-A0E5-40F1-9C91-4D4012890879}"/>
            </a:ext>
          </a:extLst>
        </xdr:cNvPr>
        <xdr:cNvSpPr/>
      </xdr:nvSpPr>
      <xdr:spPr bwMode="auto">
        <a:xfrm>
          <a:off x="487680" y="76200"/>
          <a:ext cx="8406792" cy="341920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</a:pPr>
          <a:r>
            <a:rPr kumimoji="0" lang="fr-FR" sz="1600" b="1" i="0" u="none" strike="noStrike" cap="none" normalizeH="0" baseline="0">
              <a:ln>
                <a:noFill/>
              </a:ln>
              <a:solidFill>
                <a:schemeClr val="bg1"/>
              </a:solidFill>
              <a:effectLst/>
              <a:latin typeface="+mn-lt"/>
            </a:rPr>
            <a:t>PASSALM - SURCOUCHE DAV</a:t>
          </a:r>
        </a:p>
      </xdr:txBody>
    </xdr:sp>
    <xdr:clientData/>
  </xdr:twoCellAnchor>
  <xdr:twoCellAnchor>
    <xdr:from>
      <xdr:col>4</xdr:col>
      <xdr:colOff>350520</xdr:colOff>
      <xdr:row>6</xdr:row>
      <xdr:rowOff>129540</xdr:rowOff>
    </xdr:from>
    <xdr:to>
      <xdr:col>5</xdr:col>
      <xdr:colOff>541019</xdr:colOff>
      <xdr:row>8</xdr:row>
      <xdr:rowOff>152400</xdr:rowOff>
    </xdr:to>
    <xdr:sp macro="[0]!AddSurcouche" textlink="">
      <xdr:nvSpPr>
        <xdr:cNvPr id="3" name="Rectangle à coins arrondis 12">
          <a:extLst>
            <a:ext uri="{FF2B5EF4-FFF2-40B4-BE49-F238E27FC236}">
              <a16:creationId xmlns:a16="http://schemas.microsoft.com/office/drawing/2014/main" id="{76266953-C396-437B-B056-A88DC03D5855}"/>
            </a:ext>
          </a:extLst>
        </xdr:cNvPr>
        <xdr:cNvSpPr/>
      </xdr:nvSpPr>
      <xdr:spPr bwMode="auto">
        <a:xfrm>
          <a:off x="6355080" y="1249680"/>
          <a:ext cx="1592579" cy="388620"/>
        </a:xfrm>
        <a:prstGeom prst="roundRect">
          <a:avLst/>
        </a:prstGeom>
        <a:gradFill rotWithShape="1">
          <a:gsLst>
            <a:gs pos="0">
              <a:srgbClr val="8064A2">
                <a:shade val="51000"/>
                <a:satMod val="130000"/>
              </a:srgbClr>
            </a:gs>
            <a:gs pos="80000">
              <a:srgbClr val="8064A2">
                <a:shade val="93000"/>
                <a:satMod val="130000"/>
              </a:srgbClr>
            </a:gs>
            <a:gs pos="100000">
              <a:srgbClr val="8064A2">
                <a:shade val="94000"/>
                <a:satMod val="135000"/>
              </a:srgbClr>
            </a:gs>
          </a:gsLst>
          <a:lin ang="16200000" scaled="0"/>
        </a:gradFill>
        <a:ln w="9525" cap="flat" cmpd="sng" algn="ctr">
          <a:solidFill>
            <a:srgbClr val="8064A2">
              <a:shade val="95000"/>
              <a:satMod val="105000"/>
            </a:srgbClr>
          </a:solidFill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AJOUTER SCENARIO</a:t>
          </a:r>
        </a:p>
      </xdr:txBody>
    </xdr:sp>
    <xdr:clientData/>
  </xdr:twoCellAnchor>
  <xdr:twoCellAnchor>
    <xdr:from>
      <xdr:col>4</xdr:col>
      <xdr:colOff>327661</xdr:colOff>
      <xdr:row>9</xdr:row>
      <xdr:rowOff>30480</xdr:rowOff>
    </xdr:from>
    <xdr:to>
      <xdr:col>5</xdr:col>
      <xdr:colOff>579120</xdr:colOff>
      <xdr:row>11</xdr:row>
      <xdr:rowOff>45720</xdr:rowOff>
    </xdr:to>
    <xdr:sp macro="[0]!DeleteSelectedRowsGlobal" textlink="">
      <xdr:nvSpPr>
        <xdr:cNvPr id="4" name="Rectangle à coins arrondis 7">
          <a:extLst>
            <a:ext uri="{FF2B5EF4-FFF2-40B4-BE49-F238E27FC236}">
              <a16:creationId xmlns:a16="http://schemas.microsoft.com/office/drawing/2014/main" id="{369D5DDE-BA0D-46B8-B879-36D4AE6F5AF1}"/>
            </a:ext>
          </a:extLst>
        </xdr:cNvPr>
        <xdr:cNvSpPr/>
      </xdr:nvSpPr>
      <xdr:spPr bwMode="auto">
        <a:xfrm>
          <a:off x="6332221" y="1699260"/>
          <a:ext cx="1653539" cy="381000"/>
        </a:xfrm>
        <a:prstGeom prst="roundRect">
          <a:avLst/>
        </a:prstGeom>
        <a:solidFill>
          <a:srgbClr val="F85E62"/>
        </a:solidFill>
        <a:ln w="9525" cap="flat" cmpd="sng" algn="ctr">
          <a:noFill/>
          <a:prstDash val="solid"/>
          <a:headEnd type="none" w="med" len="med"/>
          <a:tailEnd type="none" w="med" len="med"/>
        </a:ln>
        <a:effectLst>
          <a:outerShdw blurRad="40000" dist="23000" dir="5400000" rotWithShape="0">
            <a:srgbClr val="000000">
              <a:alpha val="35000"/>
            </a:srgbClr>
          </a:outerShdw>
        </a:effectLst>
      </xdr:spPr>
      <xdr:txBody>
        <a:bodyPr vertOverflow="clip" horzOverflow="clip" vert="horz" wrap="square" lIns="91440" tIns="45720" rIns="91440" bIns="45720" numCol="1" rtlCol="0" anchor="ctr" anchorCtr="0" compatLnSpc="1">
          <a:prstTxWarp prst="textNoShape">
            <a:avLst/>
          </a:prstTxWarp>
        </a:bodyPr>
        <a:lstStyle/>
        <a:p>
          <a:pPr marL="0" marR="0" lvl="0" indent="0" algn="ctr" defTabSz="914400" rtl="0" eaLnBrk="1" fontAlgn="base" latinLnBrk="0" hangingPunct="1">
            <a:lnSpc>
              <a:spcPct val="100000"/>
            </a:lnSpc>
            <a:spcBef>
              <a:spcPct val="0"/>
            </a:spcBef>
            <a:spcAft>
              <a:spcPct val="0"/>
            </a:spcAft>
            <a:buClrTx/>
            <a:buSzTx/>
            <a:buFontTx/>
            <a:buNone/>
            <a:tabLst/>
            <a:defRPr/>
          </a:pPr>
          <a:r>
            <a:rPr kumimoji="0" lang="fr-FR" sz="10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Calibri" panose="020F0502020204030204" pitchFamily="34" charset="0"/>
            </a:rPr>
            <a:t>SUPPRIMER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OSSAYNE/DRIVE%20KRYPTEROS/BPCE/LIVRAISONS/PASS_ALM/ALIM/ALIM_MODUL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cueil"/>
      <sheetName val="Param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FED38-A5E0-4C44-9394-AB0B187DBEF5}">
  <sheetPr codeName="Feuil6"/>
  <dimension ref="E7:H16"/>
  <sheetViews>
    <sheetView showGridLines="0" workbookViewId="0">
      <selection activeCell="G12" sqref="G12"/>
    </sheetView>
  </sheetViews>
  <sheetFormatPr baseColWidth="10" defaultRowHeight="14.4" x14ac:dyDescent="0.3"/>
  <cols>
    <col min="5" max="8" width="26" customWidth="1"/>
  </cols>
  <sheetData>
    <row r="7" spans="5:8" ht="15" thickBot="1" x14ac:dyDescent="0.35"/>
    <row r="8" spans="5:8" x14ac:dyDescent="0.3">
      <c r="E8" s="31"/>
      <c r="F8" s="21"/>
      <c r="G8" s="21"/>
      <c r="H8" s="22"/>
    </row>
    <row r="9" spans="5:8" x14ac:dyDescent="0.3">
      <c r="E9" s="158"/>
      <c r="H9" s="24"/>
    </row>
    <row r="10" spans="5:8" x14ac:dyDescent="0.3">
      <c r="E10" s="158"/>
      <c r="H10" s="24"/>
    </row>
    <row r="11" spans="5:8" ht="15" thickBot="1" x14ac:dyDescent="0.35">
      <c r="E11" s="158"/>
      <c r="H11" s="24"/>
    </row>
    <row r="12" spans="5:8" ht="15" thickBot="1" x14ac:dyDescent="0.35">
      <c r="E12" s="158"/>
      <c r="F12" s="159" t="s">
        <v>6508</v>
      </c>
      <c r="G12" s="160" t="s">
        <v>409</v>
      </c>
      <c r="H12" s="24"/>
    </row>
    <row r="13" spans="5:8" x14ac:dyDescent="0.3">
      <c r="E13" s="158"/>
      <c r="H13" s="24"/>
    </row>
    <row r="14" spans="5:8" x14ac:dyDescent="0.3">
      <c r="E14" s="158"/>
      <c r="H14" s="24"/>
    </row>
    <row r="15" spans="5:8" x14ac:dyDescent="0.3">
      <c r="E15" s="158"/>
      <c r="H15" s="24"/>
    </row>
    <row r="16" spans="5:8" ht="15" thickBot="1" x14ac:dyDescent="0.35">
      <c r="E16" s="26"/>
      <c r="F16" s="27"/>
      <c r="G16" s="27"/>
      <c r="H16" s="28"/>
    </row>
  </sheetData>
  <dataValidations count="1">
    <dataValidation type="list" allowBlank="1" showInputMessage="1" showErrorMessage="1" sqref="G12" xr:uid="{A0120670-E91C-4FC0-9CAE-B650455EA1C8}">
      <formula1>"ALIM,SCENARIO,MOTEUR"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40BC6-6080-40B6-8972-18980F3AC699}">
  <sheetPr codeName="Feuil15">
    <tabColor rgb="FF7030A0"/>
    <outlinePr summaryBelow="0"/>
  </sheetPr>
  <dimension ref="A2:AB53"/>
  <sheetViews>
    <sheetView zoomScale="80" zoomScaleNormal="80" workbookViewId="0">
      <selection activeCell="C25" sqref="C25:P25"/>
    </sheetView>
  </sheetViews>
  <sheetFormatPr baseColWidth="10" defaultColWidth="11.109375" defaultRowHeight="13.5" customHeight="1" x14ac:dyDescent="0.3"/>
  <cols>
    <col min="1" max="1" width="5.77734375" style="161" customWidth="1"/>
    <col min="2" max="2" width="38.6640625" style="161" customWidth="1"/>
    <col min="3" max="3" width="25" style="161" customWidth="1"/>
    <col min="4" max="4" width="9.109375" style="161" customWidth="1"/>
    <col min="5" max="5" width="28.5546875" style="161" customWidth="1"/>
    <col min="6" max="6" width="20" style="161" customWidth="1"/>
    <col min="7" max="7" width="6.6640625" style="161" customWidth="1"/>
    <col min="8" max="8" width="29.109375" style="161" customWidth="1"/>
    <col min="9" max="9" width="21.33203125" style="161" customWidth="1"/>
    <col min="10" max="11" width="11.109375" style="161" customWidth="1"/>
    <col min="12" max="12" width="19.109375" style="161" customWidth="1"/>
    <col min="13" max="13" width="21.77734375" style="161" customWidth="1"/>
    <col min="14" max="14" width="11" style="161" customWidth="1"/>
    <col min="15" max="15" width="11.109375" style="161" customWidth="1"/>
    <col min="16" max="16" width="23.44140625" style="161" bestFit="1" customWidth="1"/>
    <col min="17" max="17" width="21" style="161" bestFit="1" customWidth="1"/>
    <col min="18" max="18" width="19.5546875" style="161" bestFit="1" customWidth="1"/>
    <col min="19" max="19" width="18.21875" style="161" bestFit="1" customWidth="1"/>
    <col min="20" max="20" width="18.5546875" style="161" bestFit="1" customWidth="1"/>
    <col min="21" max="21" width="18.33203125" style="161" bestFit="1" customWidth="1"/>
    <col min="22" max="22" width="11.109375" style="161" customWidth="1"/>
    <col min="23" max="23" width="18.33203125" style="161" bestFit="1" customWidth="1"/>
    <col min="24" max="24" width="18" style="161" bestFit="1" customWidth="1"/>
    <col min="25" max="25" width="18.77734375" style="161" bestFit="1" customWidth="1"/>
    <col min="26" max="26" width="18.5546875" style="161" bestFit="1" customWidth="1"/>
    <col min="27" max="27" width="19.6640625" style="161" bestFit="1" customWidth="1"/>
    <col min="28" max="28" width="29.6640625" style="161" bestFit="1" customWidth="1"/>
    <col min="29" max="29" width="30.109375" style="161" bestFit="1" customWidth="1"/>
    <col min="30" max="30" width="27.77734375" style="161" bestFit="1" customWidth="1"/>
    <col min="31" max="32" width="29.6640625" style="161" bestFit="1" customWidth="1"/>
    <col min="33" max="34" width="28.77734375" style="161" bestFit="1" customWidth="1"/>
    <col min="35" max="35" width="18.21875" style="161" bestFit="1" customWidth="1"/>
    <col min="36" max="36" width="18.33203125" style="161" bestFit="1" customWidth="1"/>
    <col min="37" max="37" width="18.5546875" style="161" bestFit="1" customWidth="1"/>
    <col min="38" max="38" width="19.33203125" style="161" bestFit="1" customWidth="1"/>
    <col min="39" max="39" width="19.6640625" style="161" bestFit="1" customWidth="1"/>
    <col min="40" max="42" width="19.33203125" style="161" bestFit="1" customWidth="1"/>
    <col min="43" max="43" width="18.77734375" style="161" bestFit="1" customWidth="1"/>
    <col min="44" max="44" width="19.33203125" style="161" bestFit="1" customWidth="1"/>
    <col min="45" max="45" width="18.77734375" style="161" bestFit="1" customWidth="1"/>
    <col min="46" max="46" width="19.6640625" style="161" bestFit="1" customWidth="1"/>
    <col min="47" max="47" width="18.33203125" style="161" bestFit="1" customWidth="1"/>
    <col min="48" max="48" width="19.6640625" style="161" bestFit="1" customWidth="1"/>
    <col min="49" max="49" width="18.33203125" style="161" bestFit="1" customWidth="1"/>
    <col min="50" max="50" width="19.6640625" style="161" bestFit="1" customWidth="1"/>
    <col min="51" max="54" width="19.33203125" style="161" bestFit="1" customWidth="1"/>
    <col min="55" max="55" width="18.21875" style="161" bestFit="1" customWidth="1"/>
    <col min="56" max="56" width="19.33203125" style="161" bestFit="1" customWidth="1"/>
    <col min="57" max="57" width="18.21875" style="161" bestFit="1" customWidth="1"/>
    <col min="58" max="58" width="19.33203125" style="161" bestFit="1" customWidth="1"/>
    <col min="59" max="59" width="18.21875" style="161" bestFit="1" customWidth="1"/>
    <col min="60" max="61" width="19.33203125" style="161" bestFit="1" customWidth="1"/>
    <col min="62" max="62" width="19.6640625" style="161" bestFit="1" customWidth="1"/>
    <col min="63" max="63" width="11.21875" style="161" bestFit="1" customWidth="1"/>
    <col min="64" max="16384" width="11.109375" style="161"/>
  </cols>
  <sheetData>
    <row r="2" spans="1:28" ht="6" customHeight="1" x14ac:dyDescent="0.3"/>
    <row r="7" spans="1:28" s="175" customFormat="1" ht="15" customHeight="1" x14ac:dyDescent="0.3">
      <c r="A7" s="173"/>
      <c r="B7" s="173" t="s">
        <v>6509</v>
      </c>
      <c r="C7" s="173"/>
      <c r="D7" s="173"/>
      <c r="E7" s="173"/>
      <c r="F7" s="173"/>
      <c r="G7" s="173"/>
      <c r="H7" s="173"/>
      <c r="I7" s="173"/>
      <c r="J7" s="173"/>
      <c r="K7" s="173"/>
      <c r="L7" s="173"/>
      <c r="M7" s="173"/>
      <c r="N7" s="173"/>
      <c r="O7" s="173"/>
      <c r="P7" s="173"/>
      <c r="Q7" s="173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</row>
    <row r="9" spans="1:28" ht="18" customHeight="1" x14ac:dyDescent="0.3">
      <c r="B9" s="167" t="s">
        <v>6510</v>
      </c>
      <c r="C9" s="163" t="s">
        <v>434</v>
      </c>
      <c r="D9" s="163"/>
      <c r="E9" s="163"/>
      <c r="F9" s="163"/>
      <c r="G9" s="163"/>
    </row>
    <row r="10" spans="1:28" ht="5.25" customHeight="1" x14ac:dyDescent="0.3">
      <c r="B10" s="164"/>
      <c r="C10" s="164"/>
      <c r="D10" s="164"/>
      <c r="F10" s="165"/>
    </row>
    <row r="11" spans="1:28" ht="18" customHeight="1" x14ac:dyDescent="0.3">
      <c r="B11" s="167" t="s">
        <v>6511</v>
      </c>
      <c r="C11" s="163" t="s">
        <v>6679</v>
      </c>
      <c r="D11" s="163"/>
      <c r="E11" s="163"/>
      <c r="F11" s="163"/>
      <c r="G11" s="163"/>
    </row>
    <row r="12" spans="1:28" ht="5.25" customHeight="1" x14ac:dyDescent="0.3">
      <c r="B12" s="164"/>
      <c r="C12" s="164"/>
      <c r="D12" s="164"/>
      <c r="F12" s="165"/>
    </row>
    <row r="13" spans="1:28" ht="18.600000000000001" customHeight="1" x14ac:dyDescent="0.3">
      <c r="B13" s="167" t="s">
        <v>6512</v>
      </c>
      <c r="C13" s="163" t="s">
        <v>6680</v>
      </c>
      <c r="D13" s="163"/>
      <c r="E13" s="163"/>
      <c r="F13" s="163"/>
      <c r="G13" s="163"/>
    </row>
    <row r="14" spans="1:28" ht="4.2" customHeight="1" x14ac:dyDescent="0.3"/>
    <row r="15" spans="1:28" ht="18.600000000000001" customHeight="1" x14ac:dyDescent="0.3">
      <c r="B15" s="167" t="s">
        <v>6513</v>
      </c>
      <c r="C15" s="163" t="s">
        <v>6681</v>
      </c>
      <c r="D15" s="163"/>
      <c r="E15" s="163"/>
      <c r="F15" s="163"/>
      <c r="G15" s="163"/>
    </row>
    <row r="16" spans="1:28" ht="5.25" customHeight="1" x14ac:dyDescent="0.3">
      <c r="B16" s="164"/>
      <c r="C16" s="164"/>
      <c r="D16" s="164"/>
      <c r="F16" s="165"/>
    </row>
    <row r="17" spans="1:28" ht="18.600000000000001" customHeight="1" x14ac:dyDescent="0.3">
      <c r="B17" s="167" t="s">
        <v>6514</v>
      </c>
      <c r="C17" s="163" t="s">
        <v>6682</v>
      </c>
      <c r="D17" s="163"/>
      <c r="E17" s="163"/>
      <c r="F17" s="163"/>
      <c r="G17" s="163"/>
    </row>
    <row r="18" spans="1:28" ht="4.2" customHeight="1" x14ac:dyDescent="0.3"/>
    <row r="19" spans="1:28" ht="18.600000000000001" customHeight="1" x14ac:dyDescent="0.3">
      <c r="B19" s="167" t="s">
        <v>6515</v>
      </c>
      <c r="C19" s="163" t="s">
        <v>4590</v>
      </c>
      <c r="D19" s="278"/>
      <c r="E19" s="278"/>
      <c r="F19" s="278"/>
      <c r="G19" s="278"/>
    </row>
    <row r="20" spans="1:28" ht="5.25" customHeight="1" x14ac:dyDescent="0.3"/>
    <row r="21" spans="1:28" ht="5.25" customHeight="1" x14ac:dyDescent="0.3"/>
    <row r="22" spans="1:28" ht="9" customHeight="1" x14ac:dyDescent="0.3"/>
    <row r="23" spans="1:28" s="175" customFormat="1" ht="15" customHeight="1" x14ac:dyDescent="0.3">
      <c r="A23" s="173"/>
      <c r="B23" s="173" t="s">
        <v>6516</v>
      </c>
      <c r="C23" s="173"/>
      <c r="D23" s="173"/>
      <c r="E23" s="173"/>
      <c r="F23" s="173"/>
      <c r="G23" s="173"/>
      <c r="H23" s="173"/>
      <c r="I23" s="173"/>
      <c r="J23" s="173"/>
      <c r="K23" s="173"/>
      <c r="L23" s="173"/>
      <c r="M23" s="173"/>
      <c r="N23" s="173"/>
      <c r="O23" s="173"/>
      <c r="P23" s="173"/>
      <c r="Q23" s="173"/>
      <c r="R23" s="174"/>
      <c r="S23" s="174"/>
      <c r="T23" s="174"/>
      <c r="U23" s="174"/>
      <c r="V23" s="174"/>
      <c r="W23" s="174"/>
      <c r="X23" s="174"/>
      <c r="Y23" s="174"/>
      <c r="Z23" s="174"/>
      <c r="AA23" s="174"/>
      <c r="AB23" s="174"/>
    </row>
    <row r="24" spans="1:28" ht="10.5" customHeight="1" x14ac:dyDescent="0.3"/>
    <row r="25" spans="1:28" ht="17.25" customHeight="1" x14ac:dyDescent="0.3">
      <c r="B25" s="172" t="s">
        <v>6517</v>
      </c>
      <c r="C25" s="279" t="s">
        <v>6684</v>
      </c>
      <c r="D25" s="280"/>
      <c r="E25" s="280"/>
      <c r="F25" s="280"/>
      <c r="G25" s="280"/>
      <c r="H25" s="280"/>
      <c r="I25" s="280"/>
      <c r="J25" s="280"/>
      <c r="K25" s="280"/>
      <c r="L25" s="280"/>
      <c r="M25" s="280"/>
      <c r="N25" s="280"/>
      <c r="O25" s="280"/>
      <c r="P25" s="281"/>
    </row>
    <row r="26" spans="1:28" ht="13.5" customHeight="1" x14ac:dyDescent="0.3">
      <c r="B26" s="165"/>
    </row>
    <row r="27" spans="1:28" ht="16.5" customHeight="1" x14ac:dyDescent="0.3">
      <c r="B27" s="172" t="s">
        <v>6518</v>
      </c>
      <c r="C27" s="282"/>
      <c r="D27" s="283"/>
    </row>
    <row r="29" spans="1:28" s="175" customFormat="1" ht="15" customHeight="1" x14ac:dyDescent="0.3">
      <c r="A29" s="173"/>
      <c r="B29" s="173" t="s">
        <v>6519</v>
      </c>
      <c r="C29" s="173"/>
      <c r="D29" s="173"/>
      <c r="E29" s="173"/>
      <c r="F29" s="173"/>
      <c r="G29" s="173"/>
      <c r="H29" s="173"/>
      <c r="I29" s="173"/>
      <c r="J29" s="173"/>
      <c r="K29" s="173"/>
      <c r="L29" s="173"/>
      <c r="M29" s="173"/>
      <c r="N29" s="173"/>
      <c r="O29" s="173"/>
      <c r="P29" s="173"/>
      <c r="Q29" s="173"/>
      <c r="R29" s="174"/>
      <c r="S29" s="174"/>
      <c r="T29" s="174"/>
      <c r="U29" s="174"/>
      <c r="V29" s="174"/>
      <c r="W29" s="174"/>
      <c r="X29" s="174"/>
      <c r="Y29" s="174"/>
      <c r="Z29" s="174"/>
      <c r="AA29" s="174"/>
      <c r="AB29" s="174"/>
    </row>
    <row r="30" spans="1:28" ht="8.25" customHeight="1" x14ac:dyDescent="0.3"/>
    <row r="31" spans="1:28" ht="15.75" customHeight="1" x14ac:dyDescent="0.3">
      <c r="B31" s="172" t="s">
        <v>6520</v>
      </c>
      <c r="C31" s="284">
        <v>45657</v>
      </c>
      <c r="D31" s="285"/>
      <c r="E31" s="168"/>
    </row>
    <row r="32" spans="1:28" ht="9" customHeight="1" x14ac:dyDescent="0.3">
      <c r="C32" s="171"/>
      <c r="D32" s="171"/>
      <c r="E32" s="168"/>
    </row>
    <row r="33" spans="1:28" ht="18.600000000000001" customHeight="1" x14ac:dyDescent="0.3">
      <c r="B33" s="167" t="s">
        <v>6521</v>
      </c>
      <c r="C33" s="284" t="s">
        <v>6690</v>
      </c>
      <c r="D33" s="285"/>
      <c r="E33" s="168"/>
      <c r="F33" s="168"/>
      <c r="G33" s="168"/>
    </row>
    <row r="34" spans="1:28" ht="9" customHeight="1" x14ac:dyDescent="0.3">
      <c r="E34" s="168"/>
    </row>
    <row r="37" spans="1:28" s="175" customFormat="1" ht="15" customHeight="1" x14ac:dyDescent="0.3">
      <c r="A37" s="173"/>
      <c r="B37" s="173" t="s">
        <v>6522</v>
      </c>
      <c r="C37" s="173"/>
      <c r="D37" s="173"/>
      <c r="E37" s="173"/>
      <c r="F37" s="173"/>
      <c r="G37" s="173"/>
      <c r="H37" s="173"/>
      <c r="I37" s="173"/>
      <c r="J37" s="173"/>
      <c r="K37" s="173"/>
      <c r="L37" s="173"/>
      <c r="M37" s="173"/>
      <c r="N37" s="173"/>
      <c r="O37" s="173"/>
      <c r="P37" s="173"/>
      <c r="Q37" s="173"/>
      <c r="R37" s="174"/>
      <c r="S37" s="174"/>
      <c r="T37" s="174"/>
      <c r="U37" s="174"/>
      <c r="V37" s="174"/>
      <c r="W37" s="174"/>
      <c r="X37" s="174"/>
      <c r="Y37" s="174"/>
      <c r="Z37" s="174"/>
      <c r="AA37" s="174"/>
      <c r="AB37" s="174"/>
    </row>
    <row r="39" spans="1:28" ht="18" customHeight="1" x14ac:dyDescent="0.3">
      <c r="B39" s="162" t="s">
        <v>6523</v>
      </c>
      <c r="C39" s="169" t="s">
        <v>308</v>
      </c>
    </row>
    <row r="41" spans="1:28" ht="18.600000000000001" customHeight="1" x14ac:dyDescent="0.3">
      <c r="B41" s="170" t="s">
        <v>6524</v>
      </c>
      <c r="C41" s="169" t="s">
        <v>308</v>
      </c>
    </row>
    <row r="42" spans="1:28" ht="7.8" customHeight="1" x14ac:dyDescent="0.3"/>
    <row r="43" spans="1:28" ht="18.600000000000001" customHeight="1" x14ac:dyDescent="0.3">
      <c r="B43" s="170" t="s">
        <v>1399</v>
      </c>
      <c r="C43" s="169" t="s">
        <v>1401</v>
      </c>
    </row>
    <row r="45" spans="1:28" ht="18.600000000000001" customHeight="1" x14ac:dyDescent="0.3">
      <c r="B45" s="170" t="s">
        <v>6525</v>
      </c>
      <c r="C45" s="169" t="s">
        <v>6526</v>
      </c>
    </row>
    <row r="47" spans="1:28" ht="13.5" customHeight="1" x14ac:dyDescent="0.3">
      <c r="B47" s="170" t="s">
        <v>6527</v>
      </c>
      <c r="C47" s="169">
        <v>3</v>
      </c>
    </row>
    <row r="49" spans="1:28" ht="18.600000000000001" customHeight="1" thickBot="1" x14ac:dyDescent="0.35">
      <c r="B49" s="166" t="s">
        <v>6528</v>
      </c>
      <c r="C49" s="279" t="s">
        <v>6529</v>
      </c>
      <c r="D49" s="280"/>
      <c r="E49" s="280"/>
      <c r="F49" s="280"/>
      <c r="G49" s="280"/>
      <c r="H49" s="280"/>
      <c r="I49" s="280"/>
      <c r="J49" s="280"/>
      <c r="K49" s="280"/>
      <c r="L49" s="280"/>
      <c r="M49" s="280"/>
      <c r="N49" s="280"/>
      <c r="O49" s="280"/>
      <c r="P49" s="281"/>
    </row>
    <row r="51" spans="1:28" s="175" customFormat="1" ht="13.5" customHeight="1" x14ac:dyDescent="0.3">
      <c r="A51" s="173"/>
      <c r="B51" s="173" t="s">
        <v>6530</v>
      </c>
      <c r="C51" s="173"/>
      <c r="D51" s="173"/>
      <c r="E51" s="173"/>
      <c r="F51" s="173"/>
      <c r="G51" s="173"/>
      <c r="H51" s="173"/>
      <c r="I51" s="173"/>
      <c r="J51" s="173"/>
      <c r="K51" s="173"/>
      <c r="L51" s="173"/>
      <c r="M51" s="173"/>
      <c r="N51" s="173"/>
      <c r="O51" s="173"/>
      <c r="P51" s="173"/>
      <c r="Q51" s="173"/>
      <c r="R51" s="174"/>
      <c r="S51" s="174"/>
      <c r="T51" s="174"/>
      <c r="U51" s="174"/>
      <c r="V51" s="174"/>
      <c r="W51" s="174"/>
      <c r="X51" s="174"/>
      <c r="Y51" s="174"/>
      <c r="Z51" s="174"/>
      <c r="AA51" s="174"/>
      <c r="AB51" s="174"/>
    </row>
    <row r="53" spans="1:28" ht="19.8" customHeight="1" x14ac:dyDescent="0.3">
      <c r="B53" s="162" t="s">
        <v>6531</v>
      </c>
      <c r="C53" s="169" t="s">
        <v>6532</v>
      </c>
      <c r="E53" s="162" t="s">
        <v>6533</v>
      </c>
      <c r="F53" s="169" t="s">
        <v>308</v>
      </c>
      <c r="H53" s="162" t="s">
        <v>6534</v>
      </c>
      <c r="I53" s="169" t="s">
        <v>308</v>
      </c>
    </row>
  </sheetData>
  <protectedRanges>
    <protectedRange sqref="C49:P49" name="Plage1_3"/>
  </protectedRanges>
  <mergeCells count="5">
    <mergeCell ref="C25:P25"/>
    <mergeCell ref="C27:D27"/>
    <mergeCell ref="C31:D31"/>
    <mergeCell ref="C33:D33"/>
    <mergeCell ref="C49:P49"/>
  </mergeCells>
  <conditionalFormatting sqref="B53:I53">
    <cfRule type="expression" dxfId="37" priority="3">
      <formula>NOT(OR(OR(ISNUMBER(SEARCH("NTX",$C$9)),ISNUMBER(SEARCH("SEF",$C$9))),ISNUMBER(SEARCH("NPS",$C$9))))</formula>
    </cfRule>
  </conditionalFormatting>
  <conditionalFormatting sqref="A51:XFD51 A53:XFD53">
    <cfRule type="expression" dxfId="36" priority="2">
      <formula>NOT(OR(OR(ISNUMBER(SEARCH("NTX",$C$9)),ISNUMBER(SEARCH("SEF",$C$9))),ISNUMBER(SEARCH("NPS",$C$9))))</formula>
    </cfRule>
  </conditionalFormatting>
  <conditionalFormatting sqref="A49:XFD49 A47:XFD47">
    <cfRule type="expression" dxfId="35" priority="1">
      <formula>$C$45&lt;&gt;"FREQUENCE MENSUELLE"</formula>
    </cfRule>
  </conditionalFormatting>
  <dataValidations count="4">
    <dataValidation type="list" allowBlank="1" showInputMessage="1" showErrorMessage="1" sqref="C47" xr:uid="{F1507FD0-347A-4C6A-AE15-27C3C2752F63}">
      <formula1>"1,2,3"</formula1>
    </dataValidation>
    <dataValidation type="list" allowBlank="1" showInputMessage="1" showErrorMessage="1" sqref="C45" xr:uid="{94011DA7-9CF3-4C97-8B3F-A8C03DC1F772}">
      <formula1>"NORMALE,RUN A BLANC,FREQUENCE MENSUELLE"</formula1>
    </dataValidation>
    <dataValidation type="list" allowBlank="1" showInputMessage="1" showErrorMessage="1" sqref="C43" xr:uid="{79745503-0E49-44DF-9E6C-CA4AEC00F37A}">
      <formula1>"TAB,CSV"</formula1>
    </dataValidation>
    <dataValidation type="list" allowBlank="1" showInputMessage="1" showErrorMessage="1" sqref="F53 I53 C41 C39" xr:uid="{B766DF83-5EA5-4246-BB11-6DA739EDEB6D}">
      <formula1>"NON,OUI"</formula1>
    </dataValidation>
  </dataValidation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C585B-2B72-49BD-AB0B-CACD766BBFD6}">
  <sheetPr codeName="Feuil8">
    <tabColor rgb="FF7030A0"/>
    <outlinePr summaryBelow="0"/>
  </sheetPr>
  <dimension ref="A3:T48"/>
  <sheetViews>
    <sheetView zoomScale="70" zoomScaleNormal="70" workbookViewId="0">
      <selection activeCell="F55" sqref="F55"/>
    </sheetView>
  </sheetViews>
  <sheetFormatPr baseColWidth="10" defaultColWidth="11.44140625" defaultRowHeight="13.8" x14ac:dyDescent="0.25"/>
  <cols>
    <col min="1" max="1" width="14.44140625" style="176" customWidth="1"/>
    <col min="2" max="2" width="10" style="69" customWidth="1"/>
    <col min="3" max="3" width="7" style="69" customWidth="1"/>
    <col min="4" max="4" width="4.5546875" style="183" customWidth="1"/>
    <col min="5" max="5" width="10" style="184" customWidth="1"/>
    <col min="6" max="6" width="23.6640625" style="184" customWidth="1"/>
    <col min="7" max="10" width="10" style="184" customWidth="1"/>
    <col min="11" max="11" width="43.109375" style="184" customWidth="1"/>
    <col min="12" max="12" width="37.88671875" style="184" customWidth="1"/>
    <col min="13" max="13" width="4.88671875" style="184" customWidth="1"/>
    <col min="14" max="14" width="28.44140625" style="184" customWidth="1"/>
    <col min="15" max="15" width="17.5546875" style="184" customWidth="1"/>
    <col min="16" max="16" width="10" style="184" customWidth="1"/>
    <col min="17" max="17" width="11.33203125" style="184" customWidth="1"/>
    <col min="18" max="20" width="8.5546875" style="184" customWidth="1"/>
    <col min="21" max="16384" width="11.44140625" style="184"/>
  </cols>
  <sheetData>
    <row r="3" spans="1:16" s="69" customFormat="1" x14ac:dyDescent="0.3">
      <c r="A3" s="176"/>
    </row>
    <row r="4" spans="1:16" s="69" customFormat="1" x14ac:dyDescent="0.3">
      <c r="A4" s="176"/>
    </row>
    <row r="5" spans="1:16" s="69" customFormat="1" x14ac:dyDescent="0.3">
      <c r="A5" s="176"/>
    </row>
    <row r="6" spans="1:16" s="69" customFormat="1" x14ac:dyDescent="0.3">
      <c r="A6" s="176"/>
    </row>
    <row r="7" spans="1:16" s="69" customFormat="1" x14ac:dyDescent="0.3">
      <c r="A7" s="176"/>
    </row>
    <row r="8" spans="1:16" s="69" customFormat="1" x14ac:dyDescent="0.3">
      <c r="A8" s="176"/>
      <c r="K8" s="177"/>
      <c r="L8" s="177"/>
      <c r="M8" s="177"/>
      <c r="N8" s="177"/>
      <c r="O8" s="177"/>
      <c r="P8" s="177"/>
    </row>
    <row r="9" spans="1:16" s="69" customFormat="1" x14ac:dyDescent="0.3">
      <c r="A9" s="176"/>
      <c r="K9" s="177"/>
      <c r="L9" s="177"/>
      <c r="M9" s="177"/>
      <c r="N9" s="177"/>
      <c r="O9" s="177"/>
      <c r="P9" s="177"/>
    </row>
    <row r="10" spans="1:16" s="180" customFormat="1" ht="31.5" customHeight="1" x14ac:dyDescent="0.3">
      <c r="A10" s="178"/>
      <c r="B10" s="179"/>
      <c r="C10" s="179"/>
      <c r="D10" s="179"/>
      <c r="K10" s="289" t="s">
        <v>6535</v>
      </c>
      <c r="L10" s="289"/>
      <c r="M10" s="289"/>
      <c r="N10" s="289"/>
      <c r="O10" s="289"/>
    </row>
    <row r="11" spans="1:16" s="69" customFormat="1" collapsed="1" x14ac:dyDescent="0.3"/>
    <row r="12" spans="1:16" s="69" customFormat="1" ht="21.75" customHeight="1" x14ac:dyDescent="0.3">
      <c r="A12" s="176"/>
      <c r="K12" s="181" t="s">
        <v>6536</v>
      </c>
      <c r="L12" s="50">
        <v>45565</v>
      </c>
      <c r="N12" s="181" t="s">
        <v>6537</v>
      </c>
      <c r="O12" s="182">
        <v>60</v>
      </c>
    </row>
    <row r="13" spans="1:16" ht="18" customHeight="1" x14ac:dyDescent="0.25">
      <c r="K13" s="185"/>
    </row>
    <row r="14" spans="1:16" ht="20.25" customHeight="1" x14ac:dyDescent="0.25">
      <c r="K14" s="185"/>
    </row>
    <row r="15" spans="1:16" s="188" customFormat="1" ht="30" customHeight="1" x14ac:dyDescent="0.3">
      <c r="A15" s="186"/>
      <c r="B15" s="187"/>
      <c r="C15" s="187"/>
      <c r="D15" s="187"/>
      <c r="K15" s="290" t="s">
        <v>6511</v>
      </c>
      <c r="L15" s="290"/>
      <c r="M15" s="290"/>
      <c r="N15" s="290"/>
      <c r="O15" s="290"/>
    </row>
    <row r="16" spans="1:16" s="69" customFormat="1" collapsed="1" x14ac:dyDescent="0.3"/>
    <row r="17" spans="1:20" s="69" customFormat="1" ht="24" customHeight="1" x14ac:dyDescent="0.3">
      <c r="K17" s="189" t="s">
        <v>6538</v>
      </c>
      <c r="L17" s="291" t="s">
        <v>6673</v>
      </c>
      <c r="M17" s="291"/>
      <c r="N17" s="291"/>
      <c r="O17" s="291"/>
      <c r="P17" s="291"/>
      <c r="Q17" s="291"/>
      <c r="R17" s="291"/>
      <c r="S17" s="291"/>
      <c r="T17" s="291"/>
    </row>
    <row r="18" spans="1:20" ht="9.6" customHeight="1" x14ac:dyDescent="0.25"/>
    <row r="20" spans="1:20" s="192" customFormat="1" ht="30" customHeight="1" x14ac:dyDescent="0.3">
      <c r="A20" s="190"/>
      <c r="B20" s="191"/>
      <c r="C20" s="191"/>
      <c r="D20" s="191"/>
      <c r="K20" s="292" t="s">
        <v>6539</v>
      </c>
      <c r="L20" s="292"/>
      <c r="M20" s="292"/>
      <c r="N20" s="292"/>
      <c r="O20" s="292"/>
    </row>
    <row r="21" spans="1:20" s="69" customFormat="1" collapsed="1" x14ac:dyDescent="0.3"/>
    <row r="22" spans="1:20" s="69" customFormat="1" ht="24" customHeight="1" x14ac:dyDescent="0.3">
      <c r="K22" s="189" t="s">
        <v>6540</v>
      </c>
      <c r="L22" s="291" t="s">
        <v>6674</v>
      </c>
      <c r="M22" s="291"/>
      <c r="N22" s="291"/>
      <c r="O22" s="291"/>
      <c r="P22" s="291"/>
      <c r="Q22" s="291"/>
      <c r="R22" s="291"/>
      <c r="S22" s="291"/>
      <c r="T22" s="291"/>
    </row>
    <row r="24" spans="1:20" x14ac:dyDescent="0.25">
      <c r="D24" s="184"/>
    </row>
    <row r="25" spans="1:20" s="195" customFormat="1" ht="31.5" customHeight="1" x14ac:dyDescent="0.3">
      <c r="A25" s="193"/>
      <c r="B25" s="194"/>
      <c r="C25" s="194"/>
      <c r="D25" s="194"/>
      <c r="K25" s="293" t="s">
        <v>6541</v>
      </c>
      <c r="L25" s="293"/>
      <c r="M25" s="293"/>
      <c r="N25" s="293"/>
      <c r="O25" s="293"/>
    </row>
    <row r="26" spans="1:20" x14ac:dyDescent="0.25">
      <c r="D26" s="184"/>
    </row>
    <row r="27" spans="1:20" ht="25.5" customHeight="1" x14ac:dyDescent="0.25">
      <c r="D27" s="69"/>
      <c r="E27" s="69"/>
      <c r="F27" s="196" t="s">
        <v>6542</v>
      </c>
      <c r="G27" s="286" t="s">
        <v>434</v>
      </c>
      <c r="H27" s="287"/>
      <c r="I27" s="287"/>
      <c r="J27" s="287"/>
      <c r="K27" s="287"/>
      <c r="L27" s="197"/>
      <c r="M27" s="197"/>
      <c r="N27" s="197"/>
      <c r="O27" s="197"/>
      <c r="P27" s="177"/>
      <c r="Q27" s="69"/>
      <c r="R27" s="69"/>
      <c r="S27" s="69"/>
      <c r="T27" s="69"/>
    </row>
    <row r="28" spans="1:20" ht="8.25" customHeight="1" x14ac:dyDescent="0.25">
      <c r="D28" s="69"/>
      <c r="E28" s="69"/>
      <c r="F28" s="198"/>
      <c r="G28" s="199"/>
      <c r="H28" s="197"/>
      <c r="I28" s="197"/>
      <c r="J28" s="198"/>
      <c r="K28" s="197"/>
      <c r="L28" s="197"/>
      <c r="M28" s="197"/>
      <c r="N28" s="197"/>
      <c r="O28" s="197"/>
      <c r="P28" s="177"/>
      <c r="Q28" s="69"/>
      <c r="R28" s="69"/>
      <c r="S28" s="69"/>
      <c r="T28" s="69"/>
    </row>
    <row r="29" spans="1:20" ht="25.5" customHeight="1" x14ac:dyDescent="0.25">
      <c r="A29" s="200"/>
      <c r="B29" s="184"/>
      <c r="D29" s="184"/>
      <c r="E29" s="69"/>
      <c r="F29" s="201" t="s">
        <v>6543</v>
      </c>
      <c r="G29" s="288" t="s">
        <v>6678</v>
      </c>
      <c r="H29" s="288"/>
      <c r="I29" s="288"/>
      <c r="J29" s="288"/>
      <c r="K29" s="288"/>
      <c r="L29" s="288"/>
      <c r="M29" s="288"/>
      <c r="N29" s="288"/>
      <c r="O29" s="288"/>
      <c r="P29" s="177"/>
      <c r="Q29" s="69"/>
      <c r="R29" s="69"/>
      <c r="S29" s="69"/>
      <c r="T29" s="69"/>
    </row>
    <row r="30" spans="1:20" ht="6" customHeight="1" x14ac:dyDescent="0.25">
      <c r="D30" s="184"/>
      <c r="F30" s="202"/>
      <c r="G30" s="202"/>
      <c r="H30" s="202"/>
      <c r="I30" s="202"/>
      <c r="J30" s="202"/>
      <c r="K30" s="202"/>
      <c r="L30" s="202"/>
      <c r="M30" s="202"/>
      <c r="N30" s="202"/>
      <c r="O30" s="202"/>
    </row>
    <row r="31" spans="1:20" x14ac:dyDescent="0.25">
      <c r="D31" s="184"/>
    </row>
    <row r="32" spans="1:20" x14ac:dyDescent="0.25">
      <c r="A32" s="69"/>
      <c r="D32" s="184"/>
    </row>
    <row r="33" spans="1:6" x14ac:dyDescent="0.25">
      <c r="A33" s="69"/>
    </row>
    <row r="34" spans="1:6" x14ac:dyDescent="0.25">
      <c r="A34" s="69"/>
    </row>
    <row r="35" spans="1:6" x14ac:dyDescent="0.25">
      <c r="A35" s="69"/>
    </row>
    <row r="36" spans="1:6" x14ac:dyDescent="0.25">
      <c r="A36" s="69"/>
    </row>
    <row r="37" spans="1:6" x14ac:dyDescent="0.25">
      <c r="A37" s="69"/>
    </row>
    <row r="38" spans="1:6" x14ac:dyDescent="0.25">
      <c r="A38" s="69"/>
    </row>
    <row r="39" spans="1:6" x14ac:dyDescent="0.25">
      <c r="A39" s="69"/>
    </row>
    <row r="40" spans="1:6" x14ac:dyDescent="0.25">
      <c r="A40" s="69"/>
    </row>
    <row r="41" spans="1:6" x14ac:dyDescent="0.25">
      <c r="A41" s="69"/>
    </row>
    <row r="42" spans="1:6" x14ac:dyDescent="0.25">
      <c r="A42" s="69"/>
      <c r="F42" s="184" t="s">
        <v>406</v>
      </c>
    </row>
    <row r="43" spans="1:6" x14ac:dyDescent="0.25">
      <c r="A43" s="69"/>
      <c r="F43" s="184" t="s">
        <v>6544</v>
      </c>
    </row>
    <row r="44" spans="1:6" x14ac:dyDescent="0.25">
      <c r="A44" s="69"/>
    </row>
    <row r="45" spans="1:6" x14ac:dyDescent="0.25">
      <c r="A45" s="69"/>
    </row>
    <row r="46" spans="1:6" x14ac:dyDescent="0.25">
      <c r="A46" s="69"/>
    </row>
    <row r="47" spans="1:6" x14ac:dyDescent="0.25">
      <c r="A47" s="69"/>
    </row>
    <row r="48" spans="1:6" x14ac:dyDescent="0.25">
      <c r="A48" s="69"/>
    </row>
  </sheetData>
  <mergeCells count="8">
    <mergeCell ref="G27:K27"/>
    <mergeCell ref="G29:O29"/>
    <mergeCell ref="K10:O10"/>
    <mergeCell ref="K15:O15"/>
    <mergeCell ref="L17:T17"/>
    <mergeCell ref="K20:O20"/>
    <mergeCell ref="L22:T22"/>
    <mergeCell ref="K25:O25"/>
  </mergeCells>
  <conditionalFormatting sqref="A26:XFD26 A27:G27 L27:XFD27 A28:XFD32">
    <cfRule type="expression" dxfId="34" priority="1">
      <formula>#REF!="NON"</formula>
    </cfRule>
  </conditionalFormatting>
  <dataValidations count="2">
    <dataValidation type="date" allowBlank="1" showInputMessage="1" showErrorMessage="1" sqref="L12" xr:uid="{C70F4343-7FC3-4C49-BC24-0EF35CE6163B}">
      <formula1>1</formula1>
      <formula2>256036</formula2>
    </dataValidation>
    <dataValidation type="whole" allowBlank="1" showInputMessage="1" showErrorMessage="1" sqref="O12" xr:uid="{7A4C5AC1-745F-4B18-917A-9B59A15BFAE4}">
      <formula1>2</formula1>
      <formula2>360</formula2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AE871B-3A28-4445-8D7D-1808F9DB0078}">
  <sheetPr codeName="Feuil13">
    <tabColor rgb="FF745995"/>
  </sheetPr>
  <dimension ref="A2:V75"/>
  <sheetViews>
    <sheetView showGridLines="0" zoomScale="80" zoomScaleNormal="80" workbookViewId="0">
      <selection activeCell="X16" sqref="X16"/>
    </sheetView>
  </sheetViews>
  <sheetFormatPr baseColWidth="10" defaultColWidth="10.88671875" defaultRowHeight="14.4" x14ac:dyDescent="0.3"/>
  <cols>
    <col min="2" max="2" width="18.33203125" customWidth="1"/>
    <col min="3" max="3" width="9.5546875" bestFit="1" customWidth="1"/>
    <col min="4" max="4" width="11.21875" customWidth="1"/>
    <col min="5" max="5" width="19.33203125" customWidth="1"/>
    <col min="7" max="7" width="16.5546875" customWidth="1"/>
    <col min="8" max="8" width="12" customWidth="1"/>
    <col min="12" max="12" width="9.33203125" customWidth="1"/>
    <col min="13" max="13" width="6.21875" customWidth="1"/>
    <col min="14" max="14" width="8.109375" customWidth="1"/>
    <col min="16" max="16" width="16.5546875" customWidth="1"/>
    <col min="17" max="17" width="12.77734375" customWidth="1"/>
    <col min="21" max="21" width="9.33203125" customWidth="1"/>
    <col min="22" max="22" width="10.88671875" customWidth="1"/>
  </cols>
  <sheetData>
    <row r="2" spans="1:21" x14ac:dyDescent="0.3">
      <c r="A2" t="s">
        <v>307</v>
      </c>
    </row>
    <row r="3" spans="1:21" s="204" customFormat="1" ht="27.75" customHeight="1" x14ac:dyDescent="0.3">
      <c r="B3" s="203" t="s">
        <v>6545</v>
      </c>
      <c r="C3" s="203"/>
      <c r="D3" s="203"/>
      <c r="E3" s="203"/>
      <c r="F3" s="203"/>
      <c r="G3" s="297" t="s">
        <v>6546</v>
      </c>
      <c r="H3" s="297"/>
      <c r="I3" s="297"/>
      <c r="J3" s="297"/>
      <c r="K3" s="297"/>
      <c r="L3" s="297"/>
      <c r="M3" s="297"/>
      <c r="N3" s="297"/>
      <c r="O3" s="297"/>
      <c r="P3" s="297"/>
      <c r="Q3" s="297"/>
    </row>
    <row r="4" spans="1:21" ht="15" thickBot="1" x14ac:dyDescent="0.35">
      <c r="F4" s="205"/>
      <c r="G4" s="205"/>
      <c r="H4" s="205"/>
      <c r="O4" s="205"/>
      <c r="P4" s="205"/>
      <c r="Q4" s="205"/>
    </row>
    <row r="5" spans="1:21" ht="19.5" customHeight="1" thickBot="1" x14ac:dyDescent="0.35">
      <c r="E5" s="206"/>
      <c r="F5" s="207"/>
      <c r="G5" s="207"/>
      <c r="H5" s="207"/>
      <c r="I5" s="206"/>
      <c r="J5" s="206"/>
      <c r="K5" s="206"/>
      <c r="L5" s="206"/>
      <c r="M5" s="206"/>
      <c r="N5" s="206"/>
      <c r="O5" s="207"/>
      <c r="P5" s="298" t="s">
        <v>6547</v>
      </c>
      <c r="Q5" s="299"/>
      <c r="R5" s="208" t="s">
        <v>1539</v>
      </c>
      <c r="S5" s="206"/>
      <c r="T5" s="206"/>
      <c r="U5" s="206"/>
    </row>
    <row r="6" spans="1:21" ht="30.75" customHeight="1" thickBot="1" x14ac:dyDescent="0.35">
      <c r="B6" s="209" t="s">
        <v>6548</v>
      </c>
      <c r="C6" s="210" t="s">
        <v>6549</v>
      </c>
      <c r="E6" s="206"/>
      <c r="F6" s="211" t="s">
        <v>339</v>
      </c>
      <c r="G6" s="211" t="s">
        <v>6550</v>
      </c>
      <c r="H6" s="211" t="s">
        <v>6551</v>
      </c>
      <c r="I6" s="212" t="s">
        <v>6552</v>
      </c>
      <c r="J6" s="212" t="s">
        <v>269</v>
      </c>
      <c r="K6" s="212" t="s">
        <v>6553</v>
      </c>
      <c r="L6" s="211" t="s">
        <v>6549</v>
      </c>
      <c r="N6" s="206"/>
      <c r="O6" s="210" t="s">
        <v>339</v>
      </c>
      <c r="P6" s="210" t="s">
        <v>6550</v>
      </c>
      <c r="Q6" s="210" t="s">
        <v>6551</v>
      </c>
      <c r="R6" s="209" t="s">
        <v>6552</v>
      </c>
      <c r="S6" s="209" t="s">
        <v>269</v>
      </c>
      <c r="T6" s="209" t="s">
        <v>6553</v>
      </c>
      <c r="U6" s="210" t="s">
        <v>6549</v>
      </c>
    </row>
    <row r="7" spans="1:21" ht="17.25" customHeight="1" x14ac:dyDescent="0.3">
      <c r="B7" s="213" t="s">
        <v>1484</v>
      </c>
      <c r="C7" s="214" t="s">
        <v>307</v>
      </c>
      <c r="E7" s="300" t="s">
        <v>6554</v>
      </c>
      <c r="F7" s="215" t="s">
        <v>6555</v>
      </c>
      <c r="G7" s="216" t="s">
        <v>6556</v>
      </c>
      <c r="H7" s="217" t="s">
        <v>6557</v>
      </c>
      <c r="I7" s="217" t="s">
        <v>290</v>
      </c>
      <c r="J7" s="217" t="s">
        <v>290</v>
      </c>
      <c r="K7" s="217" t="s">
        <v>290</v>
      </c>
      <c r="L7" s="218" t="s">
        <v>307</v>
      </c>
      <c r="N7" s="303" t="s">
        <v>6558</v>
      </c>
      <c r="O7" s="219" t="s">
        <v>6555</v>
      </c>
      <c r="P7" s="220" t="s">
        <v>6559</v>
      </c>
      <c r="Q7" s="220" t="s">
        <v>6557</v>
      </c>
      <c r="R7" s="221" t="s">
        <v>290</v>
      </c>
      <c r="S7" s="221" t="s">
        <v>290</v>
      </c>
      <c r="T7" s="222"/>
      <c r="U7" s="218" t="s">
        <v>307</v>
      </c>
    </row>
    <row r="8" spans="1:21" ht="14.4" customHeight="1" x14ac:dyDescent="0.3">
      <c r="B8" s="223" t="s">
        <v>1397</v>
      </c>
      <c r="C8" s="224" t="s">
        <v>307</v>
      </c>
      <c r="E8" s="301"/>
      <c r="F8" s="225" t="s">
        <v>6555</v>
      </c>
      <c r="G8" s="226" t="s">
        <v>6560</v>
      </c>
      <c r="H8" s="227" t="s">
        <v>6557</v>
      </c>
      <c r="I8" s="207" t="s">
        <v>290</v>
      </c>
      <c r="J8" s="207" t="s">
        <v>290</v>
      </c>
      <c r="K8" s="207" t="s">
        <v>290</v>
      </c>
      <c r="L8" s="228" t="s">
        <v>307</v>
      </c>
      <c r="N8" s="304"/>
      <c r="O8" s="229" t="s">
        <v>6555</v>
      </c>
      <c r="P8" s="207" t="s">
        <v>6561</v>
      </c>
      <c r="Q8" s="207" t="s">
        <v>4589</v>
      </c>
      <c r="R8" s="230">
        <v>0</v>
      </c>
      <c r="S8" s="230">
        <v>0</v>
      </c>
      <c r="T8" s="231" t="s">
        <v>1506</v>
      </c>
      <c r="U8" s="228" t="s">
        <v>308</v>
      </c>
    </row>
    <row r="9" spans="1:21" ht="14.4" customHeight="1" x14ac:dyDescent="0.3">
      <c r="B9" s="223" t="s">
        <v>6562</v>
      </c>
      <c r="C9" s="224" t="s">
        <v>307</v>
      </c>
      <c r="E9" s="301"/>
      <c r="F9" s="225" t="s">
        <v>6555</v>
      </c>
      <c r="G9" s="226" t="s">
        <v>6563</v>
      </c>
      <c r="H9" s="227" t="s">
        <v>6557</v>
      </c>
      <c r="I9" s="207" t="s">
        <v>290</v>
      </c>
      <c r="J9" s="207" t="s">
        <v>290</v>
      </c>
      <c r="K9" s="207" t="s">
        <v>290</v>
      </c>
      <c r="L9" s="228" t="s">
        <v>307</v>
      </c>
      <c r="N9" s="304"/>
      <c r="O9" s="229" t="s">
        <v>6555</v>
      </c>
      <c r="P9" s="207" t="s">
        <v>6564</v>
      </c>
      <c r="Q9" s="207" t="s">
        <v>4589</v>
      </c>
      <c r="R9" s="230">
        <v>0</v>
      </c>
      <c r="S9" s="230">
        <v>0</v>
      </c>
      <c r="T9" s="231" t="s">
        <v>1506</v>
      </c>
      <c r="U9" s="228" t="s">
        <v>307</v>
      </c>
    </row>
    <row r="10" spans="1:21" ht="14.4" customHeight="1" x14ac:dyDescent="0.3">
      <c r="B10" s="223" t="s">
        <v>6565</v>
      </c>
      <c r="C10" s="224" t="s">
        <v>307</v>
      </c>
      <c r="E10" s="301"/>
      <c r="F10" s="232" t="s">
        <v>6555</v>
      </c>
      <c r="G10" s="233" t="s">
        <v>6566</v>
      </c>
      <c r="H10" s="207" t="s">
        <v>4589</v>
      </c>
      <c r="I10" s="230">
        <v>0</v>
      </c>
      <c r="J10" s="230">
        <v>60</v>
      </c>
      <c r="K10" s="231" t="s">
        <v>1507</v>
      </c>
      <c r="L10" s="228" t="s">
        <v>308</v>
      </c>
      <c r="N10" s="304"/>
      <c r="O10" s="229" t="s">
        <v>6555</v>
      </c>
      <c r="P10" s="207" t="s">
        <v>6567</v>
      </c>
      <c r="Q10" s="207" t="s">
        <v>4589</v>
      </c>
      <c r="R10" s="230">
        <v>0</v>
      </c>
      <c r="S10" s="230">
        <v>0</v>
      </c>
      <c r="T10" s="231" t="s">
        <v>1506</v>
      </c>
      <c r="U10" s="228" t="s">
        <v>308</v>
      </c>
    </row>
    <row r="11" spans="1:21" ht="14.4" customHeight="1" x14ac:dyDescent="0.3">
      <c r="B11" s="223" t="s">
        <v>6568</v>
      </c>
      <c r="C11" s="224" t="s">
        <v>307</v>
      </c>
      <c r="E11" s="301"/>
      <c r="F11" s="232" t="s">
        <v>6555</v>
      </c>
      <c r="G11" s="233" t="s">
        <v>6569</v>
      </c>
      <c r="H11" s="207" t="s">
        <v>4589</v>
      </c>
      <c r="I11" s="230">
        <v>0</v>
      </c>
      <c r="J11" s="230">
        <v>60</v>
      </c>
      <c r="K11" s="231" t="s">
        <v>1506</v>
      </c>
      <c r="L11" s="228" t="s">
        <v>308</v>
      </c>
      <c r="N11" s="304"/>
      <c r="O11" s="229" t="s">
        <v>6555</v>
      </c>
      <c r="P11" s="207" t="s">
        <v>6570</v>
      </c>
      <c r="Q11" s="207" t="s">
        <v>4589</v>
      </c>
      <c r="R11" s="230">
        <v>0</v>
      </c>
      <c r="S11" s="230">
        <v>0</v>
      </c>
      <c r="T11" s="231" t="s">
        <v>1506</v>
      </c>
      <c r="U11" s="228" t="s">
        <v>308</v>
      </c>
    </row>
    <row r="12" spans="1:21" ht="14.4" customHeight="1" x14ac:dyDescent="0.3">
      <c r="B12" s="223" t="s">
        <v>309</v>
      </c>
      <c r="C12" s="224" t="s">
        <v>307</v>
      </c>
      <c r="E12" s="301"/>
      <c r="F12" s="232" t="s">
        <v>6555</v>
      </c>
      <c r="G12" s="233" t="s">
        <v>6571</v>
      </c>
      <c r="H12" s="207" t="s">
        <v>4589</v>
      </c>
      <c r="I12" s="230">
        <v>0</v>
      </c>
      <c r="J12" s="230">
        <v>10</v>
      </c>
      <c r="K12" s="231" t="s">
        <v>1507</v>
      </c>
      <c r="L12" s="228" t="s">
        <v>308</v>
      </c>
      <c r="N12" s="304"/>
      <c r="O12" s="229" t="s">
        <v>6555</v>
      </c>
      <c r="P12" s="207" t="s">
        <v>6572</v>
      </c>
      <c r="Q12" s="207" t="s">
        <v>4589</v>
      </c>
      <c r="R12" s="230">
        <v>0</v>
      </c>
      <c r="S12" s="230">
        <v>0</v>
      </c>
      <c r="T12" s="231" t="s">
        <v>1506</v>
      </c>
      <c r="U12" s="228" t="s">
        <v>308</v>
      </c>
    </row>
    <row r="13" spans="1:21" ht="14.4" customHeight="1" x14ac:dyDescent="0.3">
      <c r="B13" s="223" t="s">
        <v>6573</v>
      </c>
      <c r="C13" s="228" t="s">
        <v>308</v>
      </c>
      <c r="E13" s="301"/>
      <c r="F13" s="232" t="s">
        <v>6555</v>
      </c>
      <c r="G13" s="233" t="s">
        <v>6574</v>
      </c>
      <c r="H13" s="207" t="s">
        <v>4589</v>
      </c>
      <c r="I13" s="230">
        <v>0</v>
      </c>
      <c r="J13" s="230">
        <v>10</v>
      </c>
      <c r="K13" s="231" t="s">
        <v>1507</v>
      </c>
      <c r="L13" s="228" t="s">
        <v>308</v>
      </c>
      <c r="N13" s="304"/>
      <c r="O13" s="229" t="s">
        <v>6555</v>
      </c>
      <c r="P13" s="207" t="s">
        <v>6575</v>
      </c>
      <c r="Q13" s="207" t="s">
        <v>4589</v>
      </c>
      <c r="R13" s="230">
        <v>0</v>
      </c>
      <c r="S13" s="230">
        <v>3</v>
      </c>
      <c r="T13" s="231" t="s">
        <v>1506</v>
      </c>
      <c r="U13" s="228" t="s">
        <v>308</v>
      </c>
    </row>
    <row r="14" spans="1:21" ht="14.4" customHeight="1" x14ac:dyDescent="0.3">
      <c r="B14" s="223" t="s">
        <v>6576</v>
      </c>
      <c r="C14" s="228" t="s">
        <v>308</v>
      </c>
      <c r="E14" s="301"/>
      <c r="F14" s="232" t="s">
        <v>6555</v>
      </c>
      <c r="G14" s="233" t="s">
        <v>6577</v>
      </c>
      <c r="H14" s="207" t="s">
        <v>4589</v>
      </c>
      <c r="I14" s="230">
        <v>0</v>
      </c>
      <c r="J14" s="230">
        <v>60</v>
      </c>
      <c r="K14" s="231" t="s">
        <v>1504</v>
      </c>
      <c r="L14" s="228" t="s">
        <v>308</v>
      </c>
      <c r="N14" s="304"/>
      <c r="O14" s="229" t="s">
        <v>6555</v>
      </c>
      <c r="P14" s="207" t="s">
        <v>6578</v>
      </c>
      <c r="Q14" s="207" t="s">
        <v>4589</v>
      </c>
      <c r="R14" s="230">
        <v>0</v>
      </c>
      <c r="S14" s="230">
        <v>3</v>
      </c>
      <c r="T14" s="231" t="s">
        <v>1506</v>
      </c>
      <c r="U14" s="228" t="s">
        <v>308</v>
      </c>
    </row>
    <row r="15" spans="1:21" ht="14.4" customHeight="1" x14ac:dyDescent="0.3">
      <c r="B15" s="223" t="s">
        <v>6579</v>
      </c>
      <c r="C15" s="228" t="s">
        <v>308</v>
      </c>
      <c r="E15" s="301"/>
      <c r="F15" s="232" t="s">
        <v>6555</v>
      </c>
      <c r="G15" s="233" t="s">
        <v>6580</v>
      </c>
      <c r="H15" s="207" t="s">
        <v>4589</v>
      </c>
      <c r="I15" s="230">
        <v>0</v>
      </c>
      <c r="J15" s="230">
        <v>60</v>
      </c>
      <c r="K15" s="231" t="s">
        <v>1504</v>
      </c>
      <c r="L15" s="228" t="s">
        <v>308</v>
      </c>
      <c r="N15" s="304"/>
      <c r="O15" s="229" t="s">
        <v>6555</v>
      </c>
      <c r="P15" s="207" t="s">
        <v>6581</v>
      </c>
      <c r="Q15" s="207" t="s">
        <v>4589</v>
      </c>
      <c r="R15" s="230">
        <v>0</v>
      </c>
      <c r="S15" s="230">
        <v>3</v>
      </c>
      <c r="T15" s="231" t="s">
        <v>1506</v>
      </c>
      <c r="U15" s="228" t="s">
        <v>308</v>
      </c>
    </row>
    <row r="16" spans="1:21" ht="14.4" customHeight="1" x14ac:dyDescent="0.3">
      <c r="B16" s="223" t="s">
        <v>6582</v>
      </c>
      <c r="C16" s="228" t="s">
        <v>308</v>
      </c>
      <c r="E16" s="301"/>
      <c r="F16" s="232" t="s">
        <v>6555</v>
      </c>
      <c r="G16" s="233" t="s">
        <v>6583</v>
      </c>
      <c r="H16" s="207" t="s">
        <v>4589</v>
      </c>
      <c r="I16" s="230">
        <v>0</v>
      </c>
      <c r="J16" s="230">
        <v>60</v>
      </c>
      <c r="K16" s="231" t="s">
        <v>1506</v>
      </c>
      <c r="L16" s="228" t="s">
        <v>308</v>
      </c>
      <c r="N16" s="304"/>
      <c r="O16" s="229" t="s">
        <v>6555</v>
      </c>
      <c r="P16" s="207" t="s">
        <v>6584</v>
      </c>
      <c r="Q16" s="207" t="s">
        <v>4589</v>
      </c>
      <c r="R16" s="230">
        <v>0</v>
      </c>
      <c r="S16" s="230">
        <v>0</v>
      </c>
      <c r="T16" s="231" t="s">
        <v>1506</v>
      </c>
      <c r="U16" s="228" t="s">
        <v>308</v>
      </c>
    </row>
    <row r="17" spans="2:22" ht="14.4" customHeight="1" thickBot="1" x14ac:dyDescent="0.35">
      <c r="B17" s="223" t="s">
        <v>283</v>
      </c>
      <c r="C17" s="224" t="s">
        <v>307</v>
      </c>
      <c r="E17" s="301"/>
      <c r="F17" s="234" t="s">
        <v>6555</v>
      </c>
      <c r="G17" s="235" t="s">
        <v>6585</v>
      </c>
      <c r="H17" s="236" t="s">
        <v>4589</v>
      </c>
      <c r="I17" s="237">
        <v>0</v>
      </c>
      <c r="J17" s="237">
        <v>60</v>
      </c>
      <c r="K17" s="238" t="s">
        <v>1504</v>
      </c>
      <c r="L17" s="239" t="s">
        <v>308</v>
      </c>
      <c r="N17" s="304"/>
      <c r="O17" s="229" t="s">
        <v>6555</v>
      </c>
      <c r="P17" s="207" t="s">
        <v>6586</v>
      </c>
      <c r="Q17" s="207" t="s">
        <v>6557</v>
      </c>
      <c r="R17" s="230" t="s">
        <v>290</v>
      </c>
      <c r="S17" s="230" t="s">
        <v>290</v>
      </c>
      <c r="T17" s="231" t="s">
        <v>290</v>
      </c>
      <c r="U17" s="228" t="s">
        <v>308</v>
      </c>
    </row>
    <row r="18" spans="2:22" ht="14.4" customHeight="1" x14ac:dyDescent="0.3">
      <c r="B18" s="223" t="s">
        <v>1485</v>
      </c>
      <c r="C18" s="224" t="s">
        <v>307</v>
      </c>
      <c r="E18" s="301"/>
      <c r="F18" s="240" t="s">
        <v>6587</v>
      </c>
      <c r="G18" s="241" t="s">
        <v>6556</v>
      </c>
      <c r="H18" s="220" t="s">
        <v>6557</v>
      </c>
      <c r="I18" s="220" t="s">
        <v>290</v>
      </c>
      <c r="J18" s="220" t="s">
        <v>290</v>
      </c>
      <c r="K18" s="217" t="s">
        <v>290</v>
      </c>
      <c r="L18" s="218" t="s">
        <v>307</v>
      </c>
      <c r="N18" s="304"/>
      <c r="O18" s="242" t="s">
        <v>6587</v>
      </c>
      <c r="P18" s="220" t="s">
        <v>6559</v>
      </c>
      <c r="Q18" s="220" t="s">
        <v>6557</v>
      </c>
      <c r="R18" s="221" t="s">
        <v>290</v>
      </c>
      <c r="S18" s="221" t="s">
        <v>290</v>
      </c>
      <c r="T18" s="222"/>
      <c r="U18" s="218" t="s">
        <v>308</v>
      </c>
    </row>
    <row r="19" spans="2:22" ht="15" customHeight="1" x14ac:dyDescent="0.3">
      <c r="B19" s="223" t="s">
        <v>265</v>
      </c>
      <c r="C19" s="224" t="s">
        <v>307</v>
      </c>
      <c r="E19" s="301"/>
      <c r="F19" s="243" t="s">
        <v>6587</v>
      </c>
      <c r="G19" s="233" t="s">
        <v>6560</v>
      </c>
      <c r="H19" s="207" t="s">
        <v>6557</v>
      </c>
      <c r="I19" s="207" t="s">
        <v>290</v>
      </c>
      <c r="J19" s="207" t="s">
        <v>290</v>
      </c>
      <c r="K19" s="207" t="s">
        <v>290</v>
      </c>
      <c r="L19" s="228" t="s">
        <v>307</v>
      </c>
      <c r="N19" s="304"/>
      <c r="O19" s="244" t="s">
        <v>6587</v>
      </c>
      <c r="P19" s="207" t="s">
        <v>6561</v>
      </c>
      <c r="Q19" s="207" t="s">
        <v>4589</v>
      </c>
      <c r="R19" s="230">
        <v>0</v>
      </c>
      <c r="S19" s="230">
        <v>3</v>
      </c>
      <c r="T19" s="231" t="s">
        <v>1506</v>
      </c>
      <c r="U19" s="228" t="s">
        <v>308</v>
      </c>
    </row>
    <row r="20" spans="2:22" ht="14.4" customHeight="1" x14ac:dyDescent="0.3">
      <c r="B20" s="223" t="s">
        <v>282</v>
      </c>
      <c r="C20" s="224" t="s">
        <v>307</v>
      </c>
      <c r="E20" s="301"/>
      <c r="F20" s="243" t="s">
        <v>6587</v>
      </c>
      <c r="G20" s="233" t="s">
        <v>6588</v>
      </c>
      <c r="H20" s="207" t="s">
        <v>6557</v>
      </c>
      <c r="I20" s="207" t="s">
        <v>290</v>
      </c>
      <c r="J20" s="207" t="s">
        <v>290</v>
      </c>
      <c r="K20" s="207" t="s">
        <v>290</v>
      </c>
      <c r="L20" s="228" t="s">
        <v>308</v>
      </c>
      <c r="N20" s="304"/>
      <c r="O20" s="244" t="s">
        <v>6587</v>
      </c>
      <c r="P20" s="207" t="s">
        <v>6564</v>
      </c>
      <c r="Q20" s="207" t="s">
        <v>4589</v>
      </c>
      <c r="R20" s="230">
        <v>0</v>
      </c>
      <c r="S20" s="230">
        <v>3</v>
      </c>
      <c r="T20" s="231" t="s">
        <v>1506</v>
      </c>
      <c r="U20" s="228" t="s">
        <v>308</v>
      </c>
      <c r="V20" s="4" t="s">
        <v>6589</v>
      </c>
    </row>
    <row r="21" spans="2:22" ht="14.4" customHeight="1" x14ac:dyDescent="0.3">
      <c r="B21" s="223" t="s">
        <v>6590</v>
      </c>
      <c r="C21" s="228" t="s">
        <v>308</v>
      </c>
      <c r="E21" s="301"/>
      <c r="F21" s="243" t="s">
        <v>6587</v>
      </c>
      <c r="G21" s="233" t="s">
        <v>6591</v>
      </c>
      <c r="H21" s="207" t="s">
        <v>6557</v>
      </c>
      <c r="I21" s="207" t="s">
        <v>290</v>
      </c>
      <c r="J21" s="207" t="s">
        <v>290</v>
      </c>
      <c r="K21" s="207" t="s">
        <v>290</v>
      </c>
      <c r="L21" s="228" t="s">
        <v>308</v>
      </c>
      <c r="N21" s="304"/>
      <c r="O21" s="244" t="s">
        <v>6587</v>
      </c>
      <c r="P21" s="207" t="s">
        <v>6567</v>
      </c>
      <c r="Q21" s="207" t="s">
        <v>4589</v>
      </c>
      <c r="R21" s="230">
        <v>0</v>
      </c>
      <c r="S21" s="230">
        <v>3</v>
      </c>
      <c r="T21" s="231" t="s">
        <v>1506</v>
      </c>
      <c r="U21" s="228" t="s">
        <v>308</v>
      </c>
    </row>
    <row r="22" spans="2:22" ht="14.4" customHeight="1" x14ac:dyDescent="0.3">
      <c r="B22" s="223" t="s">
        <v>1239</v>
      </c>
      <c r="C22" s="224" t="s">
        <v>307</v>
      </c>
      <c r="E22" s="301"/>
      <c r="F22" s="243" t="s">
        <v>6587</v>
      </c>
      <c r="G22" s="233" t="s">
        <v>6563</v>
      </c>
      <c r="H22" s="207" t="s">
        <v>6557</v>
      </c>
      <c r="I22" s="207" t="s">
        <v>290</v>
      </c>
      <c r="J22" s="207" t="s">
        <v>290</v>
      </c>
      <c r="K22" s="207" t="s">
        <v>290</v>
      </c>
      <c r="L22" s="228" t="s">
        <v>307</v>
      </c>
      <c r="N22" s="304"/>
      <c r="O22" s="244" t="s">
        <v>6587</v>
      </c>
      <c r="P22" s="207" t="s">
        <v>6570</v>
      </c>
      <c r="Q22" s="207" t="s">
        <v>4589</v>
      </c>
      <c r="R22" s="230">
        <v>0</v>
      </c>
      <c r="S22" s="230">
        <v>3</v>
      </c>
      <c r="T22" s="231" t="s">
        <v>1506</v>
      </c>
      <c r="U22" s="228" t="s">
        <v>308</v>
      </c>
    </row>
    <row r="23" spans="2:22" ht="14.4" customHeight="1" x14ac:dyDescent="0.3">
      <c r="B23" s="223" t="s">
        <v>1486</v>
      </c>
      <c r="C23" s="224" t="s">
        <v>307</v>
      </c>
      <c r="E23" s="301"/>
      <c r="F23" s="243" t="s">
        <v>6587</v>
      </c>
      <c r="G23" s="233" t="s">
        <v>6592</v>
      </c>
      <c r="H23" s="207" t="s">
        <v>6557</v>
      </c>
      <c r="I23" s="207" t="s">
        <v>290</v>
      </c>
      <c r="J23" s="207" t="s">
        <v>290</v>
      </c>
      <c r="K23" s="207" t="s">
        <v>290</v>
      </c>
      <c r="L23" s="228" t="s">
        <v>307</v>
      </c>
      <c r="N23" s="304"/>
      <c r="O23" s="244" t="s">
        <v>6587</v>
      </c>
      <c r="P23" s="207" t="s">
        <v>6572</v>
      </c>
      <c r="Q23" s="207" t="s">
        <v>4589</v>
      </c>
      <c r="R23" s="230">
        <v>0</v>
      </c>
      <c r="S23" s="230">
        <v>3</v>
      </c>
      <c r="T23" s="231" t="s">
        <v>1506</v>
      </c>
      <c r="U23" s="228" t="s">
        <v>308</v>
      </c>
    </row>
    <row r="24" spans="2:22" ht="14.4" customHeight="1" x14ac:dyDescent="0.3">
      <c r="B24" s="223" t="s">
        <v>1487</v>
      </c>
      <c r="C24" s="224" t="s">
        <v>307</v>
      </c>
      <c r="E24" s="301"/>
      <c r="F24" s="243" t="s">
        <v>6587</v>
      </c>
      <c r="G24" s="233" t="s">
        <v>6593</v>
      </c>
      <c r="H24" s="207" t="s">
        <v>6557</v>
      </c>
      <c r="I24" s="207" t="s">
        <v>290</v>
      </c>
      <c r="J24" s="207" t="s">
        <v>290</v>
      </c>
      <c r="K24" s="207" t="s">
        <v>290</v>
      </c>
      <c r="L24" s="228" t="s">
        <v>307</v>
      </c>
      <c r="N24" s="304"/>
      <c r="O24" s="244" t="s">
        <v>6587</v>
      </c>
      <c r="P24" s="207" t="s">
        <v>6575</v>
      </c>
      <c r="Q24" s="207" t="s">
        <v>4589</v>
      </c>
      <c r="R24" s="230">
        <v>0</v>
      </c>
      <c r="S24" s="230">
        <v>3</v>
      </c>
      <c r="T24" s="231" t="s">
        <v>1506</v>
      </c>
      <c r="U24" s="228" t="s">
        <v>308</v>
      </c>
    </row>
    <row r="25" spans="2:22" ht="14.4" customHeight="1" x14ac:dyDescent="0.3">
      <c r="B25" s="223" t="s">
        <v>1488</v>
      </c>
      <c r="C25" s="224" t="s">
        <v>307</v>
      </c>
      <c r="E25" s="301"/>
      <c r="F25" s="243" t="s">
        <v>6587</v>
      </c>
      <c r="G25" s="233" t="s">
        <v>6566</v>
      </c>
      <c r="H25" s="207" t="s">
        <v>4589</v>
      </c>
      <c r="I25" s="230">
        <v>4</v>
      </c>
      <c r="J25" s="230">
        <v>60</v>
      </c>
      <c r="K25" s="231" t="s">
        <v>1506</v>
      </c>
      <c r="L25" s="228" t="s">
        <v>308</v>
      </c>
      <c r="N25" s="304"/>
      <c r="O25" s="244" t="s">
        <v>6587</v>
      </c>
      <c r="P25" s="207" t="s">
        <v>6578</v>
      </c>
      <c r="Q25" s="207" t="s">
        <v>4589</v>
      </c>
      <c r="R25" s="230">
        <v>0</v>
      </c>
      <c r="S25" s="230">
        <v>3</v>
      </c>
      <c r="T25" s="231" t="s">
        <v>1506</v>
      </c>
      <c r="U25" s="228" t="s">
        <v>308</v>
      </c>
    </row>
    <row r="26" spans="2:22" ht="14.4" customHeight="1" x14ac:dyDescent="0.3">
      <c r="B26" s="223" t="s">
        <v>1489</v>
      </c>
      <c r="C26" s="224" t="s">
        <v>307</v>
      </c>
      <c r="E26" s="301"/>
      <c r="F26" s="243" t="s">
        <v>6587</v>
      </c>
      <c r="G26" s="233" t="s">
        <v>6569</v>
      </c>
      <c r="H26" s="207" t="s">
        <v>4589</v>
      </c>
      <c r="I26" s="230">
        <v>0</v>
      </c>
      <c r="J26" s="230">
        <v>60</v>
      </c>
      <c r="K26" s="231" t="s">
        <v>1506</v>
      </c>
      <c r="L26" s="228" t="s">
        <v>308</v>
      </c>
      <c r="N26" s="304"/>
      <c r="O26" s="244" t="s">
        <v>6587</v>
      </c>
      <c r="P26" s="207" t="s">
        <v>6581</v>
      </c>
      <c r="Q26" s="207" t="s">
        <v>4589</v>
      </c>
      <c r="R26" s="230">
        <v>0</v>
      </c>
      <c r="S26" s="230">
        <v>3</v>
      </c>
      <c r="T26" s="231" t="s">
        <v>1506</v>
      </c>
      <c r="U26" s="228" t="s">
        <v>308</v>
      </c>
    </row>
    <row r="27" spans="2:22" ht="14.4" customHeight="1" x14ac:dyDescent="0.3">
      <c r="B27" s="223" t="s">
        <v>379</v>
      </c>
      <c r="C27" s="224" t="s">
        <v>307</v>
      </c>
      <c r="E27" s="301"/>
      <c r="F27" s="243" t="s">
        <v>6587</v>
      </c>
      <c r="G27" s="233" t="s">
        <v>6571</v>
      </c>
      <c r="H27" s="207" t="s">
        <v>4589</v>
      </c>
      <c r="I27" s="230">
        <v>0</v>
      </c>
      <c r="J27" s="230">
        <v>10</v>
      </c>
      <c r="K27" s="231" t="s">
        <v>1507</v>
      </c>
      <c r="L27" s="228" t="s">
        <v>308</v>
      </c>
      <c r="N27" s="304"/>
      <c r="O27" s="244" t="s">
        <v>6587</v>
      </c>
      <c r="P27" s="207" t="s">
        <v>6584</v>
      </c>
      <c r="Q27" s="207" t="s">
        <v>4589</v>
      </c>
      <c r="R27" s="230">
        <v>0</v>
      </c>
      <c r="S27" s="230">
        <v>3</v>
      </c>
      <c r="T27" s="231" t="s">
        <v>1506</v>
      </c>
      <c r="U27" s="228" t="s">
        <v>308</v>
      </c>
    </row>
    <row r="28" spans="2:22" ht="14.4" customHeight="1" x14ac:dyDescent="0.3">
      <c r="B28" s="223" t="s">
        <v>6594</v>
      </c>
      <c r="C28" s="245" t="s">
        <v>308</v>
      </c>
      <c r="E28" s="301"/>
      <c r="F28" s="243" t="s">
        <v>6587</v>
      </c>
      <c r="G28" s="233" t="s">
        <v>6574</v>
      </c>
      <c r="H28" s="207" t="s">
        <v>4589</v>
      </c>
      <c r="I28" s="230">
        <v>0</v>
      </c>
      <c r="J28" s="230">
        <v>60</v>
      </c>
      <c r="K28" s="231" t="s">
        <v>1506</v>
      </c>
      <c r="L28" s="228" t="s">
        <v>308</v>
      </c>
      <c r="N28" s="304"/>
      <c r="O28" s="244" t="s">
        <v>6587</v>
      </c>
      <c r="P28" s="207" t="s">
        <v>6586</v>
      </c>
      <c r="Q28" s="207" t="s">
        <v>4589</v>
      </c>
      <c r="R28" s="230">
        <v>0</v>
      </c>
      <c r="S28" s="230">
        <v>3</v>
      </c>
      <c r="T28" s="231" t="s">
        <v>1506</v>
      </c>
      <c r="U28" s="228" t="s">
        <v>308</v>
      </c>
    </row>
    <row r="29" spans="2:22" ht="14.4" customHeight="1" x14ac:dyDescent="0.3">
      <c r="B29" s="223" t="s">
        <v>6595</v>
      </c>
      <c r="C29" s="245" t="s">
        <v>308</v>
      </c>
      <c r="E29" s="301"/>
      <c r="F29" s="243" t="s">
        <v>6587</v>
      </c>
      <c r="G29" s="233" t="s">
        <v>6577</v>
      </c>
      <c r="H29" s="207" t="s">
        <v>4589</v>
      </c>
      <c r="I29" s="230">
        <v>0</v>
      </c>
      <c r="J29" s="230">
        <v>60</v>
      </c>
      <c r="K29" s="231" t="s">
        <v>1506</v>
      </c>
      <c r="L29" s="228" t="s">
        <v>308</v>
      </c>
      <c r="N29" s="304"/>
      <c r="O29" s="244" t="s">
        <v>6587</v>
      </c>
      <c r="P29" s="207" t="s">
        <v>6596</v>
      </c>
      <c r="Q29" s="207" t="s">
        <v>4589</v>
      </c>
      <c r="R29" s="230">
        <v>0</v>
      </c>
      <c r="S29" s="230">
        <v>3</v>
      </c>
      <c r="T29" s="231" t="s">
        <v>1506</v>
      </c>
      <c r="U29" s="228" t="s">
        <v>308</v>
      </c>
    </row>
    <row r="30" spans="2:22" ht="14.4" customHeight="1" x14ac:dyDescent="0.3">
      <c r="B30" s="223" t="s">
        <v>6597</v>
      </c>
      <c r="C30" s="245" t="s">
        <v>308</v>
      </c>
      <c r="E30" s="301"/>
      <c r="F30" s="243" t="s">
        <v>6587</v>
      </c>
      <c r="G30" s="233" t="s">
        <v>6580</v>
      </c>
      <c r="H30" s="207" t="s">
        <v>4589</v>
      </c>
      <c r="I30" s="230">
        <v>0</v>
      </c>
      <c r="J30" s="230">
        <v>60</v>
      </c>
      <c r="K30" s="231" t="s">
        <v>1504</v>
      </c>
      <c r="L30" s="228" t="s">
        <v>308</v>
      </c>
      <c r="N30" s="304"/>
      <c r="O30" s="244" t="s">
        <v>6587</v>
      </c>
      <c r="P30" s="207" t="s">
        <v>6598</v>
      </c>
      <c r="Q30" s="207" t="s">
        <v>4589</v>
      </c>
      <c r="R30" s="230">
        <v>0</v>
      </c>
      <c r="S30" s="230">
        <v>3</v>
      </c>
      <c r="T30" s="231" t="s">
        <v>1506</v>
      </c>
      <c r="U30" s="228" t="s">
        <v>308</v>
      </c>
    </row>
    <row r="31" spans="2:22" ht="14.4" customHeight="1" x14ac:dyDescent="0.3">
      <c r="B31" s="223" t="s">
        <v>6599</v>
      </c>
      <c r="C31" s="245" t="s">
        <v>308</v>
      </c>
      <c r="E31" s="301"/>
      <c r="F31" s="243" t="s">
        <v>6587</v>
      </c>
      <c r="G31" s="233" t="s">
        <v>6583</v>
      </c>
      <c r="H31" s="207" t="s">
        <v>4589</v>
      </c>
      <c r="I31" s="230">
        <v>0</v>
      </c>
      <c r="J31" s="230">
        <v>60</v>
      </c>
      <c r="K31" s="231" t="s">
        <v>1506</v>
      </c>
      <c r="L31" s="228" t="s">
        <v>308</v>
      </c>
      <c r="N31" s="304"/>
      <c r="O31" s="244" t="s">
        <v>6587</v>
      </c>
      <c r="P31" s="207" t="s">
        <v>6600</v>
      </c>
      <c r="Q31" s="207" t="s">
        <v>4589</v>
      </c>
      <c r="R31" s="230">
        <v>0</v>
      </c>
      <c r="S31" s="230">
        <v>3</v>
      </c>
      <c r="T31" s="231" t="s">
        <v>1506</v>
      </c>
      <c r="U31" s="228" t="s">
        <v>308</v>
      </c>
    </row>
    <row r="32" spans="2:22" ht="14.4" customHeight="1" thickBot="1" x14ac:dyDescent="0.35">
      <c r="B32" s="223" t="s">
        <v>6601</v>
      </c>
      <c r="C32" s="245" t="s">
        <v>308</v>
      </c>
      <c r="E32" s="302"/>
      <c r="F32" s="243" t="s">
        <v>6587</v>
      </c>
      <c r="G32" s="233" t="s">
        <v>6585</v>
      </c>
      <c r="H32" s="207" t="s">
        <v>4589</v>
      </c>
      <c r="I32" s="230">
        <v>0</v>
      </c>
      <c r="J32" s="230">
        <v>60</v>
      </c>
      <c r="K32" s="231" t="s">
        <v>1504</v>
      </c>
      <c r="L32" s="228" t="s">
        <v>308</v>
      </c>
      <c r="N32" s="304"/>
      <c r="O32" s="244" t="s">
        <v>6587</v>
      </c>
      <c r="P32" s="207" t="s">
        <v>6602</v>
      </c>
      <c r="Q32" s="207" t="s">
        <v>4589</v>
      </c>
      <c r="R32" s="230">
        <v>0</v>
      </c>
      <c r="S32" s="230">
        <v>3</v>
      </c>
      <c r="T32" s="231" t="s">
        <v>1506</v>
      </c>
      <c r="U32" s="228" t="s">
        <v>308</v>
      </c>
    </row>
    <row r="33" spans="2:21" ht="14.4" customHeight="1" thickBot="1" x14ac:dyDescent="0.35">
      <c r="B33" s="223" t="s">
        <v>6603</v>
      </c>
      <c r="C33" s="245" t="s">
        <v>308</v>
      </c>
      <c r="E33" s="294" t="s">
        <v>6604</v>
      </c>
      <c r="F33" s="246" t="s">
        <v>6555</v>
      </c>
      <c r="G33" s="241" t="s">
        <v>6605</v>
      </c>
      <c r="H33" s="220" t="s">
        <v>290</v>
      </c>
      <c r="I33" s="221">
        <v>0</v>
      </c>
      <c r="J33" s="221">
        <v>1</v>
      </c>
      <c r="K33" s="222" t="s">
        <v>290</v>
      </c>
      <c r="L33" s="218" t="s">
        <v>308</v>
      </c>
      <c r="N33" s="305"/>
      <c r="O33" s="247" t="s">
        <v>6587</v>
      </c>
      <c r="P33" s="236" t="s">
        <v>6606</v>
      </c>
      <c r="Q33" s="236" t="s">
        <v>4589</v>
      </c>
      <c r="R33" s="237">
        <v>0</v>
      </c>
      <c r="S33" s="237">
        <v>3</v>
      </c>
      <c r="T33" s="238" t="s">
        <v>1506</v>
      </c>
      <c r="U33" s="239" t="s">
        <v>308</v>
      </c>
    </row>
    <row r="34" spans="2:21" ht="14.4" customHeight="1" x14ac:dyDescent="0.3">
      <c r="B34" s="223" t="s">
        <v>6607</v>
      </c>
      <c r="C34" s="245" t="s">
        <v>308</v>
      </c>
      <c r="E34" s="295"/>
      <c r="F34" s="232" t="s">
        <v>6555</v>
      </c>
      <c r="G34" s="233" t="s">
        <v>6605</v>
      </c>
      <c r="H34" s="207" t="s">
        <v>290</v>
      </c>
      <c r="I34" s="230">
        <v>0</v>
      </c>
      <c r="J34" s="230">
        <v>6</v>
      </c>
      <c r="K34" s="231" t="s">
        <v>290</v>
      </c>
      <c r="L34" s="228" t="s">
        <v>308</v>
      </c>
    </row>
    <row r="35" spans="2:21" ht="14.4" customHeight="1" x14ac:dyDescent="0.3">
      <c r="B35" s="223" t="s">
        <v>6608</v>
      </c>
      <c r="C35" s="245" t="s">
        <v>308</v>
      </c>
      <c r="E35" s="295"/>
      <c r="F35" s="232" t="s">
        <v>6555</v>
      </c>
      <c r="G35" s="233" t="s">
        <v>6605</v>
      </c>
      <c r="H35" s="207" t="s">
        <v>290</v>
      </c>
      <c r="I35" s="230">
        <v>6</v>
      </c>
      <c r="J35" s="230">
        <v>12</v>
      </c>
      <c r="K35" s="231" t="s">
        <v>290</v>
      </c>
      <c r="L35" s="228" t="s">
        <v>308</v>
      </c>
    </row>
    <row r="36" spans="2:21" ht="14.4" customHeight="1" x14ac:dyDescent="0.3">
      <c r="B36" s="223" t="s">
        <v>6609</v>
      </c>
      <c r="C36" s="245" t="s">
        <v>308</v>
      </c>
      <c r="E36" s="295"/>
      <c r="F36" s="232" t="s">
        <v>6555</v>
      </c>
      <c r="G36" s="233" t="s">
        <v>6605</v>
      </c>
      <c r="H36" s="207" t="s">
        <v>290</v>
      </c>
      <c r="I36" s="207">
        <v>12</v>
      </c>
      <c r="J36" s="207" t="s">
        <v>6610</v>
      </c>
      <c r="K36" s="207" t="s">
        <v>290</v>
      </c>
      <c r="L36" s="228" t="s">
        <v>308</v>
      </c>
      <c r="N36" s="248"/>
    </row>
    <row r="37" spans="2:21" ht="14.4" customHeight="1" x14ac:dyDescent="0.3">
      <c r="B37" s="223" t="s">
        <v>6611</v>
      </c>
      <c r="C37" s="245" t="s">
        <v>308</v>
      </c>
      <c r="E37" s="295"/>
      <c r="F37" s="232" t="s">
        <v>6555</v>
      </c>
      <c r="G37" s="233" t="s">
        <v>6612</v>
      </c>
      <c r="H37" s="207" t="s">
        <v>6557</v>
      </c>
      <c r="I37" s="207" t="s">
        <v>290</v>
      </c>
      <c r="J37" s="207" t="s">
        <v>290</v>
      </c>
      <c r="K37" s="207" t="s">
        <v>290</v>
      </c>
      <c r="L37" s="228" t="s">
        <v>308</v>
      </c>
    </row>
    <row r="38" spans="2:21" ht="14.4" customHeight="1" x14ac:dyDescent="0.3">
      <c r="B38" s="223" t="s">
        <v>6613</v>
      </c>
      <c r="C38" s="224" t="s">
        <v>308</v>
      </c>
      <c r="E38" s="295"/>
      <c r="F38" s="232" t="s">
        <v>6555</v>
      </c>
      <c r="G38" s="233" t="s">
        <v>6614</v>
      </c>
      <c r="H38" s="207" t="s">
        <v>6557</v>
      </c>
      <c r="I38" s="207" t="s">
        <v>290</v>
      </c>
      <c r="J38" s="207" t="s">
        <v>290</v>
      </c>
      <c r="K38" s="207" t="s">
        <v>290</v>
      </c>
      <c r="L38" s="228" t="s">
        <v>308</v>
      </c>
    </row>
    <row r="39" spans="2:21" ht="14.4" customHeight="1" x14ac:dyDescent="0.3">
      <c r="B39" s="223" t="s">
        <v>1066</v>
      </c>
      <c r="C39" s="228" t="s">
        <v>308</v>
      </c>
      <c r="E39" s="295"/>
      <c r="F39" s="232" t="s">
        <v>6555</v>
      </c>
      <c r="G39" s="233" t="s">
        <v>6615</v>
      </c>
      <c r="H39" s="207" t="s">
        <v>6557</v>
      </c>
      <c r="I39" s="207" t="s">
        <v>290</v>
      </c>
      <c r="J39" s="207" t="s">
        <v>290</v>
      </c>
      <c r="K39" s="207" t="s">
        <v>290</v>
      </c>
      <c r="L39" s="228" t="s">
        <v>308</v>
      </c>
    </row>
    <row r="40" spans="2:21" ht="15" customHeight="1" x14ac:dyDescent="0.3">
      <c r="B40" s="223" t="s">
        <v>637</v>
      </c>
      <c r="C40" s="228" t="s">
        <v>308</v>
      </c>
      <c r="E40" s="295"/>
      <c r="F40" s="232" t="s">
        <v>6555</v>
      </c>
      <c r="G40" s="233" t="s">
        <v>6616</v>
      </c>
      <c r="H40" s="207" t="s">
        <v>6557</v>
      </c>
      <c r="I40" s="207" t="s">
        <v>290</v>
      </c>
      <c r="J40" s="207" t="s">
        <v>290</v>
      </c>
      <c r="K40" s="207" t="s">
        <v>290</v>
      </c>
      <c r="L40" s="228" t="s">
        <v>308</v>
      </c>
    </row>
    <row r="41" spans="2:21" ht="14.4" customHeight="1" x14ac:dyDescent="0.3">
      <c r="B41" s="223" t="s">
        <v>1229</v>
      </c>
      <c r="C41" s="228" t="s">
        <v>308</v>
      </c>
      <c r="E41" s="295"/>
      <c r="F41" s="232" t="s">
        <v>6555</v>
      </c>
      <c r="G41" s="233" t="s">
        <v>6617</v>
      </c>
      <c r="H41" s="207" t="s">
        <v>6557</v>
      </c>
      <c r="I41" s="207" t="s">
        <v>290</v>
      </c>
      <c r="J41" s="207" t="s">
        <v>290</v>
      </c>
      <c r="K41" s="207" t="s">
        <v>290</v>
      </c>
      <c r="L41" s="228" t="s">
        <v>308</v>
      </c>
    </row>
    <row r="42" spans="2:21" ht="14.4" customHeight="1" x14ac:dyDescent="0.3">
      <c r="B42" s="223" t="s">
        <v>1231</v>
      </c>
      <c r="C42" s="228" t="s">
        <v>308</v>
      </c>
      <c r="E42" s="295"/>
      <c r="F42" s="232" t="s">
        <v>6555</v>
      </c>
      <c r="G42" s="233" t="s">
        <v>6618</v>
      </c>
      <c r="H42" s="207" t="s">
        <v>6557</v>
      </c>
      <c r="I42" s="207" t="s">
        <v>290</v>
      </c>
      <c r="J42" s="207" t="s">
        <v>290</v>
      </c>
      <c r="K42" s="207" t="s">
        <v>290</v>
      </c>
      <c r="L42" s="228" t="s">
        <v>308</v>
      </c>
    </row>
    <row r="43" spans="2:21" ht="14.4" customHeight="1" x14ac:dyDescent="0.3">
      <c r="B43" s="223" t="s">
        <v>1490</v>
      </c>
      <c r="C43" s="224" t="s">
        <v>307</v>
      </c>
      <c r="E43" s="295"/>
      <c r="F43" s="232" t="s">
        <v>6555</v>
      </c>
      <c r="G43" s="233" t="s">
        <v>386</v>
      </c>
      <c r="H43" s="207" t="s">
        <v>6557</v>
      </c>
      <c r="I43" s="207" t="s">
        <v>290</v>
      </c>
      <c r="J43" s="207" t="s">
        <v>290</v>
      </c>
      <c r="K43" s="207" t="s">
        <v>290</v>
      </c>
      <c r="L43" s="228" t="s">
        <v>308</v>
      </c>
    </row>
    <row r="44" spans="2:21" ht="14.4" customHeight="1" x14ac:dyDescent="0.3">
      <c r="B44" s="223" t="s">
        <v>1491</v>
      </c>
      <c r="C44" s="228" t="s">
        <v>308</v>
      </c>
      <c r="E44" s="295"/>
      <c r="F44" s="232" t="s">
        <v>6555</v>
      </c>
      <c r="G44" s="233" t="s">
        <v>6619</v>
      </c>
      <c r="H44" s="207" t="s">
        <v>6557</v>
      </c>
      <c r="I44" s="207" t="s">
        <v>290</v>
      </c>
      <c r="J44" s="207" t="s">
        <v>290</v>
      </c>
      <c r="K44" s="207" t="s">
        <v>290</v>
      </c>
      <c r="L44" s="228" t="s">
        <v>308</v>
      </c>
    </row>
    <row r="45" spans="2:21" ht="14.4" customHeight="1" thickBot="1" x14ac:dyDescent="0.35">
      <c r="B45" s="223" t="s">
        <v>6620</v>
      </c>
      <c r="C45" s="224" t="s">
        <v>307</v>
      </c>
      <c r="E45" s="295"/>
      <c r="F45" s="234" t="s">
        <v>6555</v>
      </c>
      <c r="G45" s="235" t="s">
        <v>6621</v>
      </c>
      <c r="H45" s="236" t="s">
        <v>6557</v>
      </c>
      <c r="I45" s="236" t="s">
        <v>290</v>
      </c>
      <c r="J45" s="236" t="s">
        <v>290</v>
      </c>
      <c r="K45" s="236" t="s">
        <v>290</v>
      </c>
      <c r="L45" s="239" t="s">
        <v>308</v>
      </c>
    </row>
    <row r="46" spans="2:21" ht="14.4" customHeight="1" x14ac:dyDescent="0.3">
      <c r="B46" s="223" t="s">
        <v>6622</v>
      </c>
      <c r="C46" s="224" t="s">
        <v>307</v>
      </c>
      <c r="E46" s="295"/>
      <c r="F46" s="240" t="s">
        <v>6587</v>
      </c>
      <c r="G46" s="241" t="s">
        <v>6605</v>
      </c>
      <c r="H46" s="220" t="s">
        <v>6557</v>
      </c>
      <c r="I46" s="221">
        <v>0</v>
      </c>
      <c r="J46" s="221">
        <v>1</v>
      </c>
      <c r="K46" s="222" t="s">
        <v>290</v>
      </c>
      <c r="L46" s="218" t="s">
        <v>308</v>
      </c>
    </row>
    <row r="47" spans="2:21" ht="14.4" customHeight="1" x14ac:dyDescent="0.3">
      <c r="B47" s="223" t="s">
        <v>6623</v>
      </c>
      <c r="C47" s="224" t="s">
        <v>307</v>
      </c>
      <c r="E47" s="295"/>
      <c r="F47" s="243" t="s">
        <v>6587</v>
      </c>
      <c r="G47" s="233" t="s">
        <v>6605</v>
      </c>
      <c r="H47" s="207" t="s">
        <v>6557</v>
      </c>
      <c r="I47" s="230">
        <v>0</v>
      </c>
      <c r="J47" s="230">
        <v>6</v>
      </c>
      <c r="K47" s="231" t="s">
        <v>290</v>
      </c>
      <c r="L47" s="228" t="s">
        <v>308</v>
      </c>
    </row>
    <row r="48" spans="2:21" ht="14.4" customHeight="1" x14ac:dyDescent="0.3">
      <c r="B48" s="223" t="s">
        <v>6624</v>
      </c>
      <c r="C48" s="224" t="s">
        <v>307</v>
      </c>
      <c r="E48" s="295"/>
      <c r="F48" s="243" t="s">
        <v>6587</v>
      </c>
      <c r="G48" s="233" t="s">
        <v>6605</v>
      </c>
      <c r="H48" s="207" t="s">
        <v>6557</v>
      </c>
      <c r="I48" s="230">
        <v>6</v>
      </c>
      <c r="J48" s="230">
        <v>12</v>
      </c>
      <c r="K48" s="231" t="s">
        <v>290</v>
      </c>
      <c r="L48" s="228" t="s">
        <v>308</v>
      </c>
    </row>
    <row r="49" spans="2:12" ht="14.4" customHeight="1" x14ac:dyDescent="0.3">
      <c r="B49" s="223" t="s">
        <v>1497</v>
      </c>
      <c r="C49" s="224" t="s">
        <v>307</v>
      </c>
      <c r="E49" s="295"/>
      <c r="F49" s="243" t="s">
        <v>6587</v>
      </c>
      <c r="G49" s="233" t="s">
        <v>6605</v>
      </c>
      <c r="H49" s="207" t="s">
        <v>6557</v>
      </c>
      <c r="I49" s="207">
        <v>12</v>
      </c>
      <c r="J49" s="207" t="s">
        <v>6610</v>
      </c>
      <c r="K49" s="207" t="s">
        <v>290</v>
      </c>
      <c r="L49" s="228" t="s">
        <v>308</v>
      </c>
    </row>
    <row r="50" spans="2:12" ht="15" customHeight="1" thickBot="1" x14ac:dyDescent="0.35">
      <c r="B50" s="249" t="s">
        <v>1497</v>
      </c>
      <c r="C50" s="250" t="s">
        <v>307</v>
      </c>
      <c r="E50" s="295"/>
      <c r="F50" s="251" t="s">
        <v>6587</v>
      </c>
      <c r="G50" s="233" t="s">
        <v>6612</v>
      </c>
      <c r="H50" s="207" t="s">
        <v>6557</v>
      </c>
      <c r="I50" s="207" t="s">
        <v>290</v>
      </c>
      <c r="J50" s="207" t="s">
        <v>290</v>
      </c>
      <c r="K50" s="207" t="s">
        <v>290</v>
      </c>
      <c r="L50" s="228" t="s">
        <v>308</v>
      </c>
    </row>
    <row r="51" spans="2:12" ht="15" customHeight="1" x14ac:dyDescent="0.3">
      <c r="E51" s="295"/>
      <c r="F51" s="251" t="s">
        <v>6587</v>
      </c>
      <c r="G51" s="233" t="s">
        <v>6614</v>
      </c>
      <c r="H51" s="207" t="s">
        <v>6557</v>
      </c>
      <c r="I51" s="207" t="s">
        <v>290</v>
      </c>
      <c r="J51" s="207" t="s">
        <v>290</v>
      </c>
      <c r="K51" s="207" t="s">
        <v>290</v>
      </c>
      <c r="L51" s="228" t="s">
        <v>308</v>
      </c>
    </row>
    <row r="52" spans="2:12" ht="14.4" customHeight="1" x14ac:dyDescent="0.3">
      <c r="E52" s="295"/>
      <c r="F52" s="251" t="s">
        <v>6587</v>
      </c>
      <c r="G52" s="233" t="s">
        <v>6615</v>
      </c>
      <c r="H52" s="207" t="s">
        <v>6557</v>
      </c>
      <c r="I52" s="207" t="s">
        <v>290</v>
      </c>
      <c r="J52" s="207" t="s">
        <v>290</v>
      </c>
      <c r="K52" s="207" t="s">
        <v>290</v>
      </c>
      <c r="L52" s="228" t="s">
        <v>308</v>
      </c>
    </row>
    <row r="53" spans="2:12" ht="14.4" customHeight="1" x14ac:dyDescent="0.3">
      <c r="E53" s="295"/>
      <c r="F53" s="251" t="s">
        <v>6587</v>
      </c>
      <c r="G53" s="233" t="s">
        <v>6616</v>
      </c>
      <c r="H53" s="207" t="s">
        <v>6557</v>
      </c>
      <c r="I53" s="207" t="s">
        <v>290</v>
      </c>
      <c r="J53" s="207" t="s">
        <v>290</v>
      </c>
      <c r="K53" s="207" t="s">
        <v>290</v>
      </c>
      <c r="L53" s="228" t="s">
        <v>308</v>
      </c>
    </row>
    <row r="54" spans="2:12" ht="14.4" customHeight="1" x14ac:dyDescent="0.3">
      <c r="E54" s="295"/>
      <c r="F54" s="251" t="s">
        <v>6587</v>
      </c>
      <c r="G54" s="233" t="s">
        <v>6617</v>
      </c>
      <c r="H54" s="207" t="s">
        <v>6557</v>
      </c>
      <c r="I54" s="207" t="s">
        <v>290</v>
      </c>
      <c r="J54" s="207" t="s">
        <v>290</v>
      </c>
      <c r="K54" s="207" t="s">
        <v>290</v>
      </c>
      <c r="L54" s="228" t="s">
        <v>308</v>
      </c>
    </row>
    <row r="55" spans="2:12" ht="14.4" customHeight="1" x14ac:dyDescent="0.3">
      <c r="E55" s="295"/>
      <c r="F55" s="243" t="s">
        <v>6587</v>
      </c>
      <c r="G55" s="233" t="s">
        <v>6618</v>
      </c>
      <c r="H55" s="207" t="s">
        <v>6557</v>
      </c>
      <c r="I55" s="207" t="s">
        <v>290</v>
      </c>
      <c r="J55" s="207" t="s">
        <v>290</v>
      </c>
      <c r="K55" s="207" t="s">
        <v>290</v>
      </c>
      <c r="L55" s="228" t="s">
        <v>308</v>
      </c>
    </row>
    <row r="56" spans="2:12" ht="14.4" customHeight="1" x14ac:dyDescent="0.3">
      <c r="E56" s="295"/>
      <c r="F56" s="243" t="s">
        <v>6587</v>
      </c>
      <c r="G56" s="233" t="s">
        <v>386</v>
      </c>
      <c r="H56" s="207" t="s">
        <v>6557</v>
      </c>
      <c r="I56" s="207" t="s">
        <v>290</v>
      </c>
      <c r="J56" s="207" t="s">
        <v>290</v>
      </c>
      <c r="K56" s="207" t="s">
        <v>290</v>
      </c>
      <c r="L56" s="228" t="s">
        <v>308</v>
      </c>
    </row>
    <row r="57" spans="2:12" ht="14.4" customHeight="1" x14ac:dyDescent="0.3">
      <c r="E57" s="295"/>
      <c r="F57" s="243" t="s">
        <v>6587</v>
      </c>
      <c r="G57" s="233" t="s">
        <v>6619</v>
      </c>
      <c r="H57" s="207" t="s">
        <v>6557</v>
      </c>
      <c r="I57" s="207" t="s">
        <v>290</v>
      </c>
      <c r="J57" s="207" t="s">
        <v>290</v>
      </c>
      <c r="K57" s="207" t="s">
        <v>290</v>
      </c>
      <c r="L57" s="228" t="s">
        <v>308</v>
      </c>
    </row>
    <row r="58" spans="2:12" ht="14.4" customHeight="1" thickBot="1" x14ac:dyDescent="0.35">
      <c r="E58" s="296"/>
      <c r="F58" s="252" t="s">
        <v>6587</v>
      </c>
      <c r="G58" s="235" t="s">
        <v>6621</v>
      </c>
      <c r="H58" s="236" t="s">
        <v>6557</v>
      </c>
      <c r="I58" s="236" t="s">
        <v>290</v>
      </c>
      <c r="J58" s="236" t="s">
        <v>290</v>
      </c>
      <c r="K58" s="236" t="s">
        <v>290</v>
      </c>
      <c r="L58" s="239" t="s">
        <v>308</v>
      </c>
    </row>
    <row r="59" spans="2:12" ht="14.4" customHeight="1" x14ac:dyDescent="0.3">
      <c r="E59" s="294" t="s">
        <v>6625</v>
      </c>
      <c r="F59" s="240" t="s">
        <v>6587</v>
      </c>
      <c r="G59" s="241" t="s">
        <v>6556</v>
      </c>
      <c r="H59" s="220" t="s">
        <v>6626</v>
      </c>
      <c r="I59" s="221">
        <v>0</v>
      </c>
      <c r="J59" s="221">
        <v>60</v>
      </c>
      <c r="K59" s="222" t="s">
        <v>1506</v>
      </c>
      <c r="L59" s="218" t="s">
        <v>308</v>
      </c>
    </row>
    <row r="60" spans="2:12" ht="15" customHeight="1" x14ac:dyDescent="0.3">
      <c r="E60" s="295"/>
      <c r="F60" s="243" t="s">
        <v>6587</v>
      </c>
      <c r="G60" s="233" t="s">
        <v>6560</v>
      </c>
      <c r="H60" s="207" t="s">
        <v>6626</v>
      </c>
      <c r="I60" s="230">
        <v>0</v>
      </c>
      <c r="J60" s="230">
        <v>60</v>
      </c>
      <c r="K60" s="231" t="s">
        <v>1506</v>
      </c>
      <c r="L60" s="228" t="s">
        <v>308</v>
      </c>
    </row>
    <row r="61" spans="2:12" ht="14.4" customHeight="1" x14ac:dyDescent="0.3">
      <c r="E61" s="295"/>
      <c r="F61" s="243" t="s">
        <v>6587</v>
      </c>
      <c r="G61" s="233" t="s">
        <v>6563</v>
      </c>
      <c r="H61" s="207" t="s">
        <v>6626</v>
      </c>
      <c r="I61" s="230">
        <v>1</v>
      </c>
      <c r="J61" s="230">
        <v>60</v>
      </c>
      <c r="K61" s="231" t="s">
        <v>1506</v>
      </c>
      <c r="L61" s="228" t="s">
        <v>308</v>
      </c>
    </row>
    <row r="62" spans="2:12" ht="14.4" customHeight="1" x14ac:dyDescent="0.3">
      <c r="E62" s="295"/>
      <c r="F62" s="243" t="s">
        <v>6587</v>
      </c>
      <c r="G62" s="233" t="s">
        <v>6592</v>
      </c>
      <c r="H62" s="207" t="s">
        <v>6626</v>
      </c>
      <c r="I62" s="230">
        <v>0</v>
      </c>
      <c r="J62" s="230">
        <v>60</v>
      </c>
      <c r="K62" s="231" t="s">
        <v>1506</v>
      </c>
      <c r="L62" s="228" t="s">
        <v>308</v>
      </c>
    </row>
    <row r="63" spans="2:12" ht="14.4" customHeight="1" thickBot="1" x14ac:dyDescent="0.35">
      <c r="E63" s="296"/>
      <c r="F63" s="252" t="s">
        <v>6587</v>
      </c>
      <c r="G63" s="235" t="s">
        <v>6593</v>
      </c>
      <c r="H63" s="236" t="s">
        <v>6626</v>
      </c>
      <c r="I63" s="237">
        <v>7</v>
      </c>
      <c r="J63" s="237">
        <v>60</v>
      </c>
      <c r="K63" s="238" t="s">
        <v>1506</v>
      </c>
      <c r="L63" s="239" t="s">
        <v>308</v>
      </c>
    </row>
    <row r="64" spans="2:12" ht="14.4" customHeight="1" x14ac:dyDescent="0.3"/>
    <row r="65" spans="7:7" ht="14.4" customHeight="1" x14ac:dyDescent="0.3"/>
    <row r="66" spans="7:7" ht="14.4" customHeight="1" x14ac:dyDescent="0.3"/>
    <row r="67" spans="7:7" ht="14.4" customHeight="1" x14ac:dyDescent="0.3"/>
    <row r="68" spans="7:7" ht="14.4" customHeight="1" x14ac:dyDescent="0.3"/>
    <row r="69" spans="7:7" ht="14.4" customHeight="1" x14ac:dyDescent="0.3"/>
    <row r="70" spans="7:7" ht="14.4" customHeight="1" x14ac:dyDescent="0.3"/>
    <row r="71" spans="7:7" ht="14.4" customHeight="1" x14ac:dyDescent="0.3"/>
    <row r="72" spans="7:7" ht="14.4" customHeight="1" x14ac:dyDescent="0.3">
      <c r="G72" s="206"/>
    </row>
    <row r="73" spans="7:7" ht="14.4" customHeight="1" x14ac:dyDescent="0.3"/>
    <row r="74" spans="7:7" ht="14.4" customHeight="1" x14ac:dyDescent="0.3"/>
    <row r="75" spans="7:7" ht="14.4" customHeight="1" x14ac:dyDescent="0.3"/>
  </sheetData>
  <mergeCells count="6">
    <mergeCell ref="E59:E63"/>
    <mergeCell ref="G3:Q3"/>
    <mergeCell ref="P5:Q5"/>
    <mergeCell ref="E7:E32"/>
    <mergeCell ref="N7:N33"/>
    <mergeCell ref="E33:E58"/>
  </mergeCells>
  <conditionalFormatting sqref="C28:C37 L7:L63 U8:U30">
    <cfRule type="cellIs" dxfId="33" priority="8" operator="equal">
      <formula>"NON"</formula>
    </cfRule>
  </conditionalFormatting>
  <conditionalFormatting sqref="C28:C37 L7:L63 U8:U30">
    <cfRule type="cellIs" dxfId="32" priority="7" operator="equal">
      <formula>"OUI"</formula>
    </cfRule>
  </conditionalFormatting>
  <conditionalFormatting sqref="C44 C39:C42 C21 C13:C16">
    <cfRule type="cellIs" dxfId="31" priority="6" operator="equal">
      <formula>"NON"</formula>
    </cfRule>
  </conditionalFormatting>
  <conditionalFormatting sqref="C44 C39:C42 C21 C13:C16">
    <cfRule type="cellIs" dxfId="30" priority="5" operator="equal">
      <formula>"OUI"</formula>
    </cfRule>
  </conditionalFormatting>
  <conditionalFormatting sqref="U31:U33">
    <cfRule type="cellIs" dxfId="29" priority="4" operator="equal">
      <formula>"NON"</formula>
    </cfRule>
  </conditionalFormatting>
  <conditionalFormatting sqref="U31:U33">
    <cfRule type="cellIs" dxfId="28" priority="3" operator="equal">
      <formula>"OUI"</formula>
    </cfRule>
  </conditionalFormatting>
  <conditionalFormatting sqref="U7">
    <cfRule type="cellIs" dxfId="27" priority="2" operator="equal">
      <formula>"NON"</formula>
    </cfRule>
  </conditionalFormatting>
  <conditionalFormatting sqref="U7">
    <cfRule type="cellIs" dxfId="26" priority="1" operator="equal">
      <formula>"OUI"</formula>
    </cfRule>
  </conditionalFormatting>
  <dataValidations count="2">
    <dataValidation type="whole" allowBlank="1" showInputMessage="1" showErrorMessage="1" sqref="I28 J10:J63 R25 S8:S16 S19:S33" xr:uid="{7A9AC470-B8E6-4925-8495-A376341046D8}">
      <formula1>0</formula1>
      <formula2>60</formula2>
    </dataValidation>
    <dataValidation type="whole" allowBlank="1" showInputMessage="1" showErrorMessage="1" sqref="I25:I27 I10:I17 I46:I48 I29:I35 I59:I63 R8:R16 R26:R33 R19:R24" xr:uid="{8D5B35DF-2694-4BDE-B994-E17353A13258}">
      <formula1>0</formula1>
      <formula2>J8</formula2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094C17-16A3-4544-9D94-B6180D40B995}">
  <sheetPr codeName="Feuil14">
    <tabColor rgb="FF745995"/>
  </sheetPr>
  <dimension ref="A2:N57"/>
  <sheetViews>
    <sheetView showGridLines="0" zoomScale="90" zoomScaleNormal="90" workbookViewId="0">
      <selection activeCell="C43" sqref="C43"/>
    </sheetView>
  </sheetViews>
  <sheetFormatPr baseColWidth="10" defaultColWidth="11.44140625" defaultRowHeight="13.8" x14ac:dyDescent="0.25"/>
  <cols>
    <col min="1" max="1" width="11.44140625" style="206"/>
    <col min="2" max="2" width="21" style="206" customWidth="1"/>
    <col min="3" max="3" width="34" style="206" bestFit="1" customWidth="1"/>
    <col min="4" max="4" width="11.5546875" style="206" customWidth="1"/>
    <col min="5" max="5" width="28.109375" style="206" customWidth="1"/>
    <col min="6" max="6" width="20.6640625" style="206" customWidth="1"/>
    <col min="7" max="7" width="17.77734375" style="206" customWidth="1"/>
    <col min="8" max="8" width="8.44140625" style="206" customWidth="1"/>
    <col min="9" max="9" width="28.44140625" style="206" customWidth="1"/>
    <col min="10" max="10" width="27" style="206" customWidth="1"/>
    <col min="11" max="11" width="25.6640625" style="206" customWidth="1"/>
    <col min="12" max="12" width="10.5546875" style="206" bestFit="1" customWidth="1"/>
    <col min="13" max="13" width="14.33203125" style="206" customWidth="1"/>
    <col min="14" max="14" width="26.5546875" style="206" customWidth="1"/>
    <col min="15" max="16384" width="11.44140625" style="206"/>
  </cols>
  <sheetData>
    <row r="2" spans="1:14" s="253" customFormat="1" ht="22.2" customHeight="1" x14ac:dyDescent="0.3">
      <c r="B2" s="308" t="s">
        <v>6627</v>
      </c>
      <c r="C2" s="308"/>
      <c r="D2" s="308"/>
      <c r="E2" s="308"/>
      <c r="F2" s="308"/>
      <c r="G2" s="308"/>
      <c r="H2" s="308"/>
      <c r="I2" s="308"/>
      <c r="J2" s="308"/>
      <c r="K2" s="308"/>
    </row>
    <row r="5" spans="1:14" s="255" customFormat="1" ht="27.75" customHeight="1" x14ac:dyDescent="0.3">
      <c r="A5" s="254"/>
      <c r="B5" s="307" t="s">
        <v>6628</v>
      </c>
      <c r="C5" s="307"/>
      <c r="D5" s="307"/>
      <c r="E5" s="307"/>
      <c r="F5" s="307"/>
      <c r="G5" s="307"/>
      <c r="H5" s="307"/>
    </row>
    <row r="7" spans="1:14" x14ac:dyDescent="0.25">
      <c r="B7" s="306" t="s">
        <v>6629</v>
      </c>
      <c r="C7" s="306"/>
      <c r="E7" s="306" t="s">
        <v>6630</v>
      </c>
      <c r="F7" s="306"/>
      <c r="G7" s="306"/>
    </row>
    <row r="8" spans="1:14" x14ac:dyDescent="0.25">
      <c r="B8" s="256" t="s">
        <v>265</v>
      </c>
      <c r="C8" s="256" t="s">
        <v>6631</v>
      </c>
      <c r="E8" s="256" t="s">
        <v>265</v>
      </c>
      <c r="F8" s="256" t="s">
        <v>6677</v>
      </c>
      <c r="G8" s="256" t="s">
        <v>6676</v>
      </c>
    </row>
    <row r="9" spans="1:14" x14ac:dyDescent="0.25">
      <c r="B9" s="257" t="s">
        <v>160</v>
      </c>
      <c r="C9" s="258">
        <v>-10</v>
      </c>
      <c r="E9" s="257" t="s">
        <v>160</v>
      </c>
      <c r="F9" s="259" t="s">
        <v>2</v>
      </c>
      <c r="G9" s="259" t="s">
        <v>179</v>
      </c>
    </row>
    <row r="10" spans="1:14" x14ac:dyDescent="0.25">
      <c r="B10" s="257" t="s">
        <v>165</v>
      </c>
      <c r="C10" s="258">
        <v>-10</v>
      </c>
      <c r="E10" s="257" t="s">
        <v>165</v>
      </c>
      <c r="F10" s="259" t="s">
        <v>1824</v>
      </c>
      <c r="G10" s="259" t="s">
        <v>179</v>
      </c>
      <c r="I10" s="260" t="s">
        <v>6632</v>
      </c>
      <c r="J10" s="261" t="s">
        <v>308</v>
      </c>
    </row>
    <row r="11" spans="1:14" x14ac:dyDescent="0.25">
      <c r="B11" s="257" t="s">
        <v>193</v>
      </c>
      <c r="C11" s="258">
        <v>-10</v>
      </c>
      <c r="E11" s="257" t="s">
        <v>193</v>
      </c>
      <c r="F11" s="259" t="s">
        <v>1745</v>
      </c>
      <c r="G11" s="259" t="s">
        <v>179</v>
      </c>
    </row>
    <row r="12" spans="1:14" x14ac:dyDescent="0.25">
      <c r="B12" s="257" t="s">
        <v>167</v>
      </c>
      <c r="C12" s="258">
        <v>-10</v>
      </c>
      <c r="E12" s="257" t="s">
        <v>167</v>
      </c>
      <c r="F12" s="259" t="s">
        <v>1711</v>
      </c>
      <c r="G12" s="259" t="s">
        <v>179</v>
      </c>
      <c r="L12" s="262"/>
      <c r="M12" s="262"/>
      <c r="N12" s="262"/>
    </row>
    <row r="13" spans="1:14" x14ac:dyDescent="0.25">
      <c r="B13" s="257" t="s">
        <v>192</v>
      </c>
      <c r="C13" s="258">
        <v>-10</v>
      </c>
      <c r="E13" s="257" t="s">
        <v>192</v>
      </c>
      <c r="F13" s="259" t="s">
        <v>1651</v>
      </c>
      <c r="G13" s="259" t="s">
        <v>179</v>
      </c>
      <c r="L13" s="262"/>
    </row>
    <row r="14" spans="1:14" x14ac:dyDescent="0.25">
      <c r="B14" s="257" t="s">
        <v>6633</v>
      </c>
      <c r="C14" s="258">
        <v>-10</v>
      </c>
      <c r="E14" s="257" t="s">
        <v>6633</v>
      </c>
      <c r="F14" s="259" t="s">
        <v>2</v>
      </c>
      <c r="G14" s="259" t="s">
        <v>179</v>
      </c>
    </row>
    <row r="15" spans="1:14" x14ac:dyDescent="0.25">
      <c r="B15" s="263"/>
      <c r="C15" s="264"/>
    </row>
    <row r="17" spans="1:14" s="266" customFormat="1" ht="27.75" customHeight="1" x14ac:dyDescent="0.3">
      <c r="A17" s="254"/>
      <c r="B17" s="309" t="s">
        <v>6634</v>
      </c>
      <c r="C17" s="309"/>
      <c r="D17" s="265"/>
    </row>
    <row r="20" spans="1:14" x14ac:dyDescent="0.25">
      <c r="B20" s="306" t="s">
        <v>6635</v>
      </c>
      <c r="C20" s="306"/>
    </row>
    <row r="21" spans="1:14" x14ac:dyDescent="0.25">
      <c r="B21" s="257" t="s">
        <v>6636</v>
      </c>
      <c r="C21" s="261" t="s">
        <v>308</v>
      </c>
    </row>
    <row r="22" spans="1:14" x14ac:dyDescent="0.25">
      <c r="B22" s="257" t="s">
        <v>6637</v>
      </c>
      <c r="C22" s="261" t="s">
        <v>308</v>
      </c>
    </row>
    <row r="27" spans="1:14" s="266" customFormat="1" ht="27.75" customHeight="1" x14ac:dyDescent="0.3">
      <c r="A27" s="254"/>
      <c r="B27" s="265" t="s">
        <v>6638</v>
      </c>
      <c r="C27" s="265"/>
      <c r="D27" s="265"/>
      <c r="E27" s="265"/>
    </row>
    <row r="28" spans="1:14" x14ac:dyDescent="0.25">
      <c r="C28" s="262"/>
      <c r="N28" s="262"/>
    </row>
    <row r="29" spans="1:14" x14ac:dyDescent="0.25">
      <c r="N29" s="262"/>
    </row>
    <row r="30" spans="1:14" x14ac:dyDescent="0.25">
      <c r="B30" s="306" t="s">
        <v>6638</v>
      </c>
      <c r="C30" s="306"/>
      <c r="N30" s="262"/>
    </row>
    <row r="31" spans="1:14" x14ac:dyDescent="0.25">
      <c r="B31" s="256" t="s">
        <v>6639</v>
      </c>
      <c r="C31" s="256" t="s">
        <v>399</v>
      </c>
      <c r="N31" s="262"/>
    </row>
    <row r="32" spans="1:14" x14ac:dyDescent="0.25">
      <c r="B32" s="257" t="s">
        <v>6638</v>
      </c>
      <c r="C32" s="261" t="s">
        <v>308</v>
      </c>
      <c r="N32" s="262"/>
    </row>
    <row r="33" spans="1:14" x14ac:dyDescent="0.25">
      <c r="B33" s="257" t="s">
        <v>6640</v>
      </c>
      <c r="C33" s="267">
        <v>44743</v>
      </c>
      <c r="N33" s="262"/>
    </row>
    <row r="34" spans="1:14" x14ac:dyDescent="0.25">
      <c r="B34" s="257" t="s">
        <v>6641</v>
      </c>
      <c r="C34" s="263">
        <v>6</v>
      </c>
      <c r="N34" s="262"/>
    </row>
    <row r="37" spans="1:14" s="266" customFormat="1" ht="27.75" customHeight="1" x14ac:dyDescent="0.3">
      <c r="A37" s="254"/>
      <c r="B37" s="307" t="s">
        <v>6642</v>
      </c>
      <c r="C37" s="307"/>
      <c r="D37" s="307"/>
    </row>
    <row r="39" spans="1:14" x14ac:dyDescent="0.25">
      <c r="B39" s="256" t="s">
        <v>6587</v>
      </c>
      <c r="C39" s="256" t="s">
        <v>6643</v>
      </c>
    </row>
    <row r="40" spans="1:14" x14ac:dyDescent="0.25">
      <c r="B40" s="257" t="s">
        <v>288</v>
      </c>
      <c r="C40" s="263">
        <v>0</v>
      </c>
    </row>
    <row r="41" spans="1:14" x14ac:dyDescent="0.25">
      <c r="B41" s="257" t="s">
        <v>293</v>
      </c>
      <c r="C41" s="263">
        <v>60</v>
      </c>
    </row>
    <row r="42" spans="1:14" x14ac:dyDescent="0.25">
      <c r="B42" s="257" t="s">
        <v>292</v>
      </c>
      <c r="C42" s="263">
        <v>0</v>
      </c>
    </row>
    <row r="43" spans="1:14" x14ac:dyDescent="0.25">
      <c r="B43" s="257" t="s">
        <v>294</v>
      </c>
      <c r="C43" s="263">
        <v>60</v>
      </c>
    </row>
    <row r="46" spans="1:14" s="266" customFormat="1" ht="27.75" customHeight="1" x14ac:dyDescent="0.3">
      <c r="A46" s="254"/>
      <c r="B46" s="307" t="s">
        <v>6644</v>
      </c>
      <c r="C46" s="307"/>
      <c r="D46" s="307"/>
      <c r="E46" s="307"/>
    </row>
    <row r="48" spans="1:14" x14ac:dyDescent="0.25">
      <c r="C48" s="260" t="s">
        <v>6645</v>
      </c>
      <c r="D48" s="260" t="s">
        <v>227</v>
      </c>
      <c r="E48" s="260" t="s">
        <v>226</v>
      </c>
    </row>
    <row r="49" spans="2:10" x14ac:dyDescent="0.25">
      <c r="B49" s="268" t="s">
        <v>6646</v>
      </c>
      <c r="C49" s="269">
        <v>0.5</v>
      </c>
      <c r="D49" s="269">
        <v>0.67</v>
      </c>
      <c r="E49" s="269">
        <v>0.75</v>
      </c>
    </row>
    <row r="50" spans="2:10" x14ac:dyDescent="0.25">
      <c r="B50" s="268" t="s">
        <v>6647</v>
      </c>
      <c r="C50" s="269">
        <v>0.25</v>
      </c>
      <c r="D50" s="269">
        <v>0.2</v>
      </c>
      <c r="E50" s="269">
        <v>0</v>
      </c>
    </row>
    <row r="52" spans="2:10" x14ac:dyDescent="0.25">
      <c r="C52" s="270" t="s">
        <v>6648</v>
      </c>
      <c r="D52" s="270" t="s">
        <v>191</v>
      </c>
    </row>
    <row r="53" spans="2:10" x14ac:dyDescent="0.25">
      <c r="B53" s="268" t="s">
        <v>6649</v>
      </c>
      <c r="C53" s="269">
        <v>1</v>
      </c>
      <c r="D53" s="269">
        <v>0.5</v>
      </c>
    </row>
    <row r="54" spans="2:10" x14ac:dyDescent="0.25">
      <c r="J54" s="262"/>
    </row>
    <row r="55" spans="2:10" x14ac:dyDescent="0.25">
      <c r="J55" s="262"/>
    </row>
    <row r="56" spans="2:10" x14ac:dyDescent="0.25">
      <c r="J56" s="262"/>
    </row>
    <row r="57" spans="2:10" x14ac:dyDescent="0.25">
      <c r="J57" s="262"/>
    </row>
  </sheetData>
  <mergeCells count="9">
    <mergeCell ref="B30:C30"/>
    <mergeCell ref="B37:D37"/>
    <mergeCell ref="B46:E46"/>
    <mergeCell ref="B2:K2"/>
    <mergeCell ref="B5:H5"/>
    <mergeCell ref="B7:C7"/>
    <mergeCell ref="B17:C17"/>
    <mergeCell ref="B20:C20"/>
    <mergeCell ref="E7:G7"/>
  </mergeCells>
  <conditionalFormatting sqref="C32">
    <cfRule type="cellIs" dxfId="25" priority="6" operator="equal">
      <formula>"NON"</formula>
    </cfRule>
  </conditionalFormatting>
  <conditionalFormatting sqref="C32">
    <cfRule type="cellIs" dxfId="24" priority="5" operator="equal">
      <formula>"OUI"</formula>
    </cfRule>
  </conditionalFormatting>
  <conditionalFormatting sqref="C21:C22">
    <cfRule type="cellIs" dxfId="23" priority="4" operator="equal">
      <formula>"NON"</formula>
    </cfRule>
  </conditionalFormatting>
  <conditionalFormatting sqref="C21:C22">
    <cfRule type="cellIs" dxfId="22" priority="3" operator="equal">
      <formula>"OUI"</formula>
    </cfRule>
  </conditionalFormatting>
  <conditionalFormatting sqref="J10">
    <cfRule type="cellIs" dxfId="21" priority="2" operator="equal">
      <formula>"NON"</formula>
    </cfRule>
  </conditionalFormatting>
  <conditionalFormatting sqref="J10">
    <cfRule type="cellIs" dxfId="20" priority="1" operator="equal">
      <formula>"OUI"</formula>
    </cfRule>
  </conditionalFormatting>
  <dataValidations count="2">
    <dataValidation type="custom" allowBlank="1" showInputMessage="1" showErrorMessage="1" sqref="C9:C15 C49:E50 C53:D53" xr:uid="{C25273AD-1F0E-4E91-87CD-17F95CF96A59}">
      <formula1>ISNUMBER(C9)</formula1>
    </dataValidation>
    <dataValidation type="whole" operator="lessThanOrEqual" allowBlank="1" showInputMessage="1" showErrorMessage="1" sqref="C40:C43" xr:uid="{2CD2B439-F7B4-4752-B7B8-C806A40C920C}">
      <formula1>60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69BD6-CA3E-431B-8D11-6C061A24CBEE}">
  <sheetPr codeName="Sheet9">
    <tabColor theme="1" tint="4.9989318521683403E-2"/>
  </sheetPr>
  <dimension ref="B2:Q118"/>
  <sheetViews>
    <sheetView showGridLines="0" topLeftCell="A2" workbookViewId="0">
      <selection activeCell="O10" sqref="O10"/>
    </sheetView>
  </sheetViews>
  <sheetFormatPr baseColWidth="10" defaultColWidth="8.88671875" defaultRowHeight="14.4" x14ac:dyDescent="0.3"/>
  <cols>
    <col min="2" max="2" width="17.88671875" bestFit="1" customWidth="1"/>
    <col min="3" max="3" width="2.33203125" customWidth="1"/>
    <col min="4" max="4" width="11" bestFit="1" customWidth="1"/>
    <col min="5" max="5" width="3.109375" customWidth="1"/>
    <col min="6" max="6" width="15" bestFit="1" customWidth="1"/>
    <col min="7" max="7" width="5" customWidth="1"/>
    <col min="8" max="8" width="18.33203125" customWidth="1"/>
    <col min="9" max="9" width="4.77734375" customWidth="1"/>
    <col min="10" max="10" width="2.44140625" customWidth="1"/>
    <col min="11" max="11" width="13.33203125" customWidth="1"/>
    <col min="12" max="12" width="2.33203125" customWidth="1"/>
    <col min="13" max="13" width="32.44140625" customWidth="1"/>
    <col min="14" max="14" width="3" customWidth="1"/>
    <col min="15" max="15" width="28.109375" bestFit="1" customWidth="1"/>
    <col min="16" max="16" width="5.88671875" customWidth="1"/>
    <col min="17" max="17" width="29.77734375" customWidth="1"/>
  </cols>
  <sheetData>
    <row r="2" spans="2:17" ht="16.8" x14ac:dyDescent="0.3">
      <c r="B2" s="274" t="s">
        <v>6542</v>
      </c>
      <c r="D2" s="274" t="s">
        <v>6655</v>
      </c>
      <c r="F2" s="274" t="s">
        <v>6656</v>
      </c>
      <c r="H2" s="274" t="s">
        <v>6657</v>
      </c>
      <c r="K2" s="274" t="s">
        <v>6547</v>
      </c>
      <c r="M2" s="274" t="s">
        <v>6658</v>
      </c>
      <c r="O2" s="274" t="s">
        <v>6659</v>
      </c>
      <c r="Q2" s="274" t="s">
        <v>6660</v>
      </c>
    </row>
    <row r="3" spans="2:17" x14ac:dyDescent="0.3">
      <c r="B3" s="275" t="s">
        <v>415</v>
      </c>
      <c r="D3" s="275" t="s">
        <v>307</v>
      </c>
      <c r="F3" s="275" t="s">
        <v>1507</v>
      </c>
      <c r="H3" s="275" t="s">
        <v>6661</v>
      </c>
      <c r="K3" t="s">
        <v>6662</v>
      </c>
      <c r="M3" s="55" t="s">
        <v>6663</v>
      </c>
      <c r="O3" s="55" t="s">
        <v>6663</v>
      </c>
      <c r="Q3" s="276" t="s">
        <v>307</v>
      </c>
    </row>
    <row r="4" spans="2:17" x14ac:dyDescent="0.3">
      <c r="B4" s="275" t="s">
        <v>416</v>
      </c>
      <c r="D4" s="275" t="s">
        <v>308</v>
      </c>
      <c r="F4" s="275" t="s">
        <v>1506</v>
      </c>
      <c r="H4" s="275" t="s">
        <v>6664</v>
      </c>
      <c r="K4" t="s">
        <v>1539</v>
      </c>
      <c r="M4" s="55"/>
      <c r="O4" s="55" t="s">
        <v>6665</v>
      </c>
    </row>
    <row r="5" spans="2:17" x14ac:dyDescent="0.3">
      <c r="B5" s="275" t="s">
        <v>417</v>
      </c>
      <c r="F5" s="275" t="s">
        <v>1504</v>
      </c>
      <c r="H5" s="275" t="s">
        <v>6666</v>
      </c>
    </row>
    <row r="6" spans="2:17" x14ac:dyDescent="0.3">
      <c r="B6" s="275" t="s">
        <v>418</v>
      </c>
    </row>
    <row r="7" spans="2:17" x14ac:dyDescent="0.3">
      <c r="B7" s="275" t="s">
        <v>413</v>
      </c>
    </row>
    <row r="8" spans="2:17" x14ac:dyDescent="0.3">
      <c r="B8" s="275" t="s">
        <v>410</v>
      </c>
    </row>
    <row r="9" spans="2:17" x14ac:dyDescent="0.3">
      <c r="B9" s="275" t="s">
        <v>519</v>
      </c>
    </row>
    <row r="10" spans="2:17" x14ac:dyDescent="0.3">
      <c r="B10" s="275" t="s">
        <v>419</v>
      </c>
    </row>
    <row r="11" spans="2:17" x14ac:dyDescent="0.3">
      <c r="B11" s="275" t="s">
        <v>420</v>
      </c>
    </row>
    <row r="12" spans="2:17" x14ac:dyDescent="0.3">
      <c r="B12" s="275" t="s">
        <v>421</v>
      </c>
    </row>
    <row r="13" spans="2:17" x14ac:dyDescent="0.3">
      <c r="B13" s="275" t="s">
        <v>422</v>
      </c>
    </row>
    <row r="14" spans="2:17" x14ac:dyDescent="0.3">
      <c r="B14" s="275" t="s">
        <v>423</v>
      </c>
    </row>
    <row r="15" spans="2:17" x14ac:dyDescent="0.3">
      <c r="B15" s="275" t="s">
        <v>424</v>
      </c>
    </row>
    <row r="16" spans="2:17" x14ac:dyDescent="0.3">
      <c r="B16" s="275" t="s">
        <v>425</v>
      </c>
    </row>
    <row r="17" spans="2:2" x14ac:dyDescent="0.3">
      <c r="B17" s="275" t="s">
        <v>426</v>
      </c>
    </row>
    <row r="18" spans="2:2" x14ac:dyDescent="0.3">
      <c r="B18" s="275" t="s">
        <v>427</v>
      </c>
    </row>
    <row r="19" spans="2:2" x14ac:dyDescent="0.3">
      <c r="B19" s="275" t="s">
        <v>428</v>
      </c>
    </row>
    <row r="20" spans="2:2" x14ac:dyDescent="0.3">
      <c r="B20" s="275" t="s">
        <v>429</v>
      </c>
    </row>
    <row r="21" spans="2:2" x14ac:dyDescent="0.3">
      <c r="B21" s="275" t="s">
        <v>430</v>
      </c>
    </row>
    <row r="22" spans="2:2" x14ac:dyDescent="0.3">
      <c r="B22" s="275" t="s">
        <v>431</v>
      </c>
    </row>
    <row r="23" spans="2:2" x14ac:dyDescent="0.3">
      <c r="B23" s="275" t="s">
        <v>432</v>
      </c>
    </row>
    <row r="24" spans="2:2" x14ac:dyDescent="0.3">
      <c r="B24" s="275" t="s">
        <v>433</v>
      </c>
    </row>
    <row r="25" spans="2:2" x14ac:dyDescent="0.3">
      <c r="B25" s="275" t="s">
        <v>434</v>
      </c>
    </row>
    <row r="26" spans="2:2" x14ac:dyDescent="0.3">
      <c r="B26" s="275" t="s">
        <v>435</v>
      </c>
    </row>
    <row r="27" spans="2:2" x14ac:dyDescent="0.3">
      <c r="B27" s="275" t="s">
        <v>436</v>
      </c>
    </row>
    <row r="28" spans="2:2" x14ac:dyDescent="0.3">
      <c r="B28" s="275" t="s">
        <v>437</v>
      </c>
    </row>
    <row r="29" spans="2:2" x14ac:dyDescent="0.3">
      <c r="B29" s="275" t="s">
        <v>438</v>
      </c>
    </row>
    <row r="30" spans="2:2" x14ac:dyDescent="0.3">
      <c r="B30" s="275" t="s">
        <v>439</v>
      </c>
    </row>
    <row r="31" spans="2:2" x14ac:dyDescent="0.3">
      <c r="B31" s="275" t="s">
        <v>440</v>
      </c>
    </row>
    <row r="32" spans="2:2" x14ac:dyDescent="0.3">
      <c r="B32" s="275" t="s">
        <v>441</v>
      </c>
    </row>
    <row r="33" spans="2:2" x14ac:dyDescent="0.3">
      <c r="B33" s="275" t="s">
        <v>442</v>
      </c>
    </row>
    <row r="34" spans="2:2" x14ac:dyDescent="0.3">
      <c r="B34" s="275" t="s">
        <v>443</v>
      </c>
    </row>
    <row r="35" spans="2:2" x14ac:dyDescent="0.3">
      <c r="B35" s="275" t="s">
        <v>444</v>
      </c>
    </row>
    <row r="36" spans="2:2" x14ac:dyDescent="0.3">
      <c r="B36" s="275" t="s">
        <v>445</v>
      </c>
    </row>
    <row r="37" spans="2:2" x14ac:dyDescent="0.3">
      <c r="B37" s="275" t="s">
        <v>446</v>
      </c>
    </row>
    <row r="38" spans="2:2" x14ac:dyDescent="0.3">
      <c r="B38" s="275" t="s">
        <v>447</v>
      </c>
    </row>
    <row r="39" spans="2:2" x14ac:dyDescent="0.3">
      <c r="B39" s="275" t="s">
        <v>448</v>
      </c>
    </row>
    <row r="40" spans="2:2" x14ac:dyDescent="0.3">
      <c r="B40" s="275" t="s">
        <v>449</v>
      </c>
    </row>
    <row r="41" spans="2:2" x14ac:dyDescent="0.3">
      <c r="B41" s="275" t="s">
        <v>450</v>
      </c>
    </row>
    <row r="42" spans="2:2" x14ac:dyDescent="0.3">
      <c r="B42" s="275" t="s">
        <v>451</v>
      </c>
    </row>
    <row r="43" spans="2:2" x14ac:dyDescent="0.3">
      <c r="B43" s="275" t="s">
        <v>452</v>
      </c>
    </row>
    <row r="44" spans="2:2" x14ac:dyDescent="0.3">
      <c r="B44" s="275" t="s">
        <v>453</v>
      </c>
    </row>
    <row r="45" spans="2:2" x14ac:dyDescent="0.3">
      <c r="B45" s="275" t="s">
        <v>454</v>
      </c>
    </row>
    <row r="46" spans="2:2" x14ac:dyDescent="0.3">
      <c r="B46" s="275" t="s">
        <v>455</v>
      </c>
    </row>
    <row r="47" spans="2:2" x14ac:dyDescent="0.3">
      <c r="B47" s="275" t="s">
        <v>456</v>
      </c>
    </row>
    <row r="48" spans="2:2" x14ac:dyDescent="0.3">
      <c r="B48" s="275" t="s">
        <v>457</v>
      </c>
    </row>
    <row r="49" spans="2:2" x14ac:dyDescent="0.3">
      <c r="B49" s="275" t="s">
        <v>458</v>
      </c>
    </row>
    <row r="50" spans="2:2" x14ac:dyDescent="0.3">
      <c r="B50" s="275" t="s">
        <v>459</v>
      </c>
    </row>
    <row r="51" spans="2:2" x14ac:dyDescent="0.3">
      <c r="B51" s="275" t="s">
        <v>460</v>
      </c>
    </row>
    <row r="52" spans="2:2" x14ac:dyDescent="0.3">
      <c r="B52" s="275" t="s">
        <v>461</v>
      </c>
    </row>
    <row r="53" spans="2:2" x14ac:dyDescent="0.3">
      <c r="B53" s="275" t="s">
        <v>462</v>
      </c>
    </row>
    <row r="54" spans="2:2" x14ac:dyDescent="0.3">
      <c r="B54" s="275" t="s">
        <v>463</v>
      </c>
    </row>
    <row r="55" spans="2:2" x14ac:dyDescent="0.3">
      <c r="B55" s="275" t="s">
        <v>464</v>
      </c>
    </row>
    <row r="56" spans="2:2" x14ac:dyDescent="0.3">
      <c r="B56" s="275" t="s">
        <v>465</v>
      </c>
    </row>
    <row r="57" spans="2:2" x14ac:dyDescent="0.3">
      <c r="B57" s="275" t="s">
        <v>466</v>
      </c>
    </row>
    <row r="58" spans="2:2" x14ac:dyDescent="0.3">
      <c r="B58" s="275" t="s">
        <v>467</v>
      </c>
    </row>
    <row r="59" spans="2:2" x14ac:dyDescent="0.3">
      <c r="B59" s="275" t="s">
        <v>468</v>
      </c>
    </row>
    <row r="60" spans="2:2" x14ac:dyDescent="0.3">
      <c r="B60" s="275" t="s">
        <v>469</v>
      </c>
    </row>
    <row r="61" spans="2:2" x14ac:dyDescent="0.3">
      <c r="B61" s="275" t="s">
        <v>470</v>
      </c>
    </row>
    <row r="62" spans="2:2" x14ac:dyDescent="0.3">
      <c r="B62" s="275" t="s">
        <v>411</v>
      </c>
    </row>
    <row r="63" spans="2:2" x14ac:dyDescent="0.3">
      <c r="B63" s="275" t="s">
        <v>471</v>
      </c>
    </row>
    <row r="64" spans="2:2" x14ac:dyDescent="0.3">
      <c r="B64" s="275" t="s">
        <v>472</v>
      </c>
    </row>
    <row r="65" spans="2:2" x14ac:dyDescent="0.3">
      <c r="B65" s="275" t="s">
        <v>473</v>
      </c>
    </row>
    <row r="66" spans="2:2" x14ac:dyDescent="0.3">
      <c r="B66" s="275" t="s">
        <v>474</v>
      </c>
    </row>
    <row r="67" spans="2:2" x14ac:dyDescent="0.3">
      <c r="B67" s="275" t="s">
        <v>475</v>
      </c>
    </row>
    <row r="68" spans="2:2" x14ac:dyDescent="0.3">
      <c r="B68" s="275" t="s">
        <v>476</v>
      </c>
    </row>
    <row r="69" spans="2:2" x14ac:dyDescent="0.3">
      <c r="B69" s="275" t="s">
        <v>477</v>
      </c>
    </row>
    <row r="70" spans="2:2" x14ac:dyDescent="0.3">
      <c r="B70" s="275" t="s">
        <v>478</v>
      </c>
    </row>
    <row r="71" spans="2:2" x14ac:dyDescent="0.3">
      <c r="B71" s="275" t="s">
        <v>479</v>
      </c>
    </row>
    <row r="72" spans="2:2" x14ac:dyDescent="0.3">
      <c r="B72" s="275" t="s">
        <v>480</v>
      </c>
    </row>
    <row r="73" spans="2:2" x14ac:dyDescent="0.3">
      <c r="B73" s="275" t="s">
        <v>481</v>
      </c>
    </row>
    <row r="74" spans="2:2" x14ac:dyDescent="0.3">
      <c r="B74" s="275" t="s">
        <v>482</v>
      </c>
    </row>
    <row r="75" spans="2:2" x14ac:dyDescent="0.3">
      <c r="B75" s="275" t="s">
        <v>483</v>
      </c>
    </row>
    <row r="76" spans="2:2" x14ac:dyDescent="0.3">
      <c r="B76" s="275" t="s">
        <v>484</v>
      </c>
    </row>
    <row r="77" spans="2:2" x14ac:dyDescent="0.3">
      <c r="B77" s="275" t="s">
        <v>485</v>
      </c>
    </row>
    <row r="78" spans="2:2" x14ac:dyDescent="0.3">
      <c r="B78" s="275" t="s">
        <v>486</v>
      </c>
    </row>
    <row r="79" spans="2:2" x14ac:dyDescent="0.3">
      <c r="B79" s="275" t="s">
        <v>487</v>
      </c>
    </row>
    <row r="80" spans="2:2" x14ac:dyDescent="0.3">
      <c r="B80" s="275" t="s">
        <v>488</v>
      </c>
    </row>
    <row r="81" spans="2:2" x14ac:dyDescent="0.3">
      <c r="B81" s="275" t="s">
        <v>489</v>
      </c>
    </row>
    <row r="82" spans="2:2" x14ac:dyDescent="0.3">
      <c r="B82" s="275" t="s">
        <v>490</v>
      </c>
    </row>
    <row r="83" spans="2:2" x14ac:dyDescent="0.3">
      <c r="B83" s="275" t="s">
        <v>491</v>
      </c>
    </row>
    <row r="84" spans="2:2" x14ac:dyDescent="0.3">
      <c r="B84" s="275" t="s">
        <v>492</v>
      </c>
    </row>
    <row r="85" spans="2:2" x14ac:dyDescent="0.3">
      <c r="B85" s="275" t="s">
        <v>493</v>
      </c>
    </row>
    <row r="86" spans="2:2" x14ac:dyDescent="0.3">
      <c r="B86" s="275" t="s">
        <v>494</v>
      </c>
    </row>
    <row r="87" spans="2:2" x14ac:dyDescent="0.3">
      <c r="B87" s="275" t="s">
        <v>495</v>
      </c>
    </row>
    <row r="88" spans="2:2" x14ac:dyDescent="0.3">
      <c r="B88" s="275" t="s">
        <v>496</v>
      </c>
    </row>
    <row r="89" spans="2:2" x14ac:dyDescent="0.3">
      <c r="B89" s="275" t="s">
        <v>4565</v>
      </c>
    </row>
    <row r="90" spans="2:2" x14ac:dyDescent="0.3">
      <c r="B90" s="275" t="s">
        <v>497</v>
      </c>
    </row>
    <row r="91" spans="2:2" x14ac:dyDescent="0.3">
      <c r="B91" s="275" t="s">
        <v>498</v>
      </c>
    </row>
    <row r="92" spans="2:2" x14ac:dyDescent="0.3">
      <c r="B92" s="275" t="s">
        <v>499</v>
      </c>
    </row>
    <row r="93" spans="2:2" x14ac:dyDescent="0.3">
      <c r="B93" s="275" t="s">
        <v>500</v>
      </c>
    </row>
    <row r="94" spans="2:2" x14ac:dyDescent="0.3">
      <c r="B94" s="275" t="s">
        <v>501</v>
      </c>
    </row>
    <row r="95" spans="2:2" x14ac:dyDescent="0.3">
      <c r="B95" s="275" t="s">
        <v>502</v>
      </c>
    </row>
    <row r="96" spans="2:2" x14ac:dyDescent="0.3">
      <c r="B96" s="275" t="s">
        <v>503</v>
      </c>
    </row>
    <row r="97" spans="2:2" x14ac:dyDescent="0.3">
      <c r="B97" s="275" t="s">
        <v>504</v>
      </c>
    </row>
    <row r="98" spans="2:2" x14ac:dyDescent="0.3">
      <c r="B98" s="275" t="s">
        <v>505</v>
      </c>
    </row>
    <row r="99" spans="2:2" x14ac:dyDescent="0.3">
      <c r="B99" s="275" t="s">
        <v>506</v>
      </c>
    </row>
    <row r="100" spans="2:2" x14ac:dyDescent="0.3">
      <c r="B100" s="275" t="s">
        <v>507</v>
      </c>
    </row>
    <row r="101" spans="2:2" x14ac:dyDescent="0.3">
      <c r="B101" s="275" t="s">
        <v>508</v>
      </c>
    </row>
    <row r="102" spans="2:2" x14ac:dyDescent="0.3">
      <c r="B102" s="275" t="s">
        <v>509</v>
      </c>
    </row>
    <row r="103" spans="2:2" x14ac:dyDescent="0.3">
      <c r="B103" s="275" t="s">
        <v>510</v>
      </c>
    </row>
    <row r="104" spans="2:2" x14ac:dyDescent="0.3">
      <c r="B104" s="275" t="s">
        <v>414</v>
      </c>
    </row>
    <row r="105" spans="2:2" x14ac:dyDescent="0.3">
      <c r="B105" s="275" t="s">
        <v>512</v>
      </c>
    </row>
    <row r="106" spans="2:2" x14ac:dyDescent="0.3">
      <c r="B106" s="275" t="s">
        <v>513</v>
      </c>
    </row>
    <row r="107" spans="2:2" x14ac:dyDescent="0.3">
      <c r="B107" s="275" t="s">
        <v>514</v>
      </c>
    </row>
    <row r="108" spans="2:2" x14ac:dyDescent="0.3">
      <c r="B108" s="275" t="s">
        <v>515</v>
      </c>
    </row>
    <row r="109" spans="2:2" x14ac:dyDescent="0.3">
      <c r="B109" s="275" t="s">
        <v>516</v>
      </c>
    </row>
    <row r="110" spans="2:2" x14ac:dyDescent="0.3">
      <c r="B110" s="275" t="s">
        <v>517</v>
      </c>
    </row>
    <row r="111" spans="2:2" x14ac:dyDescent="0.3">
      <c r="B111" s="275" t="s">
        <v>518</v>
      </c>
    </row>
    <row r="112" spans="2:2" x14ac:dyDescent="0.3">
      <c r="B112" s="275" t="s">
        <v>520</v>
      </c>
    </row>
    <row r="113" spans="2:2" x14ac:dyDescent="0.3">
      <c r="B113" s="275" t="s">
        <v>521</v>
      </c>
    </row>
    <row r="114" spans="2:2" x14ac:dyDescent="0.3">
      <c r="B114" s="277" t="s">
        <v>472</v>
      </c>
    </row>
    <row r="115" spans="2:2" x14ac:dyDescent="0.3">
      <c r="B115" s="277" t="s">
        <v>1238</v>
      </c>
    </row>
    <row r="116" spans="2:2" x14ac:dyDescent="0.3">
      <c r="B116" s="277" t="s">
        <v>1396</v>
      </c>
    </row>
    <row r="117" spans="2:2" x14ac:dyDescent="0.3">
      <c r="B117" s="277" t="s">
        <v>1395</v>
      </c>
    </row>
    <row r="118" spans="2:2" x14ac:dyDescent="0.3">
      <c r="B118" s="277" t="s">
        <v>511</v>
      </c>
    </row>
  </sheetData>
  <dataValidations count="2">
    <dataValidation type="list" allowBlank="1" showInputMessage="1" showErrorMessage="1" sqref="Q3" xr:uid="{6262A21C-31B1-473B-B6F8-96190DFD5CC0}">
      <formula1>$D$3:$D$4</formula1>
    </dataValidation>
    <dataValidation type="list" allowBlank="1" showInputMessage="1" showErrorMessage="1" sqref="M3" xr:uid="{93A9D3B9-4724-481D-A52F-C17E8E6C5366}">
      <formula1>$O$3:$O$4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9255B-C81C-4C0C-BC8C-A955AF71B83D}">
  <sheetPr codeName="Feuil11"/>
  <dimension ref="B2:D114"/>
  <sheetViews>
    <sheetView showGridLines="0" workbookViewId="0">
      <selection activeCell="A4" sqref="A4"/>
    </sheetView>
  </sheetViews>
  <sheetFormatPr baseColWidth="10" defaultColWidth="12.21875" defaultRowHeight="14.4" x14ac:dyDescent="0.3"/>
  <cols>
    <col min="1" max="1" width="12.21875" style="206"/>
    <col min="2" max="2" width="27.21875" style="273" bestFit="1" customWidth="1"/>
    <col min="3" max="3" width="5.21875" style="206" customWidth="1"/>
    <col min="4" max="4" width="52.33203125" style="206" bestFit="1" customWidth="1"/>
    <col min="5" max="16384" width="12.21875" style="206"/>
  </cols>
  <sheetData>
    <row r="2" spans="2:4" ht="13.8" x14ac:dyDescent="0.25">
      <c r="B2" s="206"/>
    </row>
    <row r="3" spans="2:4" ht="13.8" x14ac:dyDescent="0.25">
      <c r="B3" s="271" t="s">
        <v>6650</v>
      </c>
      <c r="D3" s="271" t="s">
        <v>6651</v>
      </c>
    </row>
    <row r="4" spans="2:4" ht="13.8" x14ac:dyDescent="0.25">
      <c r="B4" s="272" t="s">
        <v>413</v>
      </c>
      <c r="D4" s="272" t="s">
        <v>6532</v>
      </c>
    </row>
    <row r="5" spans="2:4" ht="13.8" x14ac:dyDescent="0.25">
      <c r="B5" s="272" t="s">
        <v>414</v>
      </c>
      <c r="D5" s="272" t="s">
        <v>6652</v>
      </c>
    </row>
    <row r="6" spans="2:4" ht="13.8" x14ac:dyDescent="0.25">
      <c r="B6" s="272" t="s">
        <v>415</v>
      </c>
      <c r="D6" s="272" t="s">
        <v>6653</v>
      </c>
    </row>
    <row r="7" spans="2:4" ht="13.8" x14ac:dyDescent="0.25">
      <c r="B7" s="272" t="s">
        <v>416</v>
      </c>
      <c r="D7" s="272" t="s">
        <v>6654</v>
      </c>
    </row>
    <row r="8" spans="2:4" ht="13.8" x14ac:dyDescent="0.25">
      <c r="B8" s="272" t="s">
        <v>417</v>
      </c>
      <c r="D8" s="272"/>
    </row>
    <row r="9" spans="2:4" ht="13.8" x14ac:dyDescent="0.25">
      <c r="B9" s="272" t="s">
        <v>418</v>
      </c>
      <c r="D9" s="272"/>
    </row>
    <row r="10" spans="2:4" ht="13.8" x14ac:dyDescent="0.25">
      <c r="B10" s="272" t="s">
        <v>419</v>
      </c>
    </row>
    <row r="11" spans="2:4" ht="13.8" x14ac:dyDescent="0.25">
      <c r="B11" s="272" t="s">
        <v>420</v>
      </c>
    </row>
    <row r="12" spans="2:4" ht="13.8" x14ac:dyDescent="0.25">
      <c r="B12" s="272" t="s">
        <v>421</v>
      </c>
    </row>
    <row r="13" spans="2:4" ht="13.8" x14ac:dyDescent="0.25">
      <c r="B13" s="272" t="s">
        <v>422</v>
      </c>
    </row>
    <row r="14" spans="2:4" ht="13.8" x14ac:dyDescent="0.25">
      <c r="B14" s="272" t="s">
        <v>423</v>
      </c>
    </row>
    <row r="15" spans="2:4" ht="13.8" x14ac:dyDescent="0.25">
      <c r="B15" s="272" t="s">
        <v>424</v>
      </c>
    </row>
    <row r="16" spans="2:4" ht="13.8" x14ac:dyDescent="0.25">
      <c r="B16" s="272" t="s">
        <v>425</v>
      </c>
    </row>
    <row r="17" spans="2:2" ht="13.8" x14ac:dyDescent="0.25">
      <c r="B17" s="272" t="s">
        <v>426</v>
      </c>
    </row>
    <row r="18" spans="2:2" ht="13.8" x14ac:dyDescent="0.25">
      <c r="B18" s="272" t="s">
        <v>427</v>
      </c>
    </row>
    <row r="19" spans="2:2" ht="13.8" x14ac:dyDescent="0.25">
      <c r="B19" s="272" t="s">
        <v>428</v>
      </c>
    </row>
    <row r="20" spans="2:2" ht="13.8" x14ac:dyDescent="0.25">
      <c r="B20" s="272" t="s">
        <v>429</v>
      </c>
    </row>
    <row r="21" spans="2:2" ht="13.8" x14ac:dyDescent="0.25">
      <c r="B21" s="272" t="s">
        <v>430</v>
      </c>
    </row>
    <row r="22" spans="2:2" ht="13.8" x14ac:dyDescent="0.25">
      <c r="B22" s="272" t="s">
        <v>431</v>
      </c>
    </row>
    <row r="23" spans="2:2" ht="13.8" x14ac:dyDescent="0.25">
      <c r="B23" s="272" t="s">
        <v>432</v>
      </c>
    </row>
    <row r="24" spans="2:2" ht="13.8" x14ac:dyDescent="0.25">
      <c r="B24" s="272" t="s">
        <v>433</v>
      </c>
    </row>
    <row r="25" spans="2:2" ht="13.8" x14ac:dyDescent="0.25">
      <c r="B25" s="272" t="s">
        <v>434</v>
      </c>
    </row>
    <row r="26" spans="2:2" ht="13.8" x14ac:dyDescent="0.25">
      <c r="B26" s="272" t="s">
        <v>435</v>
      </c>
    </row>
    <row r="27" spans="2:2" ht="13.8" x14ac:dyDescent="0.25">
      <c r="B27" s="272" t="s">
        <v>436</v>
      </c>
    </row>
    <row r="28" spans="2:2" ht="13.8" x14ac:dyDescent="0.25">
      <c r="B28" s="272" t="s">
        <v>437</v>
      </c>
    </row>
    <row r="29" spans="2:2" ht="13.8" x14ac:dyDescent="0.25">
      <c r="B29" s="272" t="s">
        <v>438</v>
      </c>
    </row>
    <row r="30" spans="2:2" ht="13.8" x14ac:dyDescent="0.25">
      <c r="B30" s="272" t="s">
        <v>439</v>
      </c>
    </row>
    <row r="31" spans="2:2" ht="13.8" x14ac:dyDescent="0.25">
      <c r="B31" s="272" t="s">
        <v>440</v>
      </c>
    </row>
    <row r="32" spans="2:2" ht="13.8" x14ac:dyDescent="0.25">
      <c r="B32" s="272" t="s">
        <v>441</v>
      </c>
    </row>
    <row r="33" spans="2:2" ht="13.8" x14ac:dyDescent="0.25">
      <c r="B33" s="272" t="s">
        <v>442</v>
      </c>
    </row>
    <row r="34" spans="2:2" ht="13.8" x14ac:dyDescent="0.25">
      <c r="B34" s="272" t="s">
        <v>443</v>
      </c>
    </row>
    <row r="35" spans="2:2" ht="13.8" x14ac:dyDescent="0.25">
      <c r="B35" s="272" t="s">
        <v>444</v>
      </c>
    </row>
    <row r="36" spans="2:2" ht="13.8" x14ac:dyDescent="0.25">
      <c r="B36" s="272" t="s">
        <v>445</v>
      </c>
    </row>
    <row r="37" spans="2:2" ht="13.8" x14ac:dyDescent="0.25">
      <c r="B37" s="272" t="s">
        <v>446</v>
      </c>
    </row>
    <row r="38" spans="2:2" ht="13.8" x14ac:dyDescent="0.25">
      <c r="B38" s="272" t="s">
        <v>447</v>
      </c>
    </row>
    <row r="39" spans="2:2" ht="13.8" x14ac:dyDescent="0.25">
      <c r="B39" s="272" t="s">
        <v>448</v>
      </c>
    </row>
    <row r="40" spans="2:2" ht="13.8" x14ac:dyDescent="0.25">
      <c r="B40" s="272" t="s">
        <v>449</v>
      </c>
    </row>
    <row r="41" spans="2:2" ht="13.8" x14ac:dyDescent="0.25">
      <c r="B41" s="272" t="s">
        <v>450</v>
      </c>
    </row>
    <row r="42" spans="2:2" ht="13.8" x14ac:dyDescent="0.25">
      <c r="B42" s="272" t="s">
        <v>451</v>
      </c>
    </row>
    <row r="43" spans="2:2" ht="13.8" x14ac:dyDescent="0.25">
      <c r="B43" s="272" t="s">
        <v>452</v>
      </c>
    </row>
    <row r="44" spans="2:2" ht="13.8" x14ac:dyDescent="0.25">
      <c r="B44" s="272" t="s">
        <v>453</v>
      </c>
    </row>
    <row r="45" spans="2:2" ht="13.8" x14ac:dyDescent="0.25">
      <c r="B45" s="272" t="s">
        <v>454</v>
      </c>
    </row>
    <row r="46" spans="2:2" ht="13.8" x14ac:dyDescent="0.25">
      <c r="B46" s="272" t="s">
        <v>455</v>
      </c>
    </row>
    <row r="47" spans="2:2" ht="13.8" x14ac:dyDescent="0.25">
      <c r="B47" s="272" t="s">
        <v>456</v>
      </c>
    </row>
    <row r="48" spans="2:2" ht="13.8" x14ac:dyDescent="0.25">
      <c r="B48" s="272" t="s">
        <v>457</v>
      </c>
    </row>
    <row r="49" spans="2:2" ht="13.8" x14ac:dyDescent="0.25">
      <c r="B49" s="272" t="s">
        <v>458</v>
      </c>
    </row>
    <row r="50" spans="2:2" ht="13.8" x14ac:dyDescent="0.25">
      <c r="B50" s="272" t="s">
        <v>459</v>
      </c>
    </row>
    <row r="51" spans="2:2" ht="13.8" x14ac:dyDescent="0.25">
      <c r="B51" s="272" t="s">
        <v>460</v>
      </c>
    </row>
    <row r="52" spans="2:2" ht="13.8" x14ac:dyDescent="0.25">
      <c r="B52" s="272" t="s">
        <v>461</v>
      </c>
    </row>
    <row r="53" spans="2:2" ht="13.8" x14ac:dyDescent="0.25">
      <c r="B53" s="272" t="s">
        <v>462</v>
      </c>
    </row>
    <row r="54" spans="2:2" ht="13.8" x14ac:dyDescent="0.25">
      <c r="B54" s="272" t="s">
        <v>463</v>
      </c>
    </row>
    <row r="55" spans="2:2" ht="13.8" x14ac:dyDescent="0.25">
      <c r="B55" s="272" t="s">
        <v>464</v>
      </c>
    </row>
    <row r="56" spans="2:2" ht="13.8" x14ac:dyDescent="0.25">
      <c r="B56" s="272" t="s">
        <v>465</v>
      </c>
    </row>
    <row r="57" spans="2:2" ht="13.8" x14ac:dyDescent="0.25">
      <c r="B57" s="272" t="s">
        <v>466</v>
      </c>
    </row>
    <row r="58" spans="2:2" ht="13.8" x14ac:dyDescent="0.25">
      <c r="B58" s="272" t="s">
        <v>467</v>
      </c>
    </row>
    <row r="59" spans="2:2" ht="13.8" x14ac:dyDescent="0.25">
      <c r="B59" s="272" t="s">
        <v>468</v>
      </c>
    </row>
    <row r="60" spans="2:2" ht="13.8" x14ac:dyDescent="0.25">
      <c r="B60" s="272" t="s">
        <v>469</v>
      </c>
    </row>
    <row r="61" spans="2:2" ht="13.8" x14ac:dyDescent="0.25">
      <c r="B61" s="272" t="s">
        <v>470</v>
      </c>
    </row>
    <row r="62" spans="2:2" ht="13.8" x14ac:dyDescent="0.25">
      <c r="B62" s="272" t="s">
        <v>411</v>
      </c>
    </row>
    <row r="63" spans="2:2" ht="13.8" x14ac:dyDescent="0.25">
      <c r="B63" s="272" t="s">
        <v>471</v>
      </c>
    </row>
    <row r="64" spans="2:2" ht="13.8" x14ac:dyDescent="0.25">
      <c r="B64" s="272" t="s">
        <v>472</v>
      </c>
    </row>
    <row r="65" spans="2:2" ht="13.8" x14ac:dyDescent="0.25">
      <c r="B65" s="272" t="s">
        <v>473</v>
      </c>
    </row>
    <row r="66" spans="2:2" ht="13.8" x14ac:dyDescent="0.25">
      <c r="B66" s="272" t="s">
        <v>474</v>
      </c>
    </row>
    <row r="67" spans="2:2" ht="13.8" x14ac:dyDescent="0.25">
      <c r="B67" s="272" t="s">
        <v>475</v>
      </c>
    </row>
    <row r="68" spans="2:2" ht="13.8" x14ac:dyDescent="0.25">
      <c r="B68" s="272" t="s">
        <v>476</v>
      </c>
    </row>
    <row r="69" spans="2:2" ht="13.8" x14ac:dyDescent="0.25">
      <c r="B69" s="272" t="s">
        <v>477</v>
      </c>
    </row>
    <row r="70" spans="2:2" ht="13.8" x14ac:dyDescent="0.25">
      <c r="B70" s="272" t="s">
        <v>478</v>
      </c>
    </row>
    <row r="71" spans="2:2" ht="13.8" x14ac:dyDescent="0.25">
      <c r="B71" s="272" t="s">
        <v>479</v>
      </c>
    </row>
    <row r="72" spans="2:2" ht="13.8" x14ac:dyDescent="0.25">
      <c r="B72" s="272" t="s">
        <v>480</v>
      </c>
    </row>
    <row r="73" spans="2:2" ht="13.8" x14ac:dyDescent="0.25">
      <c r="B73" s="272" t="s">
        <v>481</v>
      </c>
    </row>
    <row r="74" spans="2:2" ht="13.8" x14ac:dyDescent="0.25">
      <c r="B74" s="272" t="s">
        <v>482</v>
      </c>
    </row>
    <row r="75" spans="2:2" ht="13.8" x14ac:dyDescent="0.25">
      <c r="B75" s="272" t="s">
        <v>483</v>
      </c>
    </row>
    <row r="76" spans="2:2" ht="13.8" x14ac:dyDescent="0.25">
      <c r="B76" s="272" t="s">
        <v>484</v>
      </c>
    </row>
    <row r="77" spans="2:2" ht="13.8" x14ac:dyDescent="0.25">
      <c r="B77" s="272" t="s">
        <v>485</v>
      </c>
    </row>
    <row r="78" spans="2:2" ht="13.8" x14ac:dyDescent="0.25">
      <c r="B78" s="272" t="s">
        <v>486</v>
      </c>
    </row>
    <row r="79" spans="2:2" ht="13.8" x14ac:dyDescent="0.25">
      <c r="B79" s="272" t="s">
        <v>487</v>
      </c>
    </row>
    <row r="80" spans="2:2" ht="13.8" x14ac:dyDescent="0.25">
      <c r="B80" s="272" t="s">
        <v>488</v>
      </c>
    </row>
    <row r="81" spans="2:2" ht="13.8" x14ac:dyDescent="0.25">
      <c r="B81" s="272" t="s">
        <v>489</v>
      </c>
    </row>
    <row r="82" spans="2:2" ht="13.8" x14ac:dyDescent="0.25">
      <c r="B82" s="272" t="s">
        <v>490</v>
      </c>
    </row>
    <row r="83" spans="2:2" ht="13.8" x14ac:dyDescent="0.25">
      <c r="B83" s="272" t="s">
        <v>491</v>
      </c>
    </row>
    <row r="84" spans="2:2" ht="13.8" x14ac:dyDescent="0.25">
      <c r="B84" s="272" t="s">
        <v>492</v>
      </c>
    </row>
    <row r="85" spans="2:2" ht="13.8" x14ac:dyDescent="0.25">
      <c r="B85" s="272" t="s">
        <v>493</v>
      </c>
    </row>
    <row r="86" spans="2:2" ht="13.8" x14ac:dyDescent="0.25">
      <c r="B86" s="272" t="s">
        <v>494</v>
      </c>
    </row>
    <row r="87" spans="2:2" ht="13.8" x14ac:dyDescent="0.25">
      <c r="B87" s="272" t="s">
        <v>495</v>
      </c>
    </row>
    <row r="88" spans="2:2" ht="13.8" x14ac:dyDescent="0.25">
      <c r="B88" s="272" t="s">
        <v>496</v>
      </c>
    </row>
    <row r="89" spans="2:2" ht="13.8" x14ac:dyDescent="0.25">
      <c r="B89" s="272" t="s">
        <v>497</v>
      </c>
    </row>
    <row r="90" spans="2:2" ht="13.8" x14ac:dyDescent="0.25">
      <c r="B90" s="272" t="s">
        <v>498</v>
      </c>
    </row>
    <row r="91" spans="2:2" ht="13.8" x14ac:dyDescent="0.25">
      <c r="B91" s="272" t="s">
        <v>499</v>
      </c>
    </row>
    <row r="92" spans="2:2" ht="13.8" x14ac:dyDescent="0.25">
      <c r="B92" s="272" t="s">
        <v>500</v>
      </c>
    </row>
    <row r="93" spans="2:2" ht="13.8" x14ac:dyDescent="0.25">
      <c r="B93" s="272" t="s">
        <v>501</v>
      </c>
    </row>
    <row r="94" spans="2:2" ht="13.8" x14ac:dyDescent="0.25">
      <c r="B94" s="272" t="s">
        <v>502</v>
      </c>
    </row>
    <row r="95" spans="2:2" ht="13.8" x14ac:dyDescent="0.25">
      <c r="B95" s="272" t="s">
        <v>503</v>
      </c>
    </row>
    <row r="96" spans="2:2" ht="13.8" x14ac:dyDescent="0.25">
      <c r="B96" s="272" t="s">
        <v>504</v>
      </c>
    </row>
    <row r="97" spans="2:2" ht="13.8" x14ac:dyDescent="0.25">
      <c r="B97" s="272" t="s">
        <v>505</v>
      </c>
    </row>
    <row r="98" spans="2:2" ht="13.8" x14ac:dyDescent="0.25">
      <c r="B98" s="272" t="s">
        <v>506</v>
      </c>
    </row>
    <row r="99" spans="2:2" ht="13.8" x14ac:dyDescent="0.25">
      <c r="B99" s="272" t="s">
        <v>507</v>
      </c>
    </row>
    <row r="100" spans="2:2" ht="13.8" x14ac:dyDescent="0.25">
      <c r="B100" s="272" t="s">
        <v>508</v>
      </c>
    </row>
    <row r="101" spans="2:2" ht="13.8" x14ac:dyDescent="0.25">
      <c r="B101" s="272" t="s">
        <v>509</v>
      </c>
    </row>
    <row r="102" spans="2:2" ht="13.8" x14ac:dyDescent="0.25">
      <c r="B102" s="272" t="s">
        <v>510</v>
      </c>
    </row>
    <row r="103" spans="2:2" ht="13.8" x14ac:dyDescent="0.25">
      <c r="B103" s="272" t="s">
        <v>511</v>
      </c>
    </row>
    <row r="104" spans="2:2" ht="13.8" x14ac:dyDescent="0.25">
      <c r="B104" s="272" t="s">
        <v>512</v>
      </c>
    </row>
    <row r="105" spans="2:2" ht="13.8" x14ac:dyDescent="0.25">
      <c r="B105" s="272" t="s">
        <v>513</v>
      </c>
    </row>
    <row r="106" spans="2:2" ht="13.8" x14ac:dyDescent="0.25">
      <c r="B106" s="272" t="s">
        <v>514</v>
      </c>
    </row>
    <row r="107" spans="2:2" ht="13.8" x14ac:dyDescent="0.25">
      <c r="B107" s="272" t="s">
        <v>515</v>
      </c>
    </row>
    <row r="108" spans="2:2" ht="13.8" x14ac:dyDescent="0.25">
      <c r="B108" s="272" t="s">
        <v>516</v>
      </c>
    </row>
    <row r="109" spans="2:2" ht="13.8" x14ac:dyDescent="0.25">
      <c r="B109" s="272" t="s">
        <v>517</v>
      </c>
    </row>
    <row r="110" spans="2:2" ht="13.8" x14ac:dyDescent="0.25">
      <c r="B110" s="272" t="s">
        <v>518</v>
      </c>
    </row>
    <row r="111" spans="2:2" ht="13.8" x14ac:dyDescent="0.25">
      <c r="B111" s="272" t="s">
        <v>519</v>
      </c>
    </row>
    <row r="112" spans="2:2" ht="13.8" x14ac:dyDescent="0.25">
      <c r="B112" s="272" t="s">
        <v>520</v>
      </c>
    </row>
    <row r="113" spans="2:2" ht="13.8" x14ac:dyDescent="0.25">
      <c r="B113" s="272" t="s">
        <v>521</v>
      </c>
    </row>
    <row r="114" spans="2:2" ht="13.8" x14ac:dyDescent="0.25">
      <c r="B114" s="272" t="s">
        <v>410</v>
      </c>
    </row>
  </sheetData>
  <conditionalFormatting sqref="B4:B5">
    <cfRule type="duplicateValues" dxfId="19" priority="3"/>
  </conditionalFormatting>
  <conditionalFormatting sqref="B6:B110">
    <cfRule type="duplicateValues" dxfId="18" priority="2"/>
  </conditionalFormatting>
  <conditionalFormatting sqref="D4:D9">
    <cfRule type="duplicateValues" dxfId="17" priority="1"/>
  </conditionalFormatting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002060"/>
    <pageSetUpPr autoPageBreaks="0"/>
  </sheetPr>
  <dimension ref="A1:P52"/>
  <sheetViews>
    <sheetView showGridLines="0" tabSelected="1" topLeftCell="B22" zoomScale="80" zoomScaleNormal="80" workbookViewId="0">
      <selection activeCell="H44" sqref="H44"/>
    </sheetView>
  </sheetViews>
  <sheetFormatPr baseColWidth="10" defaultColWidth="11.44140625" defaultRowHeight="14.4" x14ac:dyDescent="0.3"/>
  <cols>
    <col min="2" max="2" width="47.77734375" customWidth="1"/>
    <col min="3" max="3" width="28.44140625" style="55" customWidth="1"/>
    <col min="4" max="4" width="19.5546875" style="55" customWidth="1"/>
    <col min="5" max="5" width="26.88671875" style="55" customWidth="1"/>
    <col min="6" max="6" width="18.5546875" style="55" customWidth="1"/>
    <col min="7" max="7" width="21.88671875" style="55" customWidth="1"/>
    <col min="8" max="8" width="26.88671875" style="55" customWidth="1"/>
    <col min="9" max="9" width="21.88671875" style="154" customWidth="1"/>
    <col min="10" max="10" width="19.88671875" style="154" customWidth="1"/>
    <col min="11" max="11" width="21.88671875" style="154" customWidth="1"/>
    <col min="12" max="12" width="9.44140625" customWidth="1"/>
    <col min="13" max="13" width="24.5546875" customWidth="1"/>
    <col min="14" max="14" width="29" customWidth="1"/>
    <col min="15" max="15" width="30.44140625" customWidth="1"/>
    <col min="16" max="16" width="11.5546875" hidden="1" customWidth="1"/>
  </cols>
  <sheetData>
    <row r="1" spans="1:16" x14ac:dyDescent="0.3">
      <c r="C1"/>
      <c r="D1"/>
      <c r="E1"/>
      <c r="F1"/>
      <c r="G1"/>
      <c r="H1"/>
    </row>
    <row r="2" spans="1:16" x14ac:dyDescent="0.3">
      <c r="C2"/>
      <c r="D2"/>
      <c r="E2"/>
      <c r="F2"/>
      <c r="G2"/>
      <c r="H2"/>
    </row>
    <row r="3" spans="1:16" x14ac:dyDescent="0.3">
      <c r="C3"/>
      <c r="D3"/>
      <c r="E3"/>
      <c r="F3"/>
      <c r="G3"/>
      <c r="H3"/>
    </row>
    <row r="4" spans="1:16" x14ac:dyDescent="0.3">
      <c r="C4"/>
      <c r="D4"/>
      <c r="E4"/>
      <c r="F4"/>
      <c r="G4"/>
      <c r="H4"/>
    </row>
    <row r="5" spans="1:16" x14ac:dyDescent="0.3">
      <c r="C5"/>
      <c r="D5"/>
      <c r="E5"/>
      <c r="F5"/>
      <c r="G5"/>
      <c r="H5"/>
      <c r="P5" s="1"/>
    </row>
    <row r="6" spans="1:16" x14ac:dyDescent="0.3">
      <c r="C6" s="37" t="s">
        <v>401</v>
      </c>
      <c r="D6" s="37"/>
      <c r="E6" s="49" t="s">
        <v>4566</v>
      </c>
      <c r="F6"/>
      <c r="G6" s="45"/>
      <c r="H6" s="45"/>
      <c r="I6" s="155"/>
      <c r="J6" s="155"/>
      <c r="K6" s="155"/>
      <c r="P6" s="1"/>
    </row>
    <row r="7" spans="1:16" x14ac:dyDescent="0.3">
      <c r="B7" t="s">
        <v>304</v>
      </c>
      <c r="C7" s="37" t="s">
        <v>400</v>
      </c>
      <c r="D7" s="37"/>
      <c r="E7" s="18">
        <v>0.92280092592592589</v>
      </c>
      <c r="F7"/>
      <c r="G7"/>
      <c r="H7"/>
      <c r="I7" s="15"/>
      <c r="J7" s="15"/>
      <c r="K7" s="15"/>
      <c r="P7" s="1"/>
    </row>
    <row r="8" spans="1:16" x14ac:dyDescent="0.3">
      <c r="C8" s="37" t="s">
        <v>402</v>
      </c>
      <c r="D8" s="90" t="s">
        <v>2631</v>
      </c>
      <c r="E8" s="18">
        <v>0.92359953703703701</v>
      </c>
      <c r="F8"/>
      <c r="G8"/>
      <c r="H8"/>
      <c r="I8" s="15"/>
      <c r="J8" s="15"/>
      <c r="K8" s="15"/>
      <c r="P8" s="1"/>
    </row>
    <row r="9" spans="1:16" x14ac:dyDescent="0.3">
      <c r="C9" s="74" t="s">
        <v>403</v>
      </c>
      <c r="D9" s="10"/>
      <c r="E9" s="18">
        <f>global_heure_fin-global_heure_debut</f>
        <v>7.9861111111112493E-4</v>
      </c>
      <c r="F9"/>
      <c r="G9"/>
      <c r="H9"/>
      <c r="I9" s="155"/>
      <c r="J9" s="155"/>
      <c r="K9" s="155"/>
      <c r="P9" s="1"/>
    </row>
    <row r="10" spans="1:16" x14ac:dyDescent="0.3">
      <c r="C10" s="38"/>
      <c r="D10" s="38"/>
      <c r="E10" s="38"/>
      <c r="F10" s="18"/>
      <c r="G10"/>
      <c r="H10"/>
      <c r="I10" s="155"/>
      <c r="J10" s="155"/>
      <c r="K10" s="155"/>
      <c r="P10" s="1"/>
    </row>
    <row r="11" spans="1:16" ht="16.5" customHeight="1" x14ac:dyDescent="0.3">
      <c r="A11" s="12"/>
      <c r="B11" s="68" t="s">
        <v>526</v>
      </c>
      <c r="C11" s="12"/>
      <c r="D11" s="12"/>
      <c r="E11" s="12"/>
      <c r="F11" s="12"/>
      <c r="G11" s="12"/>
      <c r="H11" s="12"/>
      <c r="I11" s="156"/>
      <c r="J11" s="156"/>
      <c r="K11" s="156"/>
      <c r="P11" s="4"/>
    </row>
    <row r="12" spans="1:16" ht="9.9" customHeight="1" x14ac:dyDescent="0.3">
      <c r="C12" s="38"/>
      <c r="D12" s="38"/>
      <c r="E12" s="38"/>
      <c r="F12" s="18"/>
      <c r="G12"/>
      <c r="H12"/>
      <c r="I12" s="155"/>
      <c r="J12" s="155"/>
      <c r="K12" s="155"/>
      <c r="P12" s="1"/>
    </row>
    <row r="13" spans="1:16" ht="24.9" customHeight="1" x14ac:dyDescent="0.3">
      <c r="B13" s="19" t="s">
        <v>523</v>
      </c>
      <c r="C13" s="50">
        <v>45657</v>
      </c>
      <c r="D13" s="18"/>
      <c r="E13"/>
      <c r="F13"/>
      <c r="G13" s="14"/>
      <c r="H13" s="14"/>
      <c r="I13" s="155"/>
      <c r="N13" s="1"/>
    </row>
    <row r="14" spans="1:16" ht="9.9" customHeight="1" x14ac:dyDescent="0.3">
      <c r="C14" s="38"/>
      <c r="D14" s="38"/>
      <c r="E14" s="38"/>
      <c r="F14" s="18"/>
      <c r="G14"/>
      <c r="H14"/>
      <c r="I14" s="155"/>
      <c r="J14" s="155"/>
      <c r="K14" s="155"/>
      <c r="P14" s="1"/>
    </row>
    <row r="15" spans="1:16" ht="24.9" customHeight="1" x14ac:dyDescent="0.3">
      <c r="B15" s="19" t="s">
        <v>6500</v>
      </c>
      <c r="C15" s="50" t="s">
        <v>4589</v>
      </c>
      <c r="D15" s="18"/>
      <c r="E15"/>
      <c r="F15"/>
      <c r="G15" s="14"/>
      <c r="H15" s="14"/>
      <c r="I15" s="155"/>
      <c r="N15" s="1"/>
    </row>
    <row r="16" spans="1:16" ht="9" customHeight="1" x14ac:dyDescent="0.3">
      <c r="C16"/>
      <c r="D16"/>
      <c r="E16"/>
      <c r="F16"/>
      <c r="G16"/>
      <c r="H16"/>
      <c r="P16" s="1"/>
    </row>
    <row r="17" spans="1:16" ht="16.5" customHeight="1" x14ac:dyDescent="0.3">
      <c r="A17" s="12"/>
      <c r="B17" s="68" t="s">
        <v>527</v>
      </c>
      <c r="C17" s="12"/>
      <c r="D17" s="12"/>
      <c r="E17" s="12"/>
      <c r="F17" s="12"/>
      <c r="G17" s="12"/>
      <c r="H17" s="12"/>
      <c r="I17" s="156"/>
      <c r="J17" s="156"/>
      <c r="K17" s="156"/>
      <c r="P17" s="4"/>
    </row>
    <row r="18" spans="1:16" ht="9.9" customHeight="1" x14ac:dyDescent="0.3">
      <c r="C18"/>
      <c r="D18"/>
      <c r="E18"/>
      <c r="F18"/>
      <c r="G18"/>
      <c r="H18"/>
      <c r="P18" s="4"/>
    </row>
    <row r="19" spans="1:16" ht="24.75" customHeight="1" x14ac:dyDescent="0.3">
      <c r="C19" s="90" t="s">
        <v>6679</v>
      </c>
      <c r="D19" s="65"/>
      <c r="E19" s="65"/>
      <c r="F19" s="65"/>
      <c r="G19" s="65"/>
      <c r="H19" s="65"/>
      <c r="I19" s="9"/>
      <c r="J19" s="9"/>
      <c r="K19" s="9"/>
      <c r="P19" s="4"/>
    </row>
    <row r="20" spans="1:16" ht="9.9" customHeight="1" x14ac:dyDescent="0.3">
      <c r="C20"/>
      <c r="D20"/>
      <c r="E20"/>
      <c r="F20"/>
      <c r="G20"/>
      <c r="H20"/>
      <c r="P20" s="4"/>
    </row>
    <row r="21" spans="1:16" ht="24.9" customHeight="1" x14ac:dyDescent="0.3">
      <c r="C21" s="90" t="s">
        <v>6687</v>
      </c>
      <c r="D21" s="65"/>
      <c r="E21" s="65"/>
      <c r="F21" s="65"/>
      <c r="G21" s="65"/>
      <c r="H21" s="65"/>
      <c r="I21" s="9"/>
      <c r="J21" s="9"/>
      <c r="K21" s="9"/>
      <c r="L21" s="66"/>
      <c r="M21" s="66"/>
      <c r="N21" s="66"/>
      <c r="P21" s="4" t="e">
        <f>#REF!</f>
        <v>#REF!</v>
      </c>
    </row>
    <row r="22" spans="1:16" ht="24.9" customHeight="1" x14ac:dyDescent="0.3">
      <c r="C22"/>
      <c r="D22"/>
      <c r="E22"/>
      <c r="F22"/>
      <c r="G22"/>
      <c r="H22"/>
      <c r="P22" s="4"/>
    </row>
    <row r="23" spans="1:16" ht="16.5" customHeight="1" x14ac:dyDescent="0.3">
      <c r="A23" s="12"/>
      <c r="B23" s="68" t="s">
        <v>1244</v>
      </c>
      <c r="C23" s="12"/>
      <c r="D23" s="12"/>
      <c r="E23" s="12"/>
      <c r="F23" s="12"/>
      <c r="G23" s="12"/>
      <c r="H23" s="12"/>
      <c r="I23" s="156"/>
      <c r="J23" s="156"/>
      <c r="K23" s="156"/>
      <c r="P23" s="4"/>
    </row>
    <row r="24" spans="1:16" ht="10.5" customHeight="1" x14ac:dyDescent="0.3">
      <c r="C24" s="10"/>
      <c r="D24" s="10"/>
      <c r="E24" s="10"/>
      <c r="F24" s="10"/>
      <c r="G24" s="10"/>
      <c r="H24" s="10"/>
      <c r="I24" s="157"/>
      <c r="J24" s="157"/>
      <c r="K24" s="157"/>
      <c r="P24" s="4"/>
    </row>
    <row r="25" spans="1:16" ht="24.9" customHeight="1" x14ac:dyDescent="0.3">
      <c r="C25" s="90" t="s">
        <v>6695</v>
      </c>
      <c r="D25" s="65"/>
      <c r="E25" s="65"/>
      <c r="F25" s="65"/>
      <c r="G25" s="65"/>
      <c r="H25" s="65"/>
      <c r="I25" s="9"/>
      <c r="J25" s="9"/>
      <c r="K25" s="9"/>
      <c r="L25" s="66"/>
      <c r="M25" s="66"/>
      <c r="N25" s="66"/>
      <c r="P25" s="4">
        <f>B25</f>
        <v>0</v>
      </c>
    </row>
    <row r="26" spans="1:16" ht="15.6" customHeight="1" x14ac:dyDescent="0.3">
      <c r="C26"/>
      <c r="D26"/>
      <c r="E26"/>
      <c r="F26"/>
      <c r="G26"/>
      <c r="H26"/>
    </row>
    <row r="27" spans="1:16" ht="18.600000000000001" customHeight="1" x14ac:dyDescent="0.3">
      <c r="C27" s="90" t="s">
        <v>6681</v>
      </c>
      <c r="D27" s="65"/>
      <c r="E27" s="65"/>
      <c r="F27" s="65"/>
      <c r="G27" s="65"/>
      <c r="H27" s="65"/>
      <c r="I27" s="9"/>
      <c r="J27" s="9"/>
      <c r="K27" s="9"/>
    </row>
    <row r="28" spans="1:16" ht="15.6" customHeight="1" x14ac:dyDescent="0.3">
      <c r="C28"/>
      <c r="D28"/>
      <c r="E28"/>
      <c r="F28"/>
      <c r="G28"/>
      <c r="H28"/>
    </row>
    <row r="29" spans="1:16" ht="24.9" customHeight="1" x14ac:dyDescent="0.3">
      <c r="C29" s="90"/>
      <c r="D29" s="65"/>
      <c r="E29" s="65"/>
      <c r="F29" s="65"/>
      <c r="G29" s="65"/>
      <c r="H29" s="65"/>
      <c r="I29" s="9"/>
      <c r="J29" s="9"/>
      <c r="K29" s="9"/>
      <c r="L29" s="66"/>
      <c r="M29" s="66"/>
      <c r="N29" s="66"/>
      <c r="P29" s="4"/>
    </row>
    <row r="30" spans="1:16" ht="15.6" customHeight="1" x14ac:dyDescent="0.3">
      <c r="C30"/>
      <c r="D30"/>
      <c r="E30"/>
      <c r="F30"/>
      <c r="G30"/>
      <c r="H30"/>
    </row>
    <row r="31" spans="1:16" ht="18.600000000000001" customHeight="1" x14ac:dyDescent="0.3">
      <c r="C31" s="90" t="s">
        <v>6683</v>
      </c>
      <c r="D31" s="65"/>
      <c r="E31" s="65"/>
      <c r="F31" s="65"/>
      <c r="G31" s="65"/>
      <c r="H31" s="65"/>
      <c r="I31" s="9"/>
      <c r="J31" s="9"/>
      <c r="K31" s="9"/>
    </row>
    <row r="32" spans="1:16" ht="17.100000000000001" customHeight="1" x14ac:dyDescent="0.3">
      <c r="C32"/>
      <c r="D32"/>
      <c r="E32"/>
      <c r="F32"/>
      <c r="G32"/>
      <c r="H32"/>
    </row>
    <row r="33" spans="1:16" ht="16.5" customHeight="1" x14ac:dyDescent="0.3">
      <c r="A33" s="12"/>
      <c r="B33" s="68" t="s">
        <v>1245</v>
      </c>
      <c r="C33" s="12"/>
      <c r="D33" s="12"/>
      <c r="E33" s="12"/>
      <c r="F33" s="12"/>
      <c r="G33" s="12"/>
      <c r="H33" s="12"/>
      <c r="I33" s="156"/>
      <c r="J33" s="156"/>
      <c r="K33" s="156"/>
      <c r="P33" s="4"/>
    </row>
    <row r="34" spans="1:16" ht="9.9" customHeight="1" x14ac:dyDescent="0.3">
      <c r="C34"/>
      <c r="D34"/>
      <c r="E34"/>
      <c r="F34"/>
      <c r="G34"/>
      <c r="H34"/>
    </row>
    <row r="35" spans="1:16" ht="24.9" customHeight="1" x14ac:dyDescent="0.3">
      <c r="C35" s="90" t="s">
        <v>6684</v>
      </c>
      <c r="D35" s="65"/>
      <c r="E35" s="65"/>
      <c r="F35" s="65"/>
      <c r="G35" s="65"/>
      <c r="H35" s="65"/>
      <c r="I35" s="9"/>
      <c r="J35" s="9"/>
      <c r="K35" s="9"/>
      <c r="L35" s="66"/>
      <c r="M35" s="66"/>
      <c r="N35" s="66"/>
    </row>
    <row r="36" spans="1:16" ht="24.9" customHeight="1" x14ac:dyDescent="0.3">
      <c r="C36"/>
      <c r="D36"/>
      <c r="E36"/>
      <c r="F36"/>
      <c r="G36"/>
      <c r="H36"/>
    </row>
    <row r="37" spans="1:16" ht="16.5" customHeight="1" x14ac:dyDescent="0.3">
      <c r="A37" s="12"/>
      <c r="B37" s="68" t="s">
        <v>1246</v>
      </c>
      <c r="C37" s="12"/>
      <c r="D37" s="12"/>
      <c r="E37" s="12"/>
      <c r="F37" s="12"/>
      <c r="G37" s="12"/>
      <c r="H37" s="12"/>
      <c r="I37" s="156"/>
      <c r="J37" s="156"/>
      <c r="K37" s="156"/>
      <c r="P37" s="4"/>
    </row>
    <row r="38" spans="1:16" ht="9.9" customHeight="1" x14ac:dyDescent="0.3">
      <c r="C38"/>
      <c r="D38"/>
      <c r="E38"/>
      <c r="F38"/>
      <c r="G38"/>
      <c r="H38"/>
    </row>
    <row r="39" spans="1:16" x14ac:dyDescent="0.3">
      <c r="B39" s="47" t="s">
        <v>598</v>
      </c>
      <c r="C39" s="52" t="s">
        <v>6694</v>
      </c>
      <c r="D39"/>
      <c r="E39"/>
      <c r="F39"/>
      <c r="G39"/>
      <c r="H39"/>
    </row>
    <row r="40" spans="1:16" ht="15" customHeight="1" x14ac:dyDescent="0.3">
      <c r="B40" s="47" t="s">
        <v>600</v>
      </c>
      <c r="C40" s="80" t="s">
        <v>434</v>
      </c>
      <c r="D40"/>
      <c r="E40"/>
      <c r="F40"/>
      <c r="G40"/>
      <c r="H40"/>
    </row>
    <row r="41" spans="1:16" ht="15" customHeight="1" x14ac:dyDescent="0.3">
      <c r="B41" s="47" t="s">
        <v>1228</v>
      </c>
      <c r="C41" s="80" t="s">
        <v>6693</v>
      </c>
      <c r="D41"/>
      <c r="E41"/>
      <c r="F41"/>
      <c r="G41"/>
      <c r="H41"/>
    </row>
    <row r="42" spans="1:16" ht="15" customHeight="1" x14ac:dyDescent="0.3">
      <c r="B42" s="47" t="s">
        <v>6502</v>
      </c>
      <c r="C42" s="80" t="s">
        <v>4539</v>
      </c>
      <c r="D42"/>
      <c r="E42"/>
      <c r="F42"/>
      <c r="G42"/>
      <c r="H42"/>
    </row>
    <row r="43" spans="1:16" ht="15" customHeight="1" x14ac:dyDescent="0.3">
      <c r="B43" s="47" t="s">
        <v>6503</v>
      </c>
      <c r="C43" s="52"/>
      <c r="D43"/>
      <c r="E43"/>
      <c r="F43"/>
      <c r="G43"/>
      <c r="H43"/>
      <c r="P43" t="str">
        <f>C39</f>
        <v>FORWARD_-200</v>
      </c>
    </row>
    <row r="44" spans="1:16" ht="15" customHeight="1" x14ac:dyDescent="0.3">
      <c r="B44" s="47" t="s">
        <v>6504</v>
      </c>
      <c r="C44" s="52"/>
      <c r="D44"/>
      <c r="E44"/>
      <c r="F44"/>
      <c r="G44"/>
      <c r="H44"/>
      <c r="P44">
        <f>C43</f>
        <v>0</v>
      </c>
    </row>
    <row r="45" spans="1:16" ht="15" customHeight="1" x14ac:dyDescent="0.3">
      <c r="B45" s="47" t="s">
        <v>6505</v>
      </c>
      <c r="C45" s="52"/>
      <c r="D45"/>
      <c r="E45"/>
      <c r="F45"/>
      <c r="G45"/>
      <c r="H45"/>
    </row>
    <row r="46" spans="1:16" ht="15" customHeight="1" x14ac:dyDescent="0.3">
      <c r="B46" s="47" t="s">
        <v>6506</v>
      </c>
      <c r="C46" s="52"/>
      <c r="D46"/>
      <c r="E46"/>
      <c r="F46" s="58"/>
      <c r="G46"/>
      <c r="H46"/>
    </row>
    <row r="47" spans="1:16" ht="15" customHeight="1" x14ac:dyDescent="0.3">
      <c r="B47" s="47" t="s">
        <v>6507</v>
      </c>
      <c r="C47" s="52"/>
      <c r="D47"/>
      <c r="E47"/>
      <c r="F47" s="58"/>
      <c r="G47"/>
      <c r="H47"/>
    </row>
    <row r="48" spans="1:16" x14ac:dyDescent="0.3">
      <c r="C48"/>
      <c r="D48"/>
      <c r="E48"/>
      <c r="F48"/>
      <c r="G48"/>
      <c r="H48"/>
    </row>
    <row r="49" spans="3:12" x14ac:dyDescent="0.3">
      <c r="C49" s="36" t="s">
        <v>262</v>
      </c>
      <c r="D49" s="36" t="s">
        <v>599</v>
      </c>
      <c r="E49" s="36" t="s">
        <v>603</v>
      </c>
      <c r="F49" s="36" t="s">
        <v>6501</v>
      </c>
      <c r="G49" s="36" t="s">
        <v>597</v>
      </c>
      <c r="H49" s="36" t="s">
        <v>1596</v>
      </c>
      <c r="I49" s="36" t="s">
        <v>2653</v>
      </c>
      <c r="J49" s="36" t="s">
        <v>524</v>
      </c>
      <c r="K49" s="36" t="s">
        <v>1241</v>
      </c>
      <c r="L49" s="8"/>
    </row>
    <row r="50" spans="3:12" x14ac:dyDescent="0.3">
      <c r="C50" s="55" t="s">
        <v>4589</v>
      </c>
      <c r="D50" s="55" t="s">
        <v>434</v>
      </c>
      <c r="E50" s="55" t="s">
        <v>229</v>
      </c>
      <c r="F50" s="55" t="s">
        <v>4539</v>
      </c>
      <c r="G50" s="55" t="s">
        <v>4588</v>
      </c>
      <c r="H50" s="55" t="s">
        <v>6667</v>
      </c>
      <c r="I50" s="154" t="s">
        <v>6685</v>
      </c>
      <c r="J50" s="154" t="s">
        <v>4551</v>
      </c>
      <c r="K50" s="154" t="s">
        <v>6686</v>
      </c>
    </row>
    <row r="51" spans="3:12" x14ac:dyDescent="0.3">
      <c r="C51" s="55" t="s">
        <v>6692</v>
      </c>
      <c r="D51" s="55" t="s">
        <v>434</v>
      </c>
      <c r="E51" s="55" t="s">
        <v>6691</v>
      </c>
      <c r="F51" s="55" t="s">
        <v>4539</v>
      </c>
      <c r="G51" s="55" t="s">
        <v>4588</v>
      </c>
      <c r="H51" s="55" t="s">
        <v>6667</v>
      </c>
      <c r="I51" s="154" t="s">
        <v>6685</v>
      </c>
      <c r="J51" s="154" t="s">
        <v>4551</v>
      </c>
      <c r="K51" s="154" t="s">
        <v>6686</v>
      </c>
    </row>
    <row r="52" spans="3:12" x14ac:dyDescent="0.3">
      <c r="C52" s="55" t="s">
        <v>6694</v>
      </c>
      <c r="D52" s="55" t="s">
        <v>434</v>
      </c>
      <c r="E52" s="55" t="s">
        <v>6693</v>
      </c>
      <c r="F52" s="55" t="s">
        <v>4539</v>
      </c>
      <c r="G52" s="55" t="s">
        <v>4588</v>
      </c>
      <c r="H52" s="55" t="s">
        <v>6667</v>
      </c>
      <c r="I52" s="154" t="s">
        <v>6685</v>
      </c>
      <c r="J52" s="154" t="s">
        <v>4551</v>
      </c>
      <c r="K52" s="154" t="s">
        <v>6686</v>
      </c>
    </row>
  </sheetData>
  <dataConsolidate/>
  <conditionalFormatting sqref="L46:XFD47 A46:J47">
    <cfRule type="expression" dxfId="16" priority="7">
      <formula>#REF!&lt;&gt;"BPCE"</formula>
    </cfRule>
  </conditionalFormatting>
  <conditionalFormatting sqref="K46:K47">
    <cfRule type="expression" dxfId="15" priority="2">
      <formula>#REF!&lt;&gt;"BPCE"</formula>
    </cfRule>
  </conditionalFormatting>
  <conditionalFormatting sqref="A29:XFD29">
    <cfRule type="expression" dxfId="14" priority="15">
      <formula>#REF!="AUTRE"</formula>
    </cfRule>
  </conditionalFormatting>
  <dataValidations count="9">
    <dataValidation type="list" allowBlank="1" showInputMessage="1" showErrorMessage="1" sqref="F46:F47" xr:uid="{CC5EE531-BFD8-439B-95AC-290A2494B088}">
      <formula1>_LIST_CHOCS_PN</formula1>
    </dataValidation>
    <dataValidation type="date" allowBlank="1" showInputMessage="1" showErrorMessage="1" sqref="C13:D13 D15" xr:uid="{C025C08A-CAFF-4A15-9D6F-59894781486B}">
      <formula1>1</formula1>
      <formula2>256036</formula2>
    </dataValidation>
    <dataValidation type="list" allowBlank="1" showInputMessage="1" showErrorMessage="1" errorTitle="Error" error="Please Provide a Valid Input" sqref="C15" xr:uid="{46E5F9EF-F020-4189-86A6-9980FEDA8A11}">
      <formula1>"FORWARD,FORWARD_200,FORWARD_TEST"</formula1>
    </dataValidation>
    <dataValidation type="list" allowBlank="1" showInputMessage="1" showErrorMessage="1" errorTitle="Error" error="Please Provide a Valid Input" sqref="C46" xr:uid="{192C5483-BAEE-4F7E-B9E6-270234079CD8}">
      <formula1>"TEST_BPCE"</formula1>
    </dataValidation>
    <dataValidation type="list" allowBlank="1" showInputMessage="1" showErrorMessage="1" errorTitle="Error" error="Please Provide a Valid Input" sqref="C44" xr:uid="{E492EE15-974E-44F6-88ED-864B0704BFA3}">
      <formula1>"AJPN1"</formula1>
    </dataValidation>
    <dataValidation type="list" allowBlank="1" showInputMessage="1" showErrorMessage="1" errorTitle="Error" error="Please Provide a Valid Input" sqref="C47" xr:uid="{17E02810-3A85-41FB-9A49-48E832D96138}">
      <formula1>"Surcouche_0,Baisse_Rev,Pentif_Rev,Hausse_Rev,Aplati_Rev,Surcouche_33%,Surcouche_100%,Baisse_Rev_Proj,Pentif_Rev_Proj,Hausse_Rev_Proj,Aplati_Rev_Proj"</formula1>
    </dataValidation>
    <dataValidation type="list" allowBlank="1" showInputMessage="1" showErrorMessage="1" errorTitle="Error" error="Please Provide a Valid Input" sqref="C45" xr:uid="{BC431248-4237-465B-90C9-68A36F53DCB9}">
      <formula1>"TEST,TEST2"</formula1>
    </dataValidation>
    <dataValidation type="list" allowBlank="1" showInputMessage="1" showErrorMessage="1" errorTitle="Error" error="Please Provide a Valid Input" sqref="C43" xr:uid="{F12E865E-1061-4C07-B717-E73A480CB518}">
      <formula1>"400bps"</formula1>
    </dataValidation>
    <dataValidation type="list" allowBlank="1" showInputMessage="1" showErrorMessage="1" errorTitle="Error" error="Please Provide a Valid Input" sqref="C42" xr:uid="{C9F9CC0F-DC0E-4EF9-8B2F-F9769EFE0610}">
      <formula1>"RECALCUL1"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résentation">
    <tabColor theme="7" tint="0.39997558519241921"/>
  </sheetPr>
  <dimension ref="B1:T242"/>
  <sheetViews>
    <sheetView showGridLines="0" zoomScale="85" zoomScaleNormal="85" workbookViewId="0">
      <selection activeCell="C56" sqref="C56"/>
    </sheetView>
  </sheetViews>
  <sheetFormatPr baseColWidth="10" defaultColWidth="8.88671875" defaultRowHeight="14.4" x14ac:dyDescent="0.3"/>
  <cols>
    <col min="2" max="2" width="34.5546875" style="55" customWidth="1"/>
    <col min="3" max="3" width="17.88671875" style="55" bestFit="1" customWidth="1"/>
    <col min="4" max="4" width="13.109375" style="55" customWidth="1"/>
    <col min="5" max="5" width="17.109375" style="55" customWidth="1"/>
    <col min="6" max="6" width="15.5546875" style="55" customWidth="1"/>
    <col min="7" max="7" width="19.5546875" style="55" customWidth="1"/>
    <col min="8" max="8" width="10.88671875" style="55" customWidth="1"/>
    <col min="9" max="9" width="13.44140625" style="57" customWidth="1"/>
    <col min="10" max="10" width="14.44140625" style="55" customWidth="1"/>
    <col min="11" max="11" width="12.109375" style="55" customWidth="1"/>
    <col min="12" max="12" width="15.109375" style="55" customWidth="1"/>
    <col min="13" max="13" width="21.109375" style="61" customWidth="1"/>
    <col min="14" max="14" width="27.44140625" style="61" customWidth="1"/>
    <col min="15" max="15" width="13.5546875" customWidth="1"/>
    <col min="16" max="16" width="13.5546875" bestFit="1" customWidth="1"/>
    <col min="17" max="17" width="14.5546875" style="4" customWidth="1"/>
  </cols>
  <sheetData>
    <row r="1" spans="2:20" x14ac:dyDescent="0.3">
      <c r="B1"/>
      <c r="C1"/>
      <c r="D1"/>
      <c r="E1"/>
      <c r="F1"/>
      <c r="G1"/>
      <c r="H1"/>
      <c r="I1"/>
      <c r="J1"/>
      <c r="K1"/>
      <c r="L1"/>
      <c r="M1"/>
      <c r="N1"/>
    </row>
    <row r="2" spans="2:20" x14ac:dyDescent="0.3">
      <c r="B2"/>
      <c r="C2"/>
      <c r="D2"/>
      <c r="E2"/>
      <c r="F2"/>
      <c r="G2"/>
      <c r="H2"/>
      <c r="I2"/>
      <c r="J2"/>
      <c r="K2"/>
      <c r="L2"/>
      <c r="M2"/>
      <c r="N2"/>
    </row>
    <row r="3" spans="2:20" x14ac:dyDescent="0.3">
      <c r="B3"/>
      <c r="C3"/>
      <c r="D3"/>
      <c r="E3"/>
      <c r="F3"/>
      <c r="G3"/>
      <c r="H3"/>
      <c r="I3"/>
      <c r="J3"/>
      <c r="K3"/>
      <c r="L3"/>
      <c r="M3"/>
      <c r="N3"/>
    </row>
    <row r="4" spans="2:20" x14ac:dyDescent="0.3">
      <c r="B4"/>
      <c r="C4"/>
      <c r="D4"/>
      <c r="E4"/>
      <c r="F4"/>
      <c r="G4"/>
      <c r="H4"/>
      <c r="I4"/>
      <c r="J4"/>
      <c r="K4"/>
      <c r="L4"/>
      <c r="M4"/>
      <c r="N4"/>
    </row>
    <row r="5" spans="2:20" x14ac:dyDescent="0.3">
      <c r="B5"/>
      <c r="C5"/>
      <c r="D5"/>
      <c r="E5"/>
      <c r="F5"/>
      <c r="G5"/>
      <c r="H5"/>
      <c r="I5"/>
      <c r="J5"/>
      <c r="K5"/>
      <c r="L5"/>
      <c r="M5"/>
      <c r="N5"/>
    </row>
    <row r="6" spans="2:20" s="12" customFormat="1" ht="16.5" customHeight="1" x14ac:dyDescent="0.3">
      <c r="B6" s="310" t="s">
        <v>263</v>
      </c>
      <c r="C6" s="310"/>
      <c r="D6" s="310"/>
      <c r="E6" s="310"/>
      <c r="F6" s="310"/>
      <c r="G6" s="310"/>
      <c r="O6" s="13"/>
    </row>
    <row r="7" spans="2:20" ht="9.9" customHeight="1" thickBot="1" x14ac:dyDescent="0.35">
      <c r="B7"/>
      <c r="C7"/>
      <c r="D7"/>
      <c r="E7"/>
      <c r="F7"/>
      <c r="G7"/>
      <c r="H7"/>
      <c r="I7"/>
      <c r="J7"/>
      <c r="K7"/>
      <c r="L7"/>
      <c r="M7"/>
      <c r="N7"/>
    </row>
    <row r="8" spans="2:20" ht="3.75" customHeight="1" x14ac:dyDescent="0.3">
      <c r="B8" s="31"/>
      <c r="C8" s="21"/>
      <c r="D8" s="21"/>
      <c r="E8" s="21"/>
      <c r="F8" s="21"/>
      <c r="G8" s="22"/>
      <c r="H8"/>
      <c r="I8"/>
      <c r="J8"/>
      <c r="K8"/>
      <c r="L8"/>
      <c r="M8"/>
      <c r="N8"/>
      <c r="Q8" s="4">
        <f>C9</f>
        <v>0</v>
      </c>
    </row>
    <row r="9" spans="2:20" ht="20.25" customHeight="1" x14ac:dyDescent="0.3">
      <c r="B9" s="23" t="s">
        <v>262</v>
      </c>
      <c r="C9" s="33"/>
      <c r="D9"/>
      <c r="E9" s="20" t="s">
        <v>264</v>
      </c>
      <c r="F9" s="32" t="s">
        <v>197</v>
      </c>
      <c r="G9" s="30"/>
      <c r="H9"/>
      <c r="I9"/>
      <c r="J9"/>
      <c r="K9"/>
      <c r="L9"/>
      <c r="M9"/>
      <c r="N9"/>
    </row>
    <row r="10" spans="2:20" ht="6" customHeight="1" thickBot="1" x14ac:dyDescent="0.35">
      <c r="B10" s="29"/>
      <c r="C10" s="34"/>
      <c r="D10" s="27"/>
      <c r="E10" s="27"/>
      <c r="F10" s="34"/>
      <c r="G10" s="28"/>
      <c r="H10"/>
      <c r="I10"/>
      <c r="J10"/>
      <c r="K10"/>
      <c r="L10"/>
      <c r="M10"/>
      <c r="N10"/>
      <c r="Q10" s="4">
        <f>C12</f>
        <v>0</v>
      </c>
      <c r="S10" s="1"/>
      <c r="T10" s="1"/>
    </row>
    <row r="11" spans="2:20" ht="5.25" customHeight="1" x14ac:dyDescent="0.3">
      <c r="B11" s="25"/>
      <c r="C11" s="35"/>
      <c r="D11"/>
      <c r="E11"/>
      <c r="F11" s="35"/>
      <c r="G11" s="24"/>
      <c r="H11"/>
      <c r="I11"/>
      <c r="J11"/>
      <c r="K11"/>
      <c r="L11"/>
      <c r="M11"/>
      <c r="N11"/>
      <c r="S11" s="1"/>
      <c r="T11" s="1"/>
    </row>
    <row r="12" spans="2:20" x14ac:dyDescent="0.3">
      <c r="B12" s="23" t="s">
        <v>265</v>
      </c>
      <c r="C12" s="52"/>
      <c r="D12"/>
      <c r="E12" s="20" t="s">
        <v>271</v>
      </c>
      <c r="F12" s="33"/>
      <c r="G12" s="24"/>
      <c r="H12"/>
      <c r="I12"/>
      <c r="J12"/>
      <c r="K12"/>
      <c r="L12" s="47" t="s">
        <v>601</v>
      </c>
      <c r="M12" s="80" t="s">
        <v>229</v>
      </c>
      <c r="Q12" s="4" t="str">
        <f t="shared" ref="Q12:Q17" si="0">C13</f>
        <v xml:space="preserve">UNSECURED E1D </v>
      </c>
      <c r="S12" s="1"/>
      <c r="T12" s="1"/>
    </row>
    <row r="13" spans="2:20" x14ac:dyDescent="0.3">
      <c r="B13" s="23" t="s">
        <v>266</v>
      </c>
      <c r="C13" s="52" t="s">
        <v>404</v>
      </c>
      <c r="D13"/>
      <c r="E13" s="20" t="s">
        <v>272</v>
      </c>
      <c r="F13" s="33"/>
      <c r="G13" s="24"/>
      <c r="H13"/>
      <c r="I13"/>
      <c r="J13"/>
      <c r="K13"/>
      <c r="L13"/>
      <c r="M13"/>
      <c r="N13"/>
      <c r="Q13" s="4">
        <f t="shared" si="0"/>
        <v>0</v>
      </c>
      <c r="S13" s="1"/>
      <c r="T13" s="1"/>
    </row>
    <row r="14" spans="2:20" x14ac:dyDescent="0.3">
      <c r="B14" s="23" t="s">
        <v>267</v>
      </c>
      <c r="C14" s="52"/>
      <c r="D14"/>
      <c r="E14" s="20" t="s">
        <v>273</v>
      </c>
      <c r="F14" s="62"/>
      <c r="G14" s="64" t="s">
        <v>306</v>
      </c>
      <c r="H14"/>
      <c r="I14"/>
      <c r="J14"/>
      <c r="K14"/>
      <c r="L14"/>
      <c r="M14"/>
      <c r="N14"/>
      <c r="Q14" s="4">
        <f t="shared" si="0"/>
        <v>0</v>
      </c>
      <c r="S14" s="1"/>
      <c r="T14" s="1"/>
    </row>
    <row r="15" spans="2:20" x14ac:dyDescent="0.3">
      <c r="B15" s="23" t="s">
        <v>268</v>
      </c>
      <c r="C15" s="52"/>
      <c r="D15"/>
      <c r="E15" s="20" t="s">
        <v>274</v>
      </c>
      <c r="F15" s="62"/>
      <c r="G15" s="64" t="s">
        <v>306</v>
      </c>
      <c r="H15"/>
      <c r="I15"/>
      <c r="J15"/>
      <c r="K15"/>
      <c r="L15"/>
      <c r="M15"/>
      <c r="N15"/>
      <c r="Q15" s="4">
        <f t="shared" si="0"/>
        <v>0</v>
      </c>
      <c r="S15" s="1"/>
      <c r="T15" s="1"/>
    </row>
    <row r="16" spans="2:20" x14ac:dyDescent="0.3">
      <c r="B16" s="23" t="s">
        <v>269</v>
      </c>
      <c r="C16" s="52"/>
      <c r="D16"/>
      <c r="E16"/>
      <c r="F16" s="45" t="s">
        <v>406</v>
      </c>
      <c r="G16" s="24"/>
      <c r="H16"/>
      <c r="I16"/>
      <c r="J16"/>
      <c r="K16"/>
      <c r="L16"/>
      <c r="M16"/>
      <c r="N16"/>
      <c r="Q16" s="4">
        <f t="shared" si="0"/>
        <v>0</v>
      </c>
      <c r="S16" s="1"/>
      <c r="T16" s="1"/>
    </row>
    <row r="17" spans="2:20" x14ac:dyDescent="0.3">
      <c r="B17" s="23" t="s">
        <v>275</v>
      </c>
      <c r="C17" s="59"/>
      <c r="D17" s="63" t="s">
        <v>4571</v>
      </c>
      <c r="E17"/>
      <c r="F17" s="45"/>
      <c r="G17" s="24"/>
      <c r="H17"/>
      <c r="I17"/>
      <c r="J17"/>
      <c r="K17"/>
      <c r="L17"/>
      <c r="M17"/>
      <c r="N17"/>
      <c r="Q17" s="4">
        <f t="shared" si="0"/>
        <v>0</v>
      </c>
      <c r="S17" s="1"/>
      <c r="T17" s="1"/>
    </row>
    <row r="18" spans="2:20" x14ac:dyDescent="0.3">
      <c r="B18" s="23" t="s">
        <v>270</v>
      </c>
      <c r="C18" s="44"/>
      <c r="D18"/>
      <c r="E18"/>
      <c r="F18" s="45"/>
      <c r="G18" s="24"/>
      <c r="H18"/>
      <c r="I18"/>
      <c r="J18"/>
      <c r="K18"/>
      <c r="L18"/>
      <c r="M18"/>
      <c r="N18"/>
      <c r="Q18" s="4">
        <f>F12</f>
        <v>0</v>
      </c>
      <c r="S18" s="1"/>
      <c r="T18" s="1"/>
    </row>
    <row r="19" spans="2:20" ht="4.5" customHeight="1" thickBot="1" x14ac:dyDescent="0.35">
      <c r="B19" s="26"/>
      <c r="C19" s="27"/>
      <c r="D19" s="27"/>
      <c r="E19" s="27"/>
      <c r="F19" s="27"/>
      <c r="G19" s="28"/>
      <c r="H19"/>
      <c r="I19"/>
      <c r="J19"/>
      <c r="K19"/>
      <c r="L19"/>
      <c r="M19"/>
      <c r="N19"/>
      <c r="Q19" s="4">
        <f>F13</f>
        <v>0</v>
      </c>
      <c r="S19" s="1"/>
      <c r="T19" s="1"/>
    </row>
    <row r="20" spans="2:20" ht="24.9" customHeight="1" x14ac:dyDescent="0.3">
      <c r="B20"/>
      <c r="C20"/>
      <c r="D20"/>
      <c r="E20"/>
      <c r="F20"/>
      <c r="G20"/>
      <c r="H20"/>
      <c r="I20"/>
      <c r="J20"/>
      <c r="K20"/>
      <c r="L20"/>
      <c r="M20"/>
      <c r="N20"/>
      <c r="Q20" s="4">
        <f>F14</f>
        <v>0</v>
      </c>
      <c r="S20" s="1"/>
      <c r="T20" s="1"/>
    </row>
    <row r="21" spans="2:20" s="12" customFormat="1" ht="16.5" customHeight="1" x14ac:dyDescent="0.3">
      <c r="B21" s="310" t="s">
        <v>276</v>
      </c>
      <c r="C21" s="310"/>
      <c r="D21" s="310"/>
      <c r="E21" s="310"/>
      <c r="F21" s="310"/>
      <c r="O21" s="13"/>
    </row>
    <row r="22" spans="2:20" ht="9.9" customHeight="1" x14ac:dyDescent="0.3">
      <c r="B22"/>
      <c r="C22"/>
      <c r="D22"/>
      <c r="E22"/>
      <c r="F22"/>
      <c r="G22"/>
      <c r="H22"/>
      <c r="I22"/>
      <c r="J22"/>
      <c r="K22"/>
      <c r="L22"/>
      <c r="M22"/>
      <c r="N22"/>
      <c r="Q22" s="4">
        <f>H13</f>
        <v>0</v>
      </c>
      <c r="S22" s="1"/>
      <c r="T22" s="1"/>
    </row>
    <row r="23" spans="2:20" ht="12.75" customHeight="1" x14ac:dyDescent="0.3">
      <c r="B23"/>
      <c r="C23"/>
      <c r="D23"/>
      <c r="E23"/>
      <c r="F23" s="37" t="s">
        <v>295</v>
      </c>
      <c r="G23" s="18"/>
      <c r="H23"/>
      <c r="I23"/>
      <c r="J23"/>
      <c r="K23"/>
      <c r="L23"/>
      <c r="M23"/>
      <c r="N23"/>
      <c r="S23" s="1"/>
      <c r="T23" s="1"/>
    </row>
    <row r="24" spans="2:20" ht="11.25" customHeight="1" x14ac:dyDescent="0.3">
      <c r="B24"/>
      <c r="C24"/>
      <c r="D24"/>
      <c r="E24"/>
      <c r="F24" s="37" t="s">
        <v>277</v>
      </c>
      <c r="G24" s="18"/>
      <c r="H24" s="16"/>
      <c r="I24" s="2"/>
      <c r="J24"/>
      <c r="K24"/>
      <c r="L24"/>
      <c r="M24"/>
      <c r="N24"/>
      <c r="S24" s="1"/>
      <c r="T24" s="1"/>
    </row>
    <row r="25" spans="2:20" ht="11.25" customHeight="1" x14ac:dyDescent="0.3">
      <c r="B25"/>
      <c r="C25"/>
      <c r="D25"/>
      <c r="E25"/>
      <c r="F25" s="37" t="s">
        <v>278</v>
      </c>
      <c r="G25" s="18"/>
      <c r="H25" s="16"/>
      <c r="I25" s="3"/>
      <c r="J25"/>
      <c r="K25"/>
      <c r="L25"/>
      <c r="M25"/>
      <c r="N25"/>
      <c r="S25" s="1"/>
      <c r="T25" s="1"/>
    </row>
    <row r="26" spans="2:20" ht="11.25" customHeight="1" x14ac:dyDescent="0.3">
      <c r="B26"/>
      <c r="C26"/>
      <c r="D26"/>
      <c r="E26"/>
      <c r="F26" s="39" t="s">
        <v>279</v>
      </c>
      <c r="G26" s="18">
        <f>tx_heure_fin-tx_heure_debut</f>
        <v>0</v>
      </c>
      <c r="H26" s="17"/>
      <c r="I26" s="3"/>
      <c r="J26"/>
      <c r="K26"/>
      <c r="L26"/>
      <c r="M26"/>
      <c r="N26"/>
      <c r="S26" s="1"/>
      <c r="T26" s="1"/>
    </row>
    <row r="27" spans="2:20" ht="9.9" customHeight="1" x14ac:dyDescent="0.3">
      <c r="B27"/>
      <c r="C27"/>
      <c r="D27"/>
      <c r="E27"/>
      <c r="F27"/>
      <c r="G27"/>
      <c r="H27"/>
      <c r="I27"/>
      <c r="J27"/>
      <c r="K27"/>
      <c r="L27"/>
      <c r="M27"/>
      <c r="N27"/>
      <c r="S27" s="1"/>
      <c r="T27" s="1"/>
    </row>
    <row r="28" spans="2:20" ht="9.9" customHeight="1" x14ac:dyDescent="0.3">
      <c r="B28"/>
      <c r="C28"/>
      <c r="D28"/>
      <c r="E28"/>
      <c r="F28"/>
      <c r="G28"/>
      <c r="H28"/>
      <c r="I28"/>
      <c r="J28"/>
      <c r="K28"/>
      <c r="L28"/>
      <c r="M28"/>
      <c r="N28"/>
      <c r="Q28" s="4">
        <f>H14</f>
        <v>0</v>
      </c>
      <c r="S28" s="1"/>
      <c r="T28" s="1"/>
    </row>
    <row r="29" spans="2:20" ht="21" customHeight="1" x14ac:dyDescent="0.3">
      <c r="B29" s="36" t="s">
        <v>262</v>
      </c>
      <c r="C29" s="36" t="s">
        <v>264</v>
      </c>
      <c r="D29" s="36" t="s">
        <v>265</v>
      </c>
      <c r="E29" s="36" t="s">
        <v>266</v>
      </c>
      <c r="F29" s="36" t="s">
        <v>267</v>
      </c>
      <c r="G29" s="36" t="s">
        <v>268</v>
      </c>
      <c r="H29" s="36" t="s">
        <v>269</v>
      </c>
      <c r="I29" s="36" t="s">
        <v>275</v>
      </c>
      <c r="J29" s="36" t="s">
        <v>270</v>
      </c>
      <c r="K29" s="36" t="s">
        <v>271</v>
      </c>
      <c r="L29" s="36" t="s">
        <v>272</v>
      </c>
      <c r="M29" s="36" t="s">
        <v>273</v>
      </c>
      <c r="N29" s="36" t="s">
        <v>274</v>
      </c>
      <c r="S29" s="1"/>
      <c r="T29" s="1"/>
    </row>
    <row r="30" spans="2:20" x14ac:dyDescent="0.3">
      <c r="B30" s="51" t="s">
        <v>4538</v>
      </c>
      <c r="C30" s="51" t="s">
        <v>197</v>
      </c>
      <c r="D30" s="51" t="s">
        <v>259</v>
      </c>
      <c r="E30" s="51" t="s">
        <v>159</v>
      </c>
      <c r="F30" s="51" t="s">
        <v>259</v>
      </c>
      <c r="G30" s="51">
        <v>1</v>
      </c>
      <c r="H30" s="51">
        <v>240</v>
      </c>
      <c r="I30" s="56">
        <v>5</v>
      </c>
      <c r="J30" s="51">
        <v>2</v>
      </c>
      <c r="K30" s="51"/>
      <c r="L30" s="51"/>
      <c r="M30" s="60">
        <v>0</v>
      </c>
      <c r="N30" s="60">
        <v>0</v>
      </c>
    </row>
    <row r="31" spans="2:20" x14ac:dyDescent="0.3">
      <c r="B31" s="51"/>
      <c r="C31" s="51"/>
      <c r="D31" s="51"/>
      <c r="E31" s="51"/>
      <c r="F31" s="51"/>
      <c r="G31" s="51"/>
      <c r="H31" s="51"/>
      <c r="I31" s="56"/>
      <c r="J31" s="51"/>
      <c r="K31" s="51"/>
      <c r="L31" s="51"/>
      <c r="M31" s="60"/>
      <c r="N31" s="60"/>
    </row>
    <row r="32" spans="2:20" x14ac:dyDescent="0.3">
      <c r="B32" s="51"/>
      <c r="C32" s="51"/>
      <c r="D32" s="51"/>
      <c r="E32" s="51"/>
      <c r="F32" s="51"/>
      <c r="G32" s="51"/>
      <c r="H32" s="51"/>
      <c r="I32" s="56"/>
      <c r="J32" s="51"/>
      <c r="K32" s="51"/>
      <c r="L32" s="51"/>
      <c r="M32" s="60"/>
      <c r="N32" s="60"/>
    </row>
    <row r="33" spans="2:14" x14ac:dyDescent="0.3">
      <c r="B33" s="51"/>
      <c r="C33" s="51"/>
      <c r="D33" s="51"/>
      <c r="E33" s="51"/>
      <c r="F33" s="51"/>
      <c r="G33" s="51"/>
      <c r="H33" s="51"/>
      <c r="I33" s="56"/>
      <c r="J33" s="51"/>
      <c r="K33" s="51"/>
      <c r="L33" s="51"/>
      <c r="M33" s="60"/>
      <c r="N33" s="60"/>
    </row>
    <row r="34" spans="2:14" x14ac:dyDescent="0.3">
      <c r="B34" s="51"/>
      <c r="C34" s="51"/>
      <c r="D34" s="51"/>
      <c r="E34" s="51"/>
      <c r="F34" s="51"/>
      <c r="G34" s="51"/>
      <c r="H34" s="51"/>
      <c r="I34" s="56"/>
      <c r="J34" s="51"/>
      <c r="K34" s="51"/>
      <c r="L34" s="51"/>
      <c r="M34" s="60"/>
      <c r="N34" s="60"/>
    </row>
    <row r="35" spans="2:14" x14ac:dyDescent="0.3">
      <c r="B35" s="51"/>
      <c r="C35" s="51"/>
      <c r="D35" s="51"/>
      <c r="E35" s="51"/>
      <c r="F35" s="51"/>
      <c r="G35" s="51"/>
      <c r="H35" s="51"/>
      <c r="I35" s="56"/>
      <c r="J35" s="51"/>
      <c r="K35" s="51"/>
      <c r="L35" s="51"/>
      <c r="M35" s="60"/>
      <c r="N35" s="60"/>
    </row>
    <row r="36" spans="2:14" x14ac:dyDescent="0.3">
      <c r="B36" s="51"/>
      <c r="C36" s="51"/>
      <c r="D36" s="51"/>
      <c r="E36" s="51"/>
      <c r="F36" s="51"/>
      <c r="G36" s="51"/>
      <c r="H36" s="51"/>
      <c r="I36" s="56"/>
      <c r="J36" s="51"/>
      <c r="K36" s="51"/>
      <c r="L36" s="51"/>
      <c r="M36" s="60"/>
      <c r="N36" s="60"/>
    </row>
    <row r="37" spans="2:14" x14ac:dyDescent="0.3">
      <c r="B37" s="51"/>
      <c r="C37" s="51"/>
      <c r="D37" s="51"/>
      <c r="E37" s="51"/>
      <c r="F37" s="51"/>
      <c r="G37" s="51"/>
      <c r="H37" s="51"/>
      <c r="I37" s="56"/>
      <c r="J37" s="51"/>
      <c r="K37" s="51"/>
      <c r="L37" s="51"/>
      <c r="M37" s="60"/>
      <c r="N37" s="60"/>
    </row>
    <row r="38" spans="2:14" x14ac:dyDescent="0.3">
      <c r="B38" s="51"/>
      <c r="C38" s="51"/>
      <c r="D38" s="51"/>
      <c r="E38" s="51"/>
      <c r="F38" s="51"/>
      <c r="G38" s="51"/>
      <c r="H38" s="51"/>
      <c r="I38" s="56"/>
      <c r="J38" s="51"/>
      <c r="K38" s="51"/>
      <c r="L38" s="51"/>
      <c r="M38" s="60"/>
      <c r="N38" s="60"/>
    </row>
    <row r="39" spans="2:14" x14ac:dyDescent="0.3">
      <c r="B39" s="51"/>
      <c r="C39" s="51"/>
      <c r="D39" s="51"/>
      <c r="E39" s="51"/>
      <c r="F39" s="51"/>
      <c r="G39" s="51"/>
      <c r="H39" s="51"/>
      <c r="I39" s="56"/>
      <c r="J39" s="51"/>
      <c r="K39" s="51"/>
      <c r="L39" s="51"/>
      <c r="M39" s="60"/>
      <c r="N39" s="60"/>
    </row>
    <row r="40" spans="2:14" x14ac:dyDescent="0.3">
      <c r="B40" s="51"/>
      <c r="C40" s="51"/>
      <c r="D40" s="51"/>
      <c r="E40" s="51"/>
      <c r="F40" s="51"/>
      <c r="G40" s="51"/>
      <c r="H40" s="51"/>
      <c r="I40" s="56"/>
      <c r="J40" s="51"/>
      <c r="K40" s="51"/>
      <c r="L40" s="51"/>
      <c r="M40" s="60"/>
      <c r="N40" s="60"/>
    </row>
    <row r="41" spans="2:14" x14ac:dyDescent="0.3">
      <c r="B41" s="51"/>
      <c r="C41" s="51"/>
      <c r="D41" s="51"/>
      <c r="E41" s="51"/>
      <c r="F41" s="51"/>
      <c r="G41" s="51"/>
      <c r="H41" s="51"/>
      <c r="I41" s="56"/>
      <c r="J41" s="51"/>
      <c r="K41" s="51"/>
      <c r="L41" s="51"/>
      <c r="M41" s="60"/>
      <c r="N41" s="60"/>
    </row>
    <row r="42" spans="2:14" x14ac:dyDescent="0.3">
      <c r="B42" s="51"/>
      <c r="C42" s="51"/>
      <c r="D42" s="51"/>
      <c r="E42" s="51"/>
      <c r="F42" s="51"/>
      <c r="G42" s="51"/>
      <c r="H42" s="51"/>
      <c r="I42" s="56"/>
      <c r="J42" s="51"/>
      <c r="K42" s="51"/>
      <c r="L42" s="51"/>
      <c r="M42" s="60"/>
      <c r="N42" s="60"/>
    </row>
    <row r="43" spans="2:14" x14ac:dyDescent="0.3">
      <c r="B43" s="51"/>
      <c r="C43" s="51"/>
      <c r="D43" s="51"/>
      <c r="E43" s="51"/>
      <c r="F43" s="51"/>
      <c r="G43" s="51"/>
      <c r="H43" s="51"/>
      <c r="I43" s="56"/>
      <c r="J43" s="51"/>
      <c r="K43" s="51"/>
      <c r="L43" s="51"/>
      <c r="M43" s="60"/>
      <c r="N43" s="60"/>
    </row>
    <row r="44" spans="2:14" x14ac:dyDescent="0.3">
      <c r="B44" s="51"/>
      <c r="C44" s="51"/>
      <c r="D44" s="51"/>
      <c r="E44" s="51"/>
      <c r="F44" s="51"/>
      <c r="G44" s="51"/>
      <c r="H44" s="51"/>
      <c r="I44" s="56"/>
      <c r="J44" s="51"/>
      <c r="K44" s="51"/>
      <c r="L44" s="51"/>
      <c r="M44" s="60"/>
      <c r="N44" s="60"/>
    </row>
    <row r="45" spans="2:14" x14ac:dyDescent="0.3">
      <c r="B45" s="51"/>
      <c r="C45" s="51"/>
      <c r="D45" s="51"/>
      <c r="E45" s="51"/>
      <c r="F45" s="51"/>
      <c r="G45" s="51"/>
      <c r="H45" s="51"/>
      <c r="I45" s="56"/>
      <c r="J45" s="51"/>
      <c r="K45" s="51"/>
      <c r="L45" s="51"/>
      <c r="M45" s="60"/>
      <c r="N45" s="60"/>
    </row>
    <row r="46" spans="2:14" x14ac:dyDescent="0.3">
      <c r="B46" s="51"/>
      <c r="C46" s="51"/>
      <c r="D46" s="51"/>
      <c r="E46" s="51"/>
      <c r="F46" s="51"/>
      <c r="G46" s="51"/>
      <c r="H46" s="51"/>
      <c r="I46" s="56"/>
      <c r="J46" s="51"/>
      <c r="K46" s="51"/>
      <c r="L46" s="51"/>
      <c r="M46" s="60"/>
      <c r="N46" s="60"/>
    </row>
    <row r="47" spans="2:14" x14ac:dyDescent="0.3">
      <c r="B47" s="51"/>
      <c r="C47" s="51"/>
      <c r="D47" s="51"/>
      <c r="E47" s="51"/>
      <c r="F47" s="51"/>
      <c r="G47" s="51"/>
      <c r="H47" s="51"/>
      <c r="I47" s="56"/>
      <c r="J47" s="51"/>
      <c r="K47" s="51"/>
      <c r="L47" s="51"/>
      <c r="M47" s="60"/>
      <c r="N47" s="60"/>
    </row>
    <row r="48" spans="2:14" x14ac:dyDescent="0.3">
      <c r="B48" s="51"/>
      <c r="C48" s="51"/>
      <c r="D48" s="51"/>
      <c r="E48" s="51"/>
      <c r="F48" s="51"/>
      <c r="G48" s="51"/>
      <c r="H48" s="51"/>
      <c r="I48" s="56"/>
      <c r="J48" s="51"/>
      <c r="K48" s="51"/>
      <c r="L48" s="51"/>
      <c r="M48" s="60"/>
      <c r="N48" s="60"/>
    </row>
    <row r="49" spans="2:14" x14ac:dyDescent="0.3">
      <c r="B49" s="51"/>
      <c r="C49" s="51"/>
      <c r="D49" s="51"/>
      <c r="E49" s="51"/>
      <c r="F49" s="51"/>
      <c r="G49" s="51"/>
      <c r="H49" s="51"/>
      <c r="I49" s="56"/>
      <c r="J49" s="51"/>
      <c r="K49" s="51"/>
      <c r="L49" s="51"/>
      <c r="M49" s="60"/>
      <c r="N49" s="60"/>
    </row>
    <row r="50" spans="2:14" x14ac:dyDescent="0.3">
      <c r="B50" s="51"/>
      <c r="C50" s="51"/>
      <c r="D50" s="51"/>
      <c r="E50" s="51"/>
      <c r="F50" s="51"/>
      <c r="G50" s="51"/>
      <c r="H50" s="51"/>
      <c r="I50" s="56"/>
      <c r="J50" s="51"/>
      <c r="K50" s="51"/>
      <c r="L50" s="51"/>
      <c r="M50" s="60"/>
      <c r="N50" s="60"/>
    </row>
    <row r="51" spans="2:14" x14ac:dyDescent="0.3">
      <c r="B51" s="51"/>
      <c r="C51" s="51"/>
      <c r="D51" s="51"/>
      <c r="E51" s="51"/>
      <c r="F51" s="51"/>
      <c r="G51" s="51"/>
      <c r="H51" s="51"/>
      <c r="I51" s="56"/>
      <c r="J51" s="51"/>
      <c r="K51" s="51"/>
      <c r="L51" s="51"/>
      <c r="M51" s="60"/>
      <c r="N51" s="60"/>
    </row>
    <row r="52" spans="2:14" x14ac:dyDescent="0.3">
      <c r="B52" s="51"/>
      <c r="C52" s="51"/>
      <c r="D52" s="51"/>
      <c r="E52" s="51"/>
      <c r="F52" s="51"/>
      <c r="G52" s="51"/>
      <c r="H52" s="51"/>
      <c r="I52" s="56"/>
      <c r="J52" s="51"/>
      <c r="K52" s="51"/>
      <c r="L52" s="51"/>
      <c r="M52" s="60"/>
      <c r="N52" s="60"/>
    </row>
    <row r="53" spans="2:14" x14ac:dyDescent="0.3">
      <c r="B53" s="51"/>
      <c r="C53" s="51"/>
      <c r="D53" s="51"/>
      <c r="E53" s="51"/>
      <c r="F53" s="51"/>
      <c r="G53" s="51"/>
      <c r="H53" s="51"/>
      <c r="I53" s="56"/>
      <c r="J53" s="51"/>
      <c r="K53" s="51"/>
      <c r="L53" s="51"/>
      <c r="M53" s="60"/>
      <c r="N53" s="60"/>
    </row>
    <row r="54" spans="2:14" x14ac:dyDescent="0.3">
      <c r="B54" s="51"/>
      <c r="C54" s="51"/>
      <c r="D54" s="51"/>
      <c r="E54" s="51"/>
      <c r="F54" s="51"/>
      <c r="G54" s="51"/>
      <c r="H54" s="51"/>
      <c r="I54" s="56"/>
      <c r="J54" s="51"/>
      <c r="K54" s="51"/>
      <c r="L54" s="51"/>
      <c r="M54" s="60"/>
      <c r="N54" s="60"/>
    </row>
    <row r="55" spans="2:14" x14ac:dyDescent="0.3">
      <c r="B55" s="51"/>
      <c r="C55" s="51"/>
      <c r="D55" s="51"/>
      <c r="E55" s="51"/>
      <c r="F55" s="51"/>
      <c r="G55" s="51"/>
      <c r="H55" s="51"/>
      <c r="I55" s="56"/>
      <c r="J55" s="51"/>
      <c r="K55" s="51"/>
      <c r="L55" s="51"/>
      <c r="M55" s="60"/>
      <c r="N55" s="60"/>
    </row>
    <row r="56" spans="2:14" x14ac:dyDescent="0.3">
      <c r="B56" s="51"/>
      <c r="C56" s="51"/>
      <c r="D56" s="51"/>
      <c r="E56" s="51"/>
      <c r="F56" s="51"/>
      <c r="G56" s="51"/>
      <c r="H56" s="51"/>
      <c r="I56" s="56"/>
      <c r="J56" s="51"/>
      <c r="K56" s="51"/>
      <c r="L56" s="51"/>
      <c r="M56" s="60"/>
      <c r="N56" s="60"/>
    </row>
    <row r="57" spans="2:14" x14ac:dyDescent="0.3">
      <c r="B57" s="51"/>
      <c r="C57" s="51"/>
      <c r="D57" s="51"/>
      <c r="E57" s="51"/>
      <c r="F57" s="51"/>
      <c r="G57" s="51"/>
      <c r="H57" s="51"/>
      <c r="I57" s="56"/>
      <c r="J57" s="51"/>
      <c r="K57" s="51"/>
      <c r="L57" s="51"/>
      <c r="M57" s="60"/>
      <c r="N57" s="60"/>
    </row>
    <row r="58" spans="2:14" x14ac:dyDescent="0.3">
      <c r="B58" s="51"/>
      <c r="C58" s="51"/>
      <c r="D58" s="51"/>
      <c r="E58" s="51"/>
      <c r="F58" s="51"/>
      <c r="G58" s="51"/>
      <c r="H58" s="51"/>
      <c r="I58" s="56"/>
      <c r="J58" s="51"/>
      <c r="K58" s="51"/>
      <c r="L58" s="51"/>
      <c r="M58" s="60"/>
      <c r="N58" s="60"/>
    </row>
    <row r="59" spans="2:14" x14ac:dyDescent="0.3">
      <c r="B59" s="51"/>
      <c r="C59" s="51"/>
      <c r="D59" s="51"/>
      <c r="E59" s="51"/>
      <c r="F59" s="51"/>
      <c r="G59" s="51"/>
      <c r="H59" s="51"/>
      <c r="I59" s="56"/>
      <c r="J59" s="51"/>
      <c r="K59" s="51"/>
      <c r="L59" s="51"/>
      <c r="M59" s="60"/>
      <c r="N59" s="60"/>
    </row>
    <row r="60" spans="2:14" x14ac:dyDescent="0.3">
      <c r="B60" s="51"/>
      <c r="C60" s="51"/>
      <c r="D60" s="51"/>
      <c r="E60" s="51"/>
      <c r="F60" s="51"/>
      <c r="G60" s="51"/>
      <c r="H60" s="51"/>
      <c r="I60" s="56"/>
      <c r="J60" s="51"/>
      <c r="K60" s="51"/>
      <c r="L60" s="51"/>
      <c r="M60" s="60"/>
      <c r="N60" s="60"/>
    </row>
    <row r="61" spans="2:14" x14ac:dyDescent="0.3">
      <c r="B61" s="51"/>
      <c r="C61" s="51"/>
      <c r="D61" s="51"/>
      <c r="E61" s="51"/>
      <c r="F61" s="51"/>
      <c r="G61" s="51"/>
      <c r="H61" s="51"/>
      <c r="I61" s="56"/>
      <c r="J61" s="51"/>
      <c r="K61" s="51"/>
      <c r="L61" s="51"/>
      <c r="M61" s="60"/>
      <c r="N61" s="60"/>
    </row>
    <row r="62" spans="2:14" x14ac:dyDescent="0.3">
      <c r="B62" s="51"/>
      <c r="C62" s="51"/>
      <c r="D62" s="51"/>
      <c r="E62" s="51"/>
      <c r="F62" s="51"/>
      <c r="G62" s="51"/>
      <c r="H62" s="51"/>
      <c r="I62" s="56"/>
      <c r="J62" s="51"/>
      <c r="K62" s="51"/>
      <c r="L62" s="51"/>
      <c r="M62" s="60"/>
      <c r="N62" s="60"/>
    </row>
    <row r="63" spans="2:14" x14ac:dyDescent="0.3">
      <c r="B63" s="51"/>
      <c r="C63" s="51"/>
      <c r="D63" s="51"/>
      <c r="E63" s="51"/>
      <c r="F63" s="51"/>
      <c r="G63" s="51"/>
      <c r="H63" s="51"/>
      <c r="I63" s="56"/>
      <c r="J63" s="51"/>
      <c r="K63" s="51"/>
      <c r="L63" s="51"/>
      <c r="M63" s="60"/>
      <c r="N63" s="60"/>
    </row>
    <row r="64" spans="2:14" x14ac:dyDescent="0.3">
      <c r="B64" s="51"/>
      <c r="C64" s="51"/>
      <c r="D64" s="51"/>
      <c r="E64" s="51"/>
      <c r="F64" s="51"/>
      <c r="G64" s="51"/>
      <c r="H64" s="51"/>
      <c r="I64" s="56"/>
      <c r="J64" s="51"/>
      <c r="K64" s="51"/>
      <c r="L64" s="51"/>
      <c r="M64" s="60"/>
      <c r="N64" s="60"/>
    </row>
    <row r="65" spans="2:14" x14ac:dyDescent="0.3">
      <c r="B65" s="51"/>
      <c r="C65" s="51"/>
      <c r="D65" s="51"/>
      <c r="E65" s="51"/>
      <c r="F65" s="51"/>
      <c r="G65" s="51"/>
      <c r="H65" s="51"/>
      <c r="I65" s="56"/>
      <c r="J65" s="51"/>
      <c r="K65" s="51"/>
      <c r="L65" s="51"/>
      <c r="M65" s="60"/>
      <c r="N65" s="60"/>
    </row>
    <row r="66" spans="2:14" x14ac:dyDescent="0.3">
      <c r="B66" s="51"/>
      <c r="C66" s="51"/>
      <c r="D66" s="51"/>
      <c r="E66" s="51"/>
      <c r="F66" s="51"/>
      <c r="G66" s="51"/>
      <c r="H66" s="51"/>
      <c r="I66" s="56"/>
      <c r="J66" s="51"/>
      <c r="K66" s="51"/>
      <c r="L66" s="51"/>
      <c r="M66" s="60"/>
      <c r="N66" s="60"/>
    </row>
    <row r="67" spans="2:14" x14ac:dyDescent="0.3">
      <c r="B67" s="51"/>
      <c r="C67" s="51"/>
      <c r="D67" s="51"/>
      <c r="E67" s="51"/>
      <c r="F67" s="51"/>
      <c r="G67" s="51"/>
      <c r="H67" s="51"/>
      <c r="I67" s="56"/>
      <c r="J67" s="51"/>
      <c r="K67" s="51"/>
      <c r="L67" s="51"/>
      <c r="M67" s="60"/>
      <c r="N67" s="60"/>
    </row>
    <row r="68" spans="2:14" x14ac:dyDescent="0.3">
      <c r="B68" s="51"/>
      <c r="C68" s="51"/>
      <c r="D68" s="51"/>
      <c r="E68" s="51"/>
      <c r="F68" s="51"/>
      <c r="G68" s="51"/>
      <c r="H68" s="51"/>
      <c r="I68" s="56"/>
      <c r="J68" s="51"/>
      <c r="K68" s="51"/>
      <c r="L68" s="51"/>
      <c r="M68" s="60"/>
      <c r="N68" s="60"/>
    </row>
    <row r="69" spans="2:14" x14ac:dyDescent="0.3">
      <c r="B69" s="51"/>
      <c r="C69" s="51"/>
      <c r="D69" s="51"/>
      <c r="E69" s="51"/>
      <c r="F69" s="51"/>
      <c r="G69" s="51"/>
      <c r="H69" s="51"/>
      <c r="I69" s="56"/>
      <c r="J69" s="51"/>
      <c r="K69" s="51"/>
      <c r="L69" s="51"/>
      <c r="M69" s="60"/>
      <c r="N69" s="60"/>
    </row>
    <row r="70" spans="2:14" x14ac:dyDescent="0.3">
      <c r="B70" s="51"/>
      <c r="C70" s="51"/>
      <c r="D70" s="51"/>
      <c r="E70" s="51"/>
      <c r="F70" s="51"/>
      <c r="G70" s="51"/>
      <c r="H70" s="51"/>
      <c r="I70" s="56"/>
      <c r="J70" s="51"/>
      <c r="K70" s="51"/>
      <c r="L70" s="51"/>
      <c r="M70" s="60"/>
      <c r="N70" s="60"/>
    </row>
    <row r="71" spans="2:14" x14ac:dyDescent="0.3">
      <c r="B71" s="51"/>
      <c r="C71" s="51"/>
      <c r="D71" s="51"/>
      <c r="E71" s="51"/>
      <c r="F71" s="51"/>
      <c r="G71" s="51"/>
      <c r="H71" s="51"/>
      <c r="I71" s="56"/>
      <c r="J71" s="51"/>
      <c r="K71" s="51"/>
      <c r="L71" s="51"/>
      <c r="M71" s="60"/>
      <c r="N71" s="60"/>
    </row>
    <row r="72" spans="2:14" x14ac:dyDescent="0.3">
      <c r="B72" s="51"/>
      <c r="C72" s="51"/>
      <c r="D72" s="51"/>
      <c r="E72" s="51"/>
      <c r="F72" s="51"/>
      <c r="G72" s="51"/>
      <c r="H72" s="51"/>
      <c r="I72" s="56"/>
      <c r="J72" s="51"/>
      <c r="K72" s="51"/>
      <c r="L72" s="51"/>
      <c r="M72" s="60"/>
      <c r="N72" s="60"/>
    </row>
    <row r="73" spans="2:14" x14ac:dyDescent="0.3">
      <c r="B73" s="51"/>
      <c r="C73" s="51"/>
      <c r="D73" s="51"/>
      <c r="E73" s="51"/>
      <c r="F73" s="51"/>
      <c r="G73" s="51"/>
      <c r="H73" s="51"/>
      <c r="I73" s="56"/>
      <c r="J73" s="51"/>
      <c r="K73" s="51"/>
      <c r="L73" s="51"/>
      <c r="M73" s="60"/>
      <c r="N73" s="60"/>
    </row>
    <row r="74" spans="2:14" x14ac:dyDescent="0.3">
      <c r="B74" s="51"/>
      <c r="C74" s="51"/>
      <c r="D74" s="51"/>
      <c r="E74" s="51"/>
      <c r="F74" s="51"/>
      <c r="G74" s="51"/>
      <c r="H74" s="51"/>
      <c r="I74" s="56"/>
      <c r="J74" s="51"/>
      <c r="K74" s="51"/>
      <c r="L74" s="51"/>
      <c r="M74" s="60"/>
      <c r="N74" s="60"/>
    </row>
    <row r="75" spans="2:14" x14ac:dyDescent="0.3">
      <c r="B75" s="51"/>
      <c r="C75" s="51"/>
      <c r="D75" s="51"/>
      <c r="E75" s="51"/>
      <c r="F75" s="51"/>
      <c r="G75" s="51"/>
      <c r="H75" s="51"/>
      <c r="I75" s="56"/>
      <c r="J75" s="51"/>
      <c r="K75" s="51"/>
      <c r="L75" s="51"/>
      <c r="M75" s="60"/>
      <c r="N75" s="60"/>
    </row>
    <row r="76" spans="2:14" x14ac:dyDescent="0.3">
      <c r="B76" s="51"/>
      <c r="C76" s="51"/>
      <c r="D76" s="51"/>
      <c r="E76" s="51"/>
      <c r="F76" s="51"/>
      <c r="G76" s="51"/>
      <c r="H76" s="51"/>
      <c r="I76" s="56"/>
      <c r="J76" s="51"/>
      <c r="K76" s="51"/>
      <c r="L76" s="51"/>
      <c r="M76" s="60"/>
      <c r="N76" s="60"/>
    </row>
    <row r="77" spans="2:14" x14ac:dyDescent="0.3">
      <c r="B77" s="51"/>
      <c r="C77" s="51"/>
      <c r="D77" s="51"/>
      <c r="E77" s="51"/>
      <c r="F77" s="51"/>
      <c r="G77" s="51"/>
      <c r="H77" s="51"/>
      <c r="I77" s="56"/>
      <c r="J77" s="51"/>
      <c r="K77" s="51"/>
      <c r="L77" s="51"/>
      <c r="M77" s="60"/>
      <c r="N77" s="60"/>
    </row>
    <row r="78" spans="2:14" x14ac:dyDescent="0.3">
      <c r="B78" s="51"/>
      <c r="C78" s="51"/>
      <c r="D78" s="51"/>
      <c r="E78" s="51"/>
      <c r="F78" s="51"/>
      <c r="G78" s="51"/>
      <c r="H78" s="51"/>
      <c r="I78" s="56"/>
      <c r="J78" s="51"/>
      <c r="K78" s="51"/>
      <c r="L78" s="51"/>
      <c r="M78" s="60"/>
      <c r="N78" s="60"/>
    </row>
    <row r="79" spans="2:14" x14ac:dyDescent="0.3">
      <c r="B79" s="51"/>
      <c r="C79" s="51"/>
      <c r="D79" s="51"/>
      <c r="E79" s="51"/>
      <c r="F79" s="51"/>
      <c r="G79" s="51"/>
      <c r="H79" s="51"/>
      <c r="I79" s="56"/>
      <c r="J79" s="51"/>
      <c r="K79" s="51"/>
      <c r="L79" s="51"/>
      <c r="M79" s="60"/>
      <c r="N79" s="60"/>
    </row>
    <row r="80" spans="2:14" x14ac:dyDescent="0.3">
      <c r="B80" s="51"/>
      <c r="C80" s="51"/>
      <c r="D80" s="51"/>
      <c r="E80" s="51"/>
      <c r="F80" s="51"/>
      <c r="G80" s="51"/>
      <c r="H80" s="51"/>
      <c r="I80" s="56"/>
      <c r="J80" s="51"/>
      <c r="K80" s="51"/>
      <c r="L80" s="51"/>
      <c r="M80" s="60"/>
      <c r="N80" s="60"/>
    </row>
    <row r="81" spans="2:14" x14ac:dyDescent="0.3">
      <c r="B81" s="51"/>
      <c r="C81" s="51"/>
      <c r="D81" s="51"/>
      <c r="E81" s="51"/>
      <c r="F81" s="51"/>
      <c r="G81" s="51"/>
      <c r="H81" s="51"/>
      <c r="I81" s="56"/>
      <c r="J81" s="51"/>
      <c r="K81" s="51"/>
      <c r="L81" s="51"/>
      <c r="M81" s="60"/>
      <c r="N81" s="60"/>
    </row>
    <row r="82" spans="2:14" x14ac:dyDescent="0.3">
      <c r="B82" s="51"/>
      <c r="C82" s="51"/>
      <c r="D82" s="51"/>
      <c r="E82" s="51"/>
      <c r="F82" s="51"/>
      <c r="G82" s="51"/>
      <c r="H82" s="51"/>
      <c r="I82" s="56"/>
      <c r="J82" s="51"/>
      <c r="K82" s="51"/>
      <c r="L82" s="51"/>
      <c r="M82" s="60"/>
      <c r="N82" s="60"/>
    </row>
    <row r="83" spans="2:14" x14ac:dyDescent="0.3">
      <c r="B83" s="51"/>
      <c r="C83" s="51"/>
      <c r="D83" s="51"/>
      <c r="E83" s="51"/>
      <c r="F83" s="51"/>
      <c r="G83" s="51"/>
      <c r="H83" s="51"/>
      <c r="I83" s="56"/>
      <c r="J83" s="51"/>
      <c r="K83" s="51"/>
      <c r="L83" s="51"/>
      <c r="M83" s="60"/>
      <c r="N83" s="60"/>
    </row>
    <row r="84" spans="2:14" x14ac:dyDescent="0.3">
      <c r="B84" s="51"/>
      <c r="C84" s="51"/>
      <c r="D84" s="51"/>
      <c r="E84" s="51"/>
      <c r="F84" s="51"/>
      <c r="G84" s="51"/>
      <c r="H84" s="51"/>
      <c r="I84" s="56"/>
      <c r="J84" s="51"/>
      <c r="K84" s="51"/>
      <c r="L84" s="51"/>
      <c r="M84" s="60"/>
      <c r="N84" s="60"/>
    </row>
    <row r="85" spans="2:14" x14ac:dyDescent="0.3">
      <c r="B85" s="51"/>
      <c r="C85" s="51"/>
      <c r="D85" s="51"/>
      <c r="E85" s="51"/>
      <c r="F85" s="51"/>
      <c r="G85" s="51"/>
      <c r="H85" s="51"/>
      <c r="I85" s="56"/>
      <c r="J85" s="51"/>
      <c r="K85" s="51"/>
      <c r="L85" s="51"/>
      <c r="M85" s="60"/>
      <c r="N85" s="60"/>
    </row>
    <row r="86" spans="2:14" x14ac:dyDescent="0.3">
      <c r="B86" s="51"/>
      <c r="C86" s="51"/>
      <c r="D86" s="51"/>
      <c r="E86" s="51"/>
      <c r="F86" s="51"/>
      <c r="G86" s="51"/>
      <c r="H86" s="51"/>
      <c r="I86" s="56"/>
      <c r="J86" s="51"/>
      <c r="K86" s="51"/>
      <c r="L86" s="51"/>
      <c r="M86" s="60"/>
      <c r="N86" s="60"/>
    </row>
    <row r="87" spans="2:14" x14ac:dyDescent="0.3">
      <c r="B87" s="51"/>
      <c r="C87" s="51"/>
      <c r="D87" s="51"/>
      <c r="E87" s="51"/>
      <c r="F87" s="51"/>
      <c r="G87" s="51"/>
      <c r="H87" s="51"/>
      <c r="I87" s="56"/>
      <c r="J87" s="51"/>
      <c r="K87" s="51"/>
      <c r="L87" s="51"/>
      <c r="M87" s="60"/>
      <c r="N87" s="60"/>
    </row>
    <row r="88" spans="2:14" x14ac:dyDescent="0.3">
      <c r="B88" s="51"/>
      <c r="C88" s="51"/>
      <c r="D88" s="51"/>
      <c r="E88" s="51"/>
      <c r="F88" s="51"/>
      <c r="G88" s="51"/>
      <c r="H88" s="51"/>
      <c r="I88" s="56"/>
      <c r="J88" s="51"/>
      <c r="K88" s="51"/>
      <c r="L88" s="51"/>
      <c r="M88" s="60"/>
      <c r="N88" s="60"/>
    </row>
    <row r="89" spans="2:14" x14ac:dyDescent="0.3">
      <c r="B89" s="51"/>
      <c r="C89" s="51"/>
      <c r="D89" s="51"/>
      <c r="E89" s="51"/>
      <c r="F89" s="51"/>
      <c r="G89" s="51"/>
      <c r="H89" s="51"/>
      <c r="I89" s="56"/>
      <c r="J89" s="51"/>
      <c r="K89" s="51"/>
      <c r="L89" s="51"/>
      <c r="M89" s="60"/>
      <c r="N89" s="60"/>
    </row>
    <row r="90" spans="2:14" x14ac:dyDescent="0.3">
      <c r="B90" s="51"/>
      <c r="C90" s="51"/>
      <c r="D90" s="51"/>
      <c r="E90" s="51"/>
      <c r="F90" s="51"/>
      <c r="G90" s="51"/>
      <c r="H90" s="51"/>
      <c r="I90" s="56"/>
      <c r="J90" s="51"/>
      <c r="K90" s="51"/>
      <c r="L90" s="51"/>
      <c r="M90" s="60"/>
      <c r="N90" s="60"/>
    </row>
    <row r="91" spans="2:14" x14ac:dyDescent="0.3">
      <c r="B91" s="51"/>
      <c r="C91" s="51"/>
      <c r="D91" s="51"/>
      <c r="E91" s="51"/>
      <c r="F91" s="51"/>
      <c r="G91" s="51"/>
      <c r="H91" s="51"/>
      <c r="I91" s="56"/>
      <c r="J91" s="51"/>
      <c r="K91" s="51"/>
      <c r="L91" s="51"/>
      <c r="M91" s="60"/>
      <c r="N91" s="60"/>
    </row>
    <row r="92" spans="2:14" x14ac:dyDescent="0.3">
      <c r="B92" s="51"/>
      <c r="C92" s="51"/>
      <c r="D92" s="51"/>
      <c r="E92" s="51"/>
      <c r="F92" s="51"/>
      <c r="G92" s="51"/>
      <c r="H92" s="51"/>
      <c r="I92" s="56"/>
      <c r="J92" s="51"/>
      <c r="K92" s="51"/>
      <c r="L92" s="51"/>
      <c r="M92" s="60"/>
      <c r="N92" s="60"/>
    </row>
    <row r="93" spans="2:14" x14ac:dyDescent="0.3">
      <c r="B93" s="51"/>
      <c r="C93" s="51"/>
      <c r="D93" s="51"/>
      <c r="E93" s="51"/>
      <c r="F93" s="51"/>
      <c r="G93" s="51"/>
      <c r="H93" s="51"/>
      <c r="I93" s="56"/>
      <c r="J93" s="51"/>
      <c r="K93" s="51"/>
      <c r="L93" s="51"/>
      <c r="M93" s="60"/>
      <c r="N93" s="60"/>
    </row>
    <row r="94" spans="2:14" x14ac:dyDescent="0.3">
      <c r="B94" s="51"/>
      <c r="C94" s="51"/>
      <c r="D94" s="51"/>
      <c r="E94" s="51"/>
      <c r="F94" s="51"/>
      <c r="G94" s="51"/>
      <c r="H94" s="51"/>
      <c r="I94" s="56"/>
      <c r="J94" s="51"/>
      <c r="K94" s="51"/>
      <c r="L94" s="51"/>
      <c r="M94" s="60"/>
      <c r="N94" s="60"/>
    </row>
    <row r="95" spans="2:14" x14ac:dyDescent="0.3">
      <c r="B95" s="51"/>
      <c r="C95" s="51"/>
      <c r="D95" s="51"/>
      <c r="E95" s="51"/>
      <c r="F95" s="51"/>
      <c r="G95" s="51"/>
      <c r="H95" s="51"/>
      <c r="I95" s="56"/>
      <c r="J95" s="51"/>
      <c r="K95" s="51"/>
      <c r="L95" s="51"/>
      <c r="M95" s="60"/>
      <c r="N95" s="60"/>
    </row>
    <row r="96" spans="2:14" x14ac:dyDescent="0.3">
      <c r="B96" s="51"/>
      <c r="C96" s="51"/>
      <c r="D96" s="51"/>
      <c r="E96" s="51"/>
      <c r="F96" s="51"/>
      <c r="G96" s="51"/>
      <c r="H96" s="51"/>
      <c r="I96" s="56"/>
      <c r="J96" s="51"/>
      <c r="K96" s="51"/>
      <c r="L96" s="51"/>
      <c r="M96" s="60"/>
      <c r="N96" s="60"/>
    </row>
    <row r="97" spans="2:14" x14ac:dyDescent="0.3">
      <c r="B97" s="51"/>
      <c r="C97" s="51"/>
      <c r="D97" s="51"/>
      <c r="E97" s="51"/>
      <c r="F97" s="51"/>
      <c r="G97" s="51"/>
      <c r="H97" s="51"/>
      <c r="I97" s="56"/>
      <c r="J97" s="51"/>
      <c r="K97" s="51"/>
      <c r="L97" s="51"/>
      <c r="M97" s="60"/>
      <c r="N97" s="60"/>
    </row>
    <row r="98" spans="2:14" x14ac:dyDescent="0.3">
      <c r="B98" s="51"/>
      <c r="C98" s="51"/>
      <c r="D98" s="51"/>
      <c r="E98" s="51"/>
      <c r="F98" s="51"/>
      <c r="G98" s="51"/>
      <c r="H98" s="51"/>
      <c r="I98" s="56"/>
      <c r="J98" s="51"/>
      <c r="K98" s="51"/>
      <c r="L98" s="51"/>
      <c r="M98" s="60"/>
      <c r="N98" s="60"/>
    </row>
    <row r="99" spans="2:14" x14ac:dyDescent="0.3">
      <c r="B99" s="51"/>
      <c r="C99" s="51"/>
      <c r="D99" s="51"/>
      <c r="E99" s="51"/>
      <c r="F99" s="51"/>
      <c r="G99" s="51"/>
      <c r="H99" s="51"/>
      <c r="I99" s="56"/>
      <c r="J99" s="51"/>
      <c r="K99" s="51"/>
      <c r="L99" s="51"/>
      <c r="M99" s="60"/>
      <c r="N99" s="60"/>
    </row>
    <row r="100" spans="2:14" x14ac:dyDescent="0.3">
      <c r="B100" s="51"/>
      <c r="C100" s="51"/>
      <c r="D100" s="51"/>
      <c r="E100" s="51"/>
      <c r="F100" s="51"/>
      <c r="G100" s="51"/>
      <c r="H100" s="51"/>
      <c r="I100" s="56"/>
      <c r="J100" s="51"/>
      <c r="K100" s="51"/>
      <c r="L100" s="51"/>
      <c r="M100" s="60"/>
      <c r="N100" s="60"/>
    </row>
    <row r="101" spans="2:14" x14ac:dyDescent="0.3">
      <c r="B101" s="51"/>
      <c r="C101" s="51"/>
      <c r="D101" s="51"/>
      <c r="E101" s="51"/>
      <c r="F101" s="51"/>
      <c r="G101" s="51"/>
      <c r="H101" s="51"/>
      <c r="I101" s="56"/>
      <c r="J101" s="51"/>
      <c r="K101" s="51"/>
      <c r="L101" s="51"/>
      <c r="M101" s="60"/>
      <c r="N101" s="60"/>
    </row>
    <row r="102" spans="2:14" x14ac:dyDescent="0.3">
      <c r="B102" s="51"/>
      <c r="C102" s="51"/>
      <c r="D102" s="51"/>
      <c r="E102" s="51"/>
      <c r="F102" s="51"/>
      <c r="G102" s="51"/>
      <c r="H102" s="51"/>
      <c r="I102" s="56"/>
      <c r="J102" s="51"/>
      <c r="K102" s="51"/>
      <c r="L102" s="51"/>
      <c r="M102" s="60"/>
      <c r="N102" s="60"/>
    </row>
    <row r="103" spans="2:14" x14ac:dyDescent="0.3">
      <c r="B103" s="51"/>
      <c r="C103" s="51"/>
      <c r="D103" s="51"/>
      <c r="E103" s="51"/>
      <c r="F103" s="51"/>
      <c r="G103" s="51"/>
      <c r="H103" s="51"/>
      <c r="I103" s="56"/>
      <c r="J103" s="51"/>
      <c r="K103" s="51"/>
      <c r="L103" s="51"/>
      <c r="M103" s="60"/>
      <c r="N103" s="60"/>
    </row>
    <row r="104" spans="2:14" x14ac:dyDescent="0.3">
      <c r="B104" s="51"/>
      <c r="C104" s="51"/>
      <c r="D104" s="51"/>
      <c r="E104" s="51"/>
      <c r="F104" s="51"/>
      <c r="G104" s="51"/>
      <c r="H104" s="51"/>
      <c r="I104" s="56"/>
      <c r="J104" s="51"/>
      <c r="K104" s="51"/>
      <c r="L104" s="51"/>
      <c r="M104" s="60"/>
      <c r="N104" s="60"/>
    </row>
    <row r="105" spans="2:14" x14ac:dyDescent="0.3">
      <c r="B105" s="51"/>
      <c r="C105" s="51"/>
      <c r="D105" s="51"/>
      <c r="E105" s="51"/>
      <c r="F105" s="51"/>
      <c r="G105" s="51"/>
      <c r="H105" s="51"/>
      <c r="I105" s="56"/>
      <c r="J105" s="51"/>
      <c r="K105" s="51"/>
      <c r="L105" s="51"/>
      <c r="M105" s="60"/>
      <c r="N105" s="60"/>
    </row>
    <row r="106" spans="2:14" x14ac:dyDescent="0.3">
      <c r="B106" s="51"/>
      <c r="C106" s="51"/>
      <c r="D106" s="51"/>
      <c r="E106" s="51"/>
      <c r="F106" s="51"/>
      <c r="G106" s="51"/>
      <c r="H106" s="51"/>
      <c r="I106" s="56"/>
      <c r="J106" s="51"/>
      <c r="K106" s="51"/>
      <c r="L106" s="51"/>
      <c r="M106" s="60"/>
      <c r="N106" s="60"/>
    </row>
    <row r="107" spans="2:14" x14ac:dyDescent="0.3">
      <c r="B107" s="51"/>
      <c r="C107" s="51"/>
      <c r="D107" s="51"/>
      <c r="E107" s="51"/>
      <c r="F107" s="51"/>
      <c r="G107" s="51"/>
      <c r="H107" s="51"/>
      <c r="I107" s="56"/>
      <c r="J107" s="51"/>
      <c r="K107" s="51"/>
      <c r="L107" s="51"/>
      <c r="M107" s="60"/>
      <c r="N107" s="60"/>
    </row>
    <row r="108" spans="2:14" x14ac:dyDescent="0.3">
      <c r="B108" s="51"/>
      <c r="C108" s="51"/>
      <c r="D108" s="51"/>
      <c r="E108" s="51"/>
      <c r="F108" s="51"/>
      <c r="G108" s="51"/>
      <c r="H108" s="51"/>
      <c r="I108" s="56"/>
      <c r="J108" s="51"/>
      <c r="K108" s="51"/>
      <c r="L108" s="51"/>
      <c r="M108" s="60"/>
      <c r="N108" s="60"/>
    </row>
    <row r="109" spans="2:14" x14ac:dyDescent="0.3">
      <c r="B109" s="51"/>
      <c r="C109" s="51"/>
      <c r="D109" s="51"/>
      <c r="E109" s="51"/>
      <c r="F109" s="51"/>
      <c r="G109" s="51"/>
      <c r="H109" s="51"/>
      <c r="I109" s="56"/>
      <c r="J109" s="51"/>
      <c r="K109" s="51"/>
      <c r="L109" s="51"/>
      <c r="M109" s="60"/>
      <c r="N109" s="60"/>
    </row>
    <row r="110" spans="2:14" x14ac:dyDescent="0.3">
      <c r="B110" s="51"/>
      <c r="C110" s="51"/>
      <c r="D110" s="51"/>
      <c r="E110" s="51"/>
      <c r="F110" s="51"/>
      <c r="G110" s="51"/>
      <c r="H110" s="51"/>
      <c r="I110" s="56"/>
      <c r="J110" s="51"/>
      <c r="K110" s="51"/>
      <c r="L110" s="51"/>
      <c r="M110" s="60"/>
      <c r="N110" s="60"/>
    </row>
    <row r="111" spans="2:14" x14ac:dyDescent="0.3">
      <c r="B111" s="51"/>
      <c r="C111" s="51"/>
      <c r="D111" s="51"/>
      <c r="E111" s="51"/>
      <c r="F111" s="51"/>
      <c r="G111" s="51"/>
      <c r="H111" s="51"/>
      <c r="I111" s="56"/>
      <c r="J111" s="51"/>
      <c r="K111" s="51"/>
      <c r="L111" s="51"/>
      <c r="M111" s="60"/>
      <c r="N111" s="60"/>
    </row>
    <row r="112" spans="2:14" x14ac:dyDescent="0.3">
      <c r="B112" s="51"/>
      <c r="C112" s="51"/>
      <c r="D112" s="51"/>
      <c r="E112" s="51"/>
      <c r="F112" s="51"/>
      <c r="G112" s="51"/>
      <c r="H112" s="51"/>
      <c r="I112" s="56"/>
      <c r="J112" s="51"/>
      <c r="K112" s="51"/>
      <c r="L112" s="51"/>
      <c r="M112" s="60"/>
      <c r="N112" s="60"/>
    </row>
    <row r="113" spans="2:14" x14ac:dyDescent="0.3">
      <c r="B113" s="51"/>
      <c r="C113" s="51"/>
      <c r="D113" s="51"/>
      <c r="E113" s="51"/>
      <c r="F113" s="51"/>
      <c r="G113" s="51"/>
      <c r="H113" s="51"/>
      <c r="I113" s="56"/>
      <c r="J113" s="51"/>
      <c r="K113" s="51"/>
      <c r="L113" s="51"/>
      <c r="M113" s="60"/>
      <c r="N113" s="60"/>
    </row>
    <row r="114" spans="2:14" x14ac:dyDescent="0.3">
      <c r="B114" s="51"/>
      <c r="C114" s="51"/>
      <c r="D114" s="51"/>
      <c r="E114" s="51"/>
      <c r="F114" s="51"/>
      <c r="G114" s="51"/>
      <c r="H114" s="51"/>
      <c r="I114" s="56"/>
      <c r="J114" s="51"/>
      <c r="K114" s="51"/>
      <c r="L114" s="51"/>
      <c r="M114" s="60"/>
      <c r="N114" s="60"/>
    </row>
    <row r="115" spans="2:14" x14ac:dyDescent="0.3">
      <c r="B115" s="51"/>
      <c r="C115" s="51"/>
      <c r="D115" s="51"/>
      <c r="E115" s="51"/>
      <c r="F115" s="51"/>
      <c r="G115" s="51"/>
      <c r="H115" s="51"/>
      <c r="I115" s="56"/>
      <c r="J115" s="51"/>
      <c r="K115" s="51"/>
      <c r="L115" s="51"/>
      <c r="M115" s="60"/>
      <c r="N115" s="60"/>
    </row>
    <row r="116" spans="2:14" x14ac:dyDescent="0.3">
      <c r="B116" s="51"/>
      <c r="C116" s="51"/>
      <c r="D116" s="51"/>
      <c r="E116" s="51"/>
      <c r="F116" s="51"/>
      <c r="G116" s="51"/>
      <c r="H116" s="51"/>
      <c r="I116" s="56"/>
      <c r="J116" s="51"/>
      <c r="K116" s="51"/>
      <c r="L116" s="51"/>
      <c r="M116" s="60"/>
      <c r="N116" s="60"/>
    </row>
    <row r="117" spans="2:14" x14ac:dyDescent="0.3">
      <c r="B117" s="51"/>
      <c r="C117" s="51"/>
      <c r="D117" s="51"/>
      <c r="E117" s="51"/>
      <c r="F117" s="51"/>
      <c r="G117" s="51"/>
      <c r="H117" s="51"/>
      <c r="I117" s="56"/>
      <c r="J117" s="51"/>
      <c r="K117" s="51"/>
      <c r="L117" s="51"/>
      <c r="M117" s="60"/>
      <c r="N117" s="60"/>
    </row>
    <row r="118" spans="2:14" x14ac:dyDescent="0.3">
      <c r="B118" s="51"/>
      <c r="C118" s="51"/>
      <c r="D118" s="51"/>
      <c r="E118" s="51"/>
      <c r="F118" s="51"/>
      <c r="G118" s="51"/>
      <c r="H118" s="51"/>
      <c r="I118" s="56"/>
      <c r="J118" s="51"/>
      <c r="K118" s="51"/>
      <c r="L118" s="51"/>
      <c r="M118" s="60"/>
      <c r="N118" s="60"/>
    </row>
    <row r="119" spans="2:14" x14ac:dyDescent="0.3">
      <c r="B119" s="51"/>
      <c r="C119" s="51"/>
      <c r="D119" s="51"/>
      <c r="E119" s="51"/>
      <c r="F119" s="51"/>
      <c r="G119" s="51"/>
      <c r="H119" s="51"/>
      <c r="I119" s="56"/>
      <c r="J119" s="51"/>
      <c r="K119" s="51"/>
      <c r="L119" s="51"/>
      <c r="M119" s="60"/>
      <c r="N119" s="60"/>
    </row>
    <row r="120" spans="2:14" x14ac:dyDescent="0.3">
      <c r="B120" s="51"/>
      <c r="C120" s="51"/>
      <c r="D120" s="51"/>
      <c r="E120" s="51"/>
      <c r="F120" s="51"/>
      <c r="G120" s="51"/>
      <c r="H120" s="51"/>
      <c r="I120" s="56"/>
      <c r="J120" s="51"/>
      <c r="K120" s="51"/>
      <c r="L120" s="51"/>
      <c r="M120" s="60"/>
      <c r="N120" s="60"/>
    </row>
    <row r="121" spans="2:14" x14ac:dyDescent="0.3">
      <c r="B121" s="51"/>
      <c r="C121" s="51"/>
      <c r="D121" s="51"/>
      <c r="E121" s="51"/>
      <c r="F121" s="51"/>
      <c r="G121" s="51"/>
      <c r="H121" s="51"/>
      <c r="I121" s="56"/>
      <c r="J121" s="51"/>
      <c r="K121" s="51"/>
      <c r="L121" s="51"/>
      <c r="M121" s="60"/>
      <c r="N121" s="60"/>
    </row>
    <row r="122" spans="2:14" x14ac:dyDescent="0.3">
      <c r="B122" s="51"/>
      <c r="C122" s="51"/>
      <c r="D122" s="51"/>
      <c r="E122" s="51"/>
      <c r="F122" s="51"/>
      <c r="G122" s="51"/>
      <c r="H122" s="51"/>
      <c r="I122" s="56"/>
      <c r="J122" s="51"/>
      <c r="K122" s="51"/>
      <c r="L122" s="51"/>
      <c r="M122" s="60"/>
      <c r="N122" s="60"/>
    </row>
    <row r="123" spans="2:14" x14ac:dyDescent="0.3">
      <c r="B123" s="51"/>
      <c r="C123" s="51"/>
      <c r="D123" s="51"/>
      <c r="E123" s="51"/>
      <c r="F123" s="51"/>
      <c r="G123" s="51"/>
      <c r="H123" s="51"/>
      <c r="I123" s="56"/>
      <c r="J123" s="51"/>
      <c r="K123" s="51"/>
      <c r="L123" s="51"/>
      <c r="M123" s="60"/>
      <c r="N123" s="60"/>
    </row>
    <row r="124" spans="2:14" x14ac:dyDescent="0.3">
      <c r="B124" s="51"/>
      <c r="C124" s="51"/>
      <c r="D124" s="51"/>
      <c r="E124" s="51"/>
      <c r="F124" s="51"/>
      <c r="G124" s="51"/>
      <c r="H124" s="51"/>
      <c r="I124" s="56"/>
      <c r="J124" s="51"/>
      <c r="K124" s="51"/>
      <c r="L124" s="51"/>
      <c r="M124" s="60"/>
      <c r="N124" s="60"/>
    </row>
    <row r="125" spans="2:14" x14ac:dyDescent="0.3">
      <c r="B125" s="51"/>
      <c r="C125" s="51"/>
      <c r="D125" s="51"/>
      <c r="E125" s="51"/>
      <c r="F125" s="51"/>
      <c r="G125" s="51"/>
      <c r="H125" s="51"/>
      <c r="I125" s="56"/>
      <c r="J125" s="51"/>
      <c r="K125" s="51"/>
      <c r="L125" s="51"/>
      <c r="M125" s="60"/>
      <c r="N125" s="60"/>
    </row>
    <row r="126" spans="2:14" x14ac:dyDescent="0.3">
      <c r="B126" s="51"/>
      <c r="C126" s="51"/>
      <c r="D126" s="51"/>
      <c r="E126" s="51"/>
      <c r="F126" s="51"/>
      <c r="G126" s="51"/>
      <c r="H126" s="51"/>
      <c r="I126" s="56"/>
      <c r="J126" s="51"/>
      <c r="K126" s="51"/>
      <c r="L126" s="51"/>
      <c r="M126" s="60"/>
      <c r="N126" s="60"/>
    </row>
    <row r="127" spans="2:14" x14ac:dyDescent="0.3">
      <c r="B127" s="51"/>
      <c r="C127" s="51"/>
      <c r="D127" s="51"/>
      <c r="E127" s="51"/>
      <c r="F127" s="51"/>
      <c r="G127" s="51"/>
      <c r="H127" s="51"/>
      <c r="I127" s="56"/>
      <c r="J127" s="51"/>
      <c r="K127" s="51"/>
      <c r="L127" s="51"/>
      <c r="M127" s="60"/>
      <c r="N127" s="60"/>
    </row>
    <row r="128" spans="2:14" x14ac:dyDescent="0.3">
      <c r="B128" s="51"/>
      <c r="C128" s="51"/>
      <c r="D128" s="51"/>
      <c r="E128" s="51"/>
      <c r="F128" s="51"/>
      <c r="G128" s="51"/>
      <c r="H128" s="51"/>
      <c r="I128" s="56"/>
      <c r="J128" s="51"/>
      <c r="K128" s="51"/>
      <c r="L128" s="51"/>
      <c r="M128" s="60"/>
      <c r="N128" s="60"/>
    </row>
    <row r="129" spans="2:14" x14ac:dyDescent="0.3">
      <c r="B129" s="51"/>
      <c r="C129" s="51"/>
      <c r="D129" s="51"/>
      <c r="E129" s="51"/>
      <c r="F129" s="51"/>
      <c r="G129" s="51"/>
      <c r="H129" s="51"/>
      <c r="I129" s="56"/>
      <c r="J129" s="51"/>
      <c r="K129" s="51"/>
      <c r="L129" s="51"/>
      <c r="M129" s="60"/>
      <c r="N129" s="60"/>
    </row>
    <row r="130" spans="2:14" x14ac:dyDescent="0.3">
      <c r="B130" s="51"/>
      <c r="C130" s="51"/>
      <c r="D130" s="51"/>
      <c r="E130" s="51"/>
      <c r="F130" s="51"/>
      <c r="G130" s="51"/>
      <c r="H130" s="51"/>
      <c r="I130" s="56"/>
      <c r="J130" s="51"/>
      <c r="K130" s="51"/>
      <c r="L130" s="51"/>
      <c r="M130" s="60"/>
      <c r="N130" s="60"/>
    </row>
    <row r="131" spans="2:14" x14ac:dyDescent="0.3">
      <c r="B131" s="51"/>
      <c r="C131" s="51"/>
      <c r="D131" s="51"/>
      <c r="E131" s="51"/>
      <c r="F131" s="51"/>
      <c r="G131" s="51"/>
      <c r="H131" s="51"/>
      <c r="I131" s="56"/>
      <c r="J131" s="51"/>
      <c r="K131" s="51"/>
      <c r="L131" s="51"/>
      <c r="M131" s="60"/>
      <c r="N131" s="60"/>
    </row>
    <row r="132" spans="2:14" x14ac:dyDescent="0.3">
      <c r="B132" s="51"/>
      <c r="C132" s="51"/>
      <c r="D132" s="51"/>
      <c r="E132" s="51"/>
      <c r="F132" s="51"/>
      <c r="G132" s="51"/>
      <c r="H132" s="51"/>
      <c r="I132" s="56"/>
      <c r="J132" s="51"/>
      <c r="K132" s="51"/>
      <c r="L132" s="51"/>
      <c r="M132" s="60"/>
      <c r="N132" s="60"/>
    </row>
    <row r="133" spans="2:14" x14ac:dyDescent="0.3">
      <c r="B133" s="51"/>
      <c r="C133" s="51"/>
      <c r="D133" s="51"/>
      <c r="E133" s="51"/>
      <c r="F133" s="51"/>
      <c r="G133" s="51"/>
      <c r="H133" s="51"/>
      <c r="I133" s="56"/>
      <c r="J133" s="51"/>
      <c r="K133" s="51"/>
      <c r="L133" s="51"/>
      <c r="M133" s="60"/>
      <c r="N133" s="60"/>
    </row>
    <row r="134" spans="2:14" x14ac:dyDescent="0.3">
      <c r="B134" s="51"/>
      <c r="C134" s="51"/>
      <c r="D134" s="51"/>
      <c r="E134" s="51"/>
      <c r="F134" s="51"/>
      <c r="G134" s="51"/>
      <c r="H134" s="51"/>
      <c r="I134" s="56"/>
      <c r="J134" s="51"/>
      <c r="K134" s="51"/>
      <c r="L134" s="51"/>
      <c r="M134" s="60"/>
      <c r="N134" s="60"/>
    </row>
    <row r="135" spans="2:14" x14ac:dyDescent="0.3">
      <c r="B135" s="51"/>
      <c r="C135" s="51"/>
      <c r="D135" s="51"/>
      <c r="E135" s="51"/>
      <c r="F135" s="51"/>
      <c r="G135" s="51"/>
      <c r="H135" s="51"/>
      <c r="I135" s="56"/>
      <c r="J135" s="51"/>
      <c r="K135" s="51"/>
      <c r="L135" s="51"/>
      <c r="M135" s="60"/>
      <c r="N135" s="60"/>
    </row>
    <row r="136" spans="2:14" x14ac:dyDescent="0.3">
      <c r="B136" s="51"/>
      <c r="C136" s="51"/>
      <c r="D136" s="51"/>
      <c r="E136" s="51"/>
      <c r="F136" s="51"/>
      <c r="G136" s="51"/>
      <c r="H136" s="51"/>
      <c r="I136" s="56"/>
      <c r="J136" s="51"/>
      <c r="K136" s="51"/>
      <c r="L136" s="51"/>
      <c r="M136" s="60"/>
      <c r="N136" s="60"/>
    </row>
    <row r="137" spans="2:14" x14ac:dyDescent="0.3">
      <c r="B137" s="51"/>
      <c r="C137" s="51"/>
      <c r="D137" s="51"/>
      <c r="E137" s="51"/>
      <c r="F137" s="51"/>
      <c r="G137" s="51"/>
      <c r="H137" s="51"/>
      <c r="I137" s="56"/>
      <c r="J137" s="51"/>
      <c r="K137" s="51"/>
      <c r="L137" s="51"/>
      <c r="M137" s="60"/>
      <c r="N137" s="60"/>
    </row>
    <row r="138" spans="2:14" x14ac:dyDescent="0.3">
      <c r="B138" s="51"/>
      <c r="C138" s="51"/>
      <c r="D138" s="51"/>
      <c r="E138" s="51"/>
      <c r="F138" s="51"/>
      <c r="G138" s="51"/>
      <c r="H138" s="51"/>
      <c r="I138" s="56"/>
      <c r="J138" s="51"/>
      <c r="K138" s="51"/>
      <c r="L138" s="51"/>
      <c r="M138" s="60"/>
      <c r="N138" s="60"/>
    </row>
    <row r="139" spans="2:14" x14ac:dyDescent="0.3">
      <c r="B139" s="51"/>
      <c r="C139" s="51"/>
      <c r="D139" s="51"/>
      <c r="E139" s="51"/>
      <c r="F139" s="51"/>
      <c r="G139" s="51"/>
      <c r="H139" s="51"/>
      <c r="I139" s="56"/>
      <c r="J139" s="51"/>
      <c r="K139" s="51"/>
      <c r="L139" s="51"/>
      <c r="M139" s="60"/>
      <c r="N139" s="60"/>
    </row>
    <row r="140" spans="2:14" x14ac:dyDescent="0.3">
      <c r="B140" s="51"/>
      <c r="C140" s="51"/>
      <c r="D140" s="51"/>
      <c r="E140" s="51"/>
      <c r="F140" s="51"/>
      <c r="G140" s="51"/>
      <c r="H140" s="51"/>
      <c r="I140" s="56"/>
      <c r="J140" s="51"/>
      <c r="K140" s="51"/>
      <c r="L140" s="51"/>
      <c r="M140" s="60"/>
      <c r="N140" s="60"/>
    </row>
    <row r="141" spans="2:14" x14ac:dyDescent="0.3">
      <c r="B141" s="51"/>
      <c r="C141" s="51"/>
      <c r="D141" s="51"/>
      <c r="E141" s="51"/>
      <c r="F141" s="51"/>
      <c r="G141" s="51"/>
      <c r="H141" s="51"/>
      <c r="I141" s="56"/>
      <c r="J141" s="51"/>
      <c r="K141" s="51"/>
      <c r="L141" s="51"/>
      <c r="M141" s="60"/>
      <c r="N141" s="60"/>
    </row>
    <row r="142" spans="2:14" x14ac:dyDescent="0.3">
      <c r="B142" s="51"/>
      <c r="C142" s="51"/>
      <c r="D142" s="51"/>
      <c r="E142" s="51"/>
      <c r="F142" s="51"/>
      <c r="G142" s="51"/>
      <c r="H142" s="51"/>
      <c r="I142" s="56"/>
      <c r="J142" s="51"/>
      <c r="K142" s="51"/>
      <c r="L142" s="51"/>
      <c r="M142" s="60"/>
      <c r="N142" s="60"/>
    </row>
    <row r="143" spans="2:14" x14ac:dyDescent="0.3">
      <c r="B143" s="51"/>
      <c r="C143" s="51"/>
      <c r="D143" s="51"/>
      <c r="E143" s="51"/>
      <c r="F143" s="51"/>
      <c r="G143" s="51"/>
      <c r="H143" s="51"/>
      <c r="I143" s="56"/>
      <c r="J143" s="51"/>
      <c r="K143" s="51"/>
      <c r="L143" s="51"/>
      <c r="M143" s="60"/>
      <c r="N143" s="60"/>
    </row>
    <row r="144" spans="2:14" x14ac:dyDescent="0.3">
      <c r="B144" s="51"/>
      <c r="C144" s="51"/>
      <c r="D144" s="51"/>
      <c r="E144" s="51"/>
      <c r="F144" s="51"/>
      <c r="G144" s="51"/>
      <c r="H144" s="51"/>
      <c r="I144" s="56"/>
      <c r="J144" s="51"/>
      <c r="K144" s="51"/>
      <c r="L144" s="51"/>
      <c r="M144" s="60"/>
      <c r="N144" s="60"/>
    </row>
    <row r="145" spans="2:14" x14ac:dyDescent="0.3">
      <c r="B145" s="51"/>
      <c r="C145" s="51"/>
      <c r="D145" s="51"/>
      <c r="E145" s="51"/>
      <c r="F145" s="51"/>
      <c r="G145" s="51"/>
      <c r="H145" s="51"/>
      <c r="I145" s="56"/>
      <c r="J145" s="51"/>
      <c r="K145" s="51"/>
      <c r="L145" s="51"/>
      <c r="M145" s="60"/>
      <c r="N145" s="60"/>
    </row>
    <row r="146" spans="2:14" x14ac:dyDescent="0.3">
      <c r="B146" s="51"/>
      <c r="C146" s="51"/>
      <c r="D146" s="51"/>
      <c r="E146" s="51"/>
      <c r="F146" s="51"/>
      <c r="G146" s="51"/>
      <c r="H146" s="51"/>
      <c r="I146" s="56"/>
      <c r="J146" s="51"/>
      <c r="K146" s="51"/>
      <c r="L146" s="51"/>
      <c r="M146" s="60"/>
      <c r="N146" s="60"/>
    </row>
    <row r="147" spans="2:14" x14ac:dyDescent="0.3">
      <c r="B147" s="51"/>
      <c r="C147" s="51"/>
      <c r="D147" s="51"/>
      <c r="E147" s="51"/>
      <c r="F147" s="51"/>
      <c r="G147" s="51"/>
      <c r="H147" s="51"/>
      <c r="I147" s="56"/>
      <c r="J147" s="51"/>
      <c r="K147" s="51"/>
      <c r="L147" s="51"/>
      <c r="M147" s="60"/>
      <c r="N147" s="60"/>
    </row>
    <row r="148" spans="2:14" x14ac:dyDescent="0.3">
      <c r="B148" s="51"/>
      <c r="C148" s="51"/>
      <c r="D148" s="51"/>
      <c r="E148" s="51"/>
      <c r="F148" s="51"/>
      <c r="G148" s="51"/>
      <c r="H148" s="51"/>
      <c r="I148" s="56"/>
      <c r="J148" s="51"/>
      <c r="K148" s="51"/>
      <c r="L148" s="51"/>
      <c r="M148" s="60"/>
      <c r="N148" s="60"/>
    </row>
    <row r="149" spans="2:14" x14ac:dyDescent="0.3">
      <c r="B149" s="51"/>
      <c r="C149" s="51"/>
      <c r="D149" s="51"/>
      <c r="E149" s="51"/>
      <c r="F149" s="51"/>
      <c r="G149" s="51"/>
      <c r="H149" s="51"/>
      <c r="I149" s="56"/>
      <c r="J149" s="51"/>
      <c r="K149" s="51"/>
      <c r="L149" s="51"/>
      <c r="M149" s="60"/>
      <c r="N149" s="60"/>
    </row>
    <row r="150" spans="2:14" x14ac:dyDescent="0.3">
      <c r="B150" s="51"/>
      <c r="C150" s="51"/>
      <c r="D150" s="51"/>
      <c r="E150" s="51"/>
      <c r="F150" s="51"/>
      <c r="G150" s="51"/>
      <c r="H150" s="51"/>
      <c r="I150" s="56"/>
      <c r="J150" s="51"/>
      <c r="K150" s="51"/>
      <c r="L150" s="51"/>
      <c r="M150" s="60"/>
      <c r="N150" s="60"/>
    </row>
    <row r="151" spans="2:14" x14ac:dyDescent="0.3">
      <c r="B151" s="51"/>
      <c r="C151" s="51"/>
      <c r="D151" s="51"/>
      <c r="E151" s="51"/>
      <c r="F151" s="51"/>
      <c r="G151" s="51"/>
      <c r="H151" s="51"/>
      <c r="I151" s="56"/>
      <c r="J151" s="51"/>
      <c r="K151" s="51"/>
      <c r="L151" s="51"/>
      <c r="M151" s="60"/>
      <c r="N151" s="60"/>
    </row>
    <row r="152" spans="2:14" x14ac:dyDescent="0.3">
      <c r="B152" s="51"/>
      <c r="C152" s="51"/>
      <c r="D152" s="51"/>
      <c r="E152" s="51"/>
      <c r="F152" s="51"/>
      <c r="G152" s="51"/>
      <c r="H152" s="51"/>
      <c r="I152" s="56"/>
      <c r="J152" s="51"/>
      <c r="K152" s="51"/>
      <c r="L152" s="51"/>
      <c r="M152" s="60"/>
      <c r="N152" s="60"/>
    </row>
    <row r="153" spans="2:14" x14ac:dyDescent="0.3">
      <c r="B153" s="51"/>
      <c r="C153" s="51"/>
      <c r="D153" s="51"/>
      <c r="E153" s="51"/>
      <c r="F153" s="51"/>
      <c r="G153" s="51"/>
      <c r="H153" s="51"/>
      <c r="I153" s="56"/>
      <c r="J153" s="51"/>
      <c r="K153" s="51"/>
      <c r="L153" s="51"/>
      <c r="M153" s="60"/>
      <c r="N153" s="60"/>
    </row>
    <row r="154" spans="2:14" x14ac:dyDescent="0.3">
      <c r="B154" s="51"/>
      <c r="C154" s="51"/>
      <c r="D154" s="51"/>
      <c r="E154" s="51"/>
      <c r="F154" s="51"/>
      <c r="G154" s="51"/>
      <c r="H154" s="51"/>
      <c r="I154" s="56"/>
      <c r="J154" s="51"/>
      <c r="K154" s="51"/>
      <c r="L154" s="51"/>
      <c r="M154" s="60"/>
      <c r="N154" s="60"/>
    </row>
    <row r="155" spans="2:14" x14ac:dyDescent="0.3">
      <c r="B155" s="51"/>
      <c r="C155" s="51"/>
      <c r="D155" s="51"/>
      <c r="E155" s="51"/>
      <c r="F155" s="51"/>
      <c r="G155" s="51"/>
      <c r="H155" s="51"/>
      <c r="I155" s="56"/>
      <c r="J155" s="51"/>
      <c r="K155" s="51"/>
      <c r="L155" s="51"/>
      <c r="M155" s="60"/>
      <c r="N155" s="60"/>
    </row>
    <row r="156" spans="2:14" x14ac:dyDescent="0.3">
      <c r="B156" s="51"/>
      <c r="C156" s="51"/>
      <c r="D156" s="51"/>
      <c r="E156" s="51"/>
      <c r="F156" s="51"/>
      <c r="G156" s="51"/>
      <c r="H156" s="51"/>
      <c r="I156" s="56"/>
      <c r="J156" s="51"/>
      <c r="K156" s="51"/>
      <c r="L156" s="51"/>
      <c r="M156" s="60"/>
      <c r="N156" s="60"/>
    </row>
    <row r="157" spans="2:14" x14ac:dyDescent="0.3">
      <c r="B157" s="51"/>
      <c r="C157" s="51"/>
      <c r="D157" s="51"/>
      <c r="E157" s="51"/>
      <c r="F157" s="51"/>
      <c r="G157" s="51"/>
      <c r="H157" s="51"/>
      <c r="I157" s="56"/>
      <c r="J157" s="51"/>
      <c r="K157" s="51"/>
      <c r="L157" s="51"/>
      <c r="M157" s="60"/>
      <c r="N157" s="60"/>
    </row>
    <row r="158" spans="2:14" x14ac:dyDescent="0.3">
      <c r="B158" s="51"/>
      <c r="C158" s="51"/>
      <c r="D158" s="51"/>
      <c r="E158" s="51"/>
      <c r="F158" s="51"/>
      <c r="G158" s="51"/>
      <c r="H158" s="51"/>
      <c r="I158" s="56"/>
      <c r="J158" s="51"/>
      <c r="K158" s="51"/>
      <c r="L158" s="51"/>
      <c r="M158" s="60"/>
      <c r="N158" s="60"/>
    </row>
    <row r="159" spans="2:14" x14ac:dyDescent="0.3">
      <c r="B159" s="51"/>
      <c r="C159" s="51"/>
      <c r="D159" s="51"/>
      <c r="E159" s="51"/>
      <c r="F159" s="51"/>
      <c r="G159" s="51"/>
      <c r="H159" s="51"/>
      <c r="I159" s="56"/>
      <c r="J159" s="51"/>
      <c r="K159" s="51"/>
      <c r="L159" s="51"/>
      <c r="M159" s="60"/>
      <c r="N159" s="60"/>
    </row>
    <row r="160" spans="2:14" x14ac:dyDescent="0.3">
      <c r="B160" s="51"/>
      <c r="C160" s="51"/>
      <c r="D160" s="51"/>
      <c r="E160" s="51"/>
      <c r="F160" s="51"/>
      <c r="G160" s="51"/>
      <c r="H160" s="51"/>
      <c r="I160" s="56"/>
      <c r="J160" s="51"/>
      <c r="K160" s="51"/>
      <c r="L160" s="51"/>
      <c r="M160" s="60"/>
      <c r="N160" s="60"/>
    </row>
    <row r="161" spans="2:14" x14ac:dyDescent="0.3">
      <c r="B161" s="51"/>
      <c r="C161" s="51"/>
      <c r="D161" s="51"/>
      <c r="E161" s="51"/>
      <c r="F161" s="51"/>
      <c r="G161" s="51"/>
      <c r="H161" s="51"/>
      <c r="I161" s="56"/>
      <c r="J161" s="51"/>
      <c r="K161" s="51"/>
      <c r="L161" s="51"/>
      <c r="M161" s="60"/>
      <c r="N161" s="60"/>
    </row>
    <row r="162" spans="2:14" x14ac:dyDescent="0.3">
      <c r="B162" s="51"/>
      <c r="C162" s="51"/>
      <c r="D162" s="51"/>
      <c r="E162" s="51"/>
      <c r="F162" s="51"/>
      <c r="G162" s="51"/>
      <c r="H162" s="51"/>
      <c r="I162" s="56"/>
      <c r="J162" s="51"/>
      <c r="K162" s="51"/>
      <c r="L162" s="51"/>
      <c r="M162" s="60"/>
      <c r="N162" s="60"/>
    </row>
    <row r="163" spans="2:14" x14ac:dyDescent="0.3">
      <c r="B163" s="51"/>
      <c r="C163" s="51"/>
      <c r="D163" s="51"/>
      <c r="E163" s="51"/>
      <c r="F163" s="51"/>
      <c r="G163" s="51"/>
      <c r="H163" s="51"/>
      <c r="I163" s="56"/>
      <c r="J163" s="51"/>
      <c r="K163" s="51"/>
      <c r="L163" s="51"/>
      <c r="M163" s="60"/>
      <c r="N163" s="60"/>
    </row>
    <row r="164" spans="2:14" x14ac:dyDescent="0.3">
      <c r="B164" s="51"/>
      <c r="C164" s="51"/>
      <c r="D164" s="51"/>
      <c r="E164" s="51"/>
      <c r="F164" s="51"/>
      <c r="G164" s="51"/>
      <c r="H164" s="51"/>
      <c r="I164" s="56"/>
      <c r="J164" s="51"/>
      <c r="K164" s="51"/>
      <c r="L164" s="51"/>
      <c r="M164" s="60"/>
      <c r="N164" s="60"/>
    </row>
    <row r="165" spans="2:14" x14ac:dyDescent="0.3">
      <c r="B165" s="51"/>
      <c r="C165" s="51"/>
      <c r="D165" s="51"/>
      <c r="E165" s="51"/>
      <c r="F165" s="51"/>
      <c r="G165" s="51"/>
      <c r="H165" s="51"/>
      <c r="I165" s="56"/>
      <c r="J165" s="51"/>
      <c r="K165" s="51"/>
      <c r="L165" s="51"/>
      <c r="M165" s="60"/>
      <c r="N165" s="60"/>
    </row>
    <row r="166" spans="2:14" x14ac:dyDescent="0.3">
      <c r="B166" s="51"/>
      <c r="C166" s="51"/>
      <c r="D166" s="51"/>
      <c r="E166" s="51"/>
      <c r="F166" s="51"/>
      <c r="G166" s="51"/>
      <c r="H166" s="51"/>
      <c r="I166" s="56"/>
      <c r="J166" s="51"/>
      <c r="K166" s="51"/>
      <c r="L166" s="51"/>
      <c r="M166" s="60"/>
      <c r="N166" s="60"/>
    </row>
    <row r="167" spans="2:14" x14ac:dyDescent="0.3">
      <c r="B167" s="51"/>
      <c r="C167" s="51"/>
      <c r="D167" s="51"/>
      <c r="E167" s="51"/>
      <c r="F167" s="51"/>
      <c r="G167" s="51"/>
      <c r="H167" s="51"/>
      <c r="I167" s="56"/>
      <c r="J167" s="51"/>
      <c r="K167" s="51"/>
      <c r="L167" s="51"/>
      <c r="M167" s="60"/>
      <c r="N167" s="60"/>
    </row>
    <row r="168" spans="2:14" x14ac:dyDescent="0.3">
      <c r="B168" s="51"/>
      <c r="C168" s="51"/>
      <c r="D168" s="51"/>
      <c r="E168" s="51"/>
      <c r="F168" s="51"/>
      <c r="G168" s="51"/>
      <c r="H168" s="51"/>
      <c r="I168" s="56"/>
      <c r="J168" s="51"/>
      <c r="K168" s="51"/>
      <c r="L168" s="51"/>
      <c r="M168" s="60"/>
      <c r="N168" s="60"/>
    </row>
    <row r="169" spans="2:14" x14ac:dyDescent="0.3">
      <c r="B169" s="51"/>
      <c r="C169" s="51"/>
      <c r="D169" s="51"/>
      <c r="E169" s="51"/>
      <c r="F169" s="51"/>
      <c r="G169" s="51"/>
      <c r="H169" s="51"/>
      <c r="I169" s="56"/>
      <c r="J169" s="51"/>
      <c r="K169" s="51"/>
      <c r="L169" s="51"/>
      <c r="M169" s="60"/>
      <c r="N169" s="60"/>
    </row>
    <row r="170" spans="2:14" x14ac:dyDescent="0.3">
      <c r="B170" s="51"/>
      <c r="C170" s="51"/>
      <c r="D170" s="51"/>
      <c r="E170" s="51"/>
      <c r="F170" s="51"/>
      <c r="G170" s="51"/>
      <c r="H170" s="51"/>
      <c r="I170" s="56"/>
      <c r="J170" s="51"/>
      <c r="K170" s="51"/>
      <c r="L170" s="51"/>
      <c r="M170" s="60"/>
      <c r="N170" s="60"/>
    </row>
    <row r="171" spans="2:14" x14ac:dyDescent="0.3">
      <c r="B171" s="51"/>
      <c r="C171" s="51"/>
      <c r="D171" s="51"/>
      <c r="E171" s="51"/>
      <c r="F171" s="51"/>
      <c r="G171" s="51"/>
      <c r="H171" s="51"/>
      <c r="I171" s="56"/>
      <c r="J171" s="51"/>
      <c r="K171" s="51"/>
      <c r="L171" s="51"/>
      <c r="M171" s="60"/>
      <c r="N171" s="60"/>
    </row>
    <row r="172" spans="2:14" x14ac:dyDescent="0.3">
      <c r="B172" s="51"/>
      <c r="C172" s="51"/>
      <c r="D172" s="51"/>
      <c r="E172" s="51"/>
      <c r="F172" s="51"/>
      <c r="G172" s="51"/>
      <c r="H172" s="51"/>
      <c r="I172" s="56"/>
      <c r="J172" s="51"/>
      <c r="K172" s="51"/>
      <c r="L172" s="51"/>
      <c r="M172" s="60"/>
      <c r="N172" s="60"/>
    </row>
    <row r="173" spans="2:14" x14ac:dyDescent="0.3">
      <c r="B173" s="51"/>
      <c r="C173" s="51"/>
      <c r="D173" s="51"/>
      <c r="E173" s="51"/>
      <c r="F173" s="51"/>
      <c r="G173" s="51"/>
      <c r="H173" s="51"/>
      <c r="I173" s="56"/>
      <c r="J173" s="51"/>
      <c r="K173" s="51"/>
      <c r="L173" s="51"/>
      <c r="M173" s="60"/>
      <c r="N173" s="60"/>
    </row>
    <row r="174" spans="2:14" x14ac:dyDescent="0.3">
      <c r="B174" s="51"/>
      <c r="C174" s="51"/>
      <c r="D174" s="51"/>
      <c r="E174" s="51"/>
      <c r="F174" s="51"/>
      <c r="G174" s="51"/>
      <c r="H174" s="51"/>
      <c r="I174" s="56"/>
      <c r="J174" s="51"/>
      <c r="K174" s="51"/>
      <c r="L174" s="51"/>
      <c r="M174" s="60"/>
      <c r="N174" s="60"/>
    </row>
    <row r="175" spans="2:14" x14ac:dyDescent="0.3">
      <c r="B175" s="51"/>
      <c r="C175" s="51"/>
      <c r="D175" s="51"/>
      <c r="E175" s="51"/>
      <c r="F175" s="51"/>
      <c r="G175" s="51"/>
      <c r="H175" s="51"/>
      <c r="I175" s="56"/>
      <c r="J175" s="51"/>
      <c r="K175" s="51"/>
      <c r="L175" s="51"/>
      <c r="M175" s="60"/>
      <c r="N175" s="60"/>
    </row>
    <row r="176" spans="2:14" x14ac:dyDescent="0.3">
      <c r="B176" s="51"/>
      <c r="C176" s="51"/>
      <c r="D176" s="51"/>
      <c r="E176" s="51"/>
      <c r="F176" s="51"/>
      <c r="G176" s="51"/>
      <c r="H176" s="51"/>
      <c r="I176" s="56"/>
      <c r="J176" s="51"/>
      <c r="K176" s="51"/>
      <c r="L176" s="51"/>
      <c r="M176" s="60"/>
      <c r="N176" s="60"/>
    </row>
    <row r="177" spans="2:14" x14ac:dyDescent="0.3">
      <c r="B177" s="51"/>
      <c r="C177" s="51"/>
      <c r="D177" s="51"/>
      <c r="E177" s="51"/>
      <c r="F177" s="51"/>
      <c r="G177" s="51"/>
      <c r="H177" s="51"/>
      <c r="I177" s="56"/>
      <c r="J177" s="51"/>
      <c r="K177" s="51"/>
      <c r="L177" s="51"/>
      <c r="M177" s="60"/>
      <c r="N177" s="60"/>
    </row>
    <row r="178" spans="2:14" x14ac:dyDescent="0.3">
      <c r="B178" s="51"/>
      <c r="C178" s="51"/>
      <c r="D178" s="51"/>
      <c r="E178" s="51"/>
      <c r="F178" s="51"/>
      <c r="G178" s="51"/>
      <c r="H178" s="51"/>
      <c r="I178" s="56"/>
      <c r="J178" s="51"/>
      <c r="K178" s="51"/>
      <c r="L178" s="51"/>
      <c r="M178" s="60"/>
      <c r="N178" s="60"/>
    </row>
    <row r="179" spans="2:14" x14ac:dyDescent="0.3">
      <c r="B179" s="51"/>
      <c r="C179" s="51"/>
      <c r="D179" s="51"/>
      <c r="E179" s="51"/>
      <c r="F179" s="51"/>
      <c r="G179" s="51"/>
      <c r="H179" s="51"/>
      <c r="I179" s="56"/>
      <c r="J179" s="51"/>
      <c r="K179" s="51"/>
      <c r="L179" s="51"/>
      <c r="M179" s="60"/>
      <c r="N179" s="60"/>
    </row>
    <row r="180" spans="2:14" x14ac:dyDescent="0.3">
      <c r="B180" s="51"/>
      <c r="C180" s="51"/>
      <c r="D180" s="51"/>
      <c r="E180" s="51"/>
      <c r="F180" s="51"/>
      <c r="G180" s="51"/>
      <c r="H180" s="51"/>
      <c r="I180" s="56"/>
      <c r="J180" s="51"/>
      <c r="K180" s="51"/>
      <c r="L180" s="51"/>
      <c r="M180" s="60"/>
      <c r="N180" s="60"/>
    </row>
    <row r="181" spans="2:14" x14ac:dyDescent="0.3">
      <c r="B181" s="51"/>
      <c r="C181" s="51"/>
      <c r="D181" s="51"/>
      <c r="E181" s="51"/>
      <c r="F181" s="51"/>
      <c r="G181" s="51"/>
      <c r="H181" s="51"/>
      <c r="I181" s="56"/>
      <c r="J181" s="51"/>
      <c r="K181" s="51"/>
      <c r="L181" s="51"/>
      <c r="M181" s="60"/>
      <c r="N181" s="60"/>
    </row>
    <row r="182" spans="2:14" x14ac:dyDescent="0.3">
      <c r="B182" s="51"/>
      <c r="C182" s="51"/>
      <c r="D182" s="51"/>
      <c r="E182" s="51"/>
      <c r="F182" s="51"/>
      <c r="G182" s="51"/>
      <c r="H182" s="51"/>
      <c r="I182" s="56"/>
      <c r="J182" s="51"/>
      <c r="K182" s="51"/>
      <c r="L182" s="51"/>
      <c r="M182" s="60"/>
      <c r="N182" s="60"/>
    </row>
    <row r="183" spans="2:14" x14ac:dyDescent="0.3">
      <c r="B183" s="51"/>
      <c r="C183" s="51"/>
      <c r="D183" s="51"/>
      <c r="E183" s="51"/>
      <c r="F183" s="51"/>
      <c r="G183" s="51"/>
      <c r="H183" s="51"/>
      <c r="I183" s="56"/>
      <c r="J183" s="51"/>
      <c r="K183" s="51"/>
      <c r="L183" s="51"/>
      <c r="M183" s="60"/>
      <c r="N183" s="60"/>
    </row>
    <row r="184" spans="2:14" x14ac:dyDescent="0.3">
      <c r="B184" s="51"/>
      <c r="C184" s="51"/>
      <c r="D184" s="51"/>
      <c r="E184" s="51"/>
      <c r="F184" s="51"/>
      <c r="G184" s="51"/>
      <c r="H184" s="51"/>
      <c r="I184" s="56"/>
      <c r="J184" s="51"/>
      <c r="K184" s="51"/>
      <c r="L184" s="51"/>
      <c r="M184" s="60"/>
      <c r="N184" s="60"/>
    </row>
    <row r="185" spans="2:14" x14ac:dyDescent="0.3">
      <c r="B185" s="51"/>
      <c r="C185" s="51"/>
      <c r="D185" s="51"/>
      <c r="E185" s="51"/>
      <c r="F185" s="51"/>
      <c r="G185" s="51"/>
      <c r="H185" s="51"/>
      <c r="I185" s="56"/>
      <c r="J185" s="51"/>
      <c r="K185" s="51"/>
      <c r="L185" s="51"/>
      <c r="M185" s="60"/>
      <c r="N185" s="60"/>
    </row>
    <row r="186" spans="2:14" x14ac:dyDescent="0.3">
      <c r="B186" s="51"/>
      <c r="C186" s="51"/>
      <c r="D186" s="51"/>
      <c r="E186" s="51"/>
      <c r="F186" s="51"/>
      <c r="G186" s="51"/>
      <c r="H186" s="51"/>
      <c r="I186" s="56"/>
      <c r="J186" s="51"/>
      <c r="K186" s="51"/>
      <c r="L186" s="51"/>
      <c r="M186" s="60"/>
      <c r="N186" s="60"/>
    </row>
    <row r="187" spans="2:14" x14ac:dyDescent="0.3">
      <c r="B187" s="51"/>
      <c r="C187" s="51"/>
      <c r="D187" s="51"/>
      <c r="E187" s="51"/>
      <c r="F187" s="51"/>
      <c r="G187" s="51"/>
      <c r="H187" s="51"/>
      <c r="I187" s="56"/>
      <c r="J187" s="51"/>
      <c r="K187" s="51"/>
      <c r="L187" s="51"/>
      <c r="M187" s="60"/>
      <c r="N187" s="60"/>
    </row>
    <row r="188" spans="2:14" x14ac:dyDescent="0.3">
      <c r="B188" s="51"/>
      <c r="C188" s="51"/>
      <c r="D188" s="51"/>
      <c r="E188" s="51"/>
      <c r="F188" s="51"/>
      <c r="G188" s="51"/>
      <c r="H188" s="51"/>
      <c r="I188" s="56"/>
      <c r="J188" s="51"/>
      <c r="K188" s="51"/>
      <c r="L188" s="51"/>
      <c r="M188" s="60"/>
      <c r="N188" s="60"/>
    </row>
    <row r="189" spans="2:14" x14ac:dyDescent="0.3">
      <c r="B189" s="51"/>
      <c r="C189" s="51"/>
      <c r="D189" s="51"/>
      <c r="E189" s="51"/>
      <c r="F189" s="51"/>
      <c r="G189" s="51"/>
      <c r="H189" s="51"/>
      <c r="I189" s="56"/>
      <c r="J189" s="51"/>
      <c r="K189" s="51"/>
      <c r="L189" s="51"/>
      <c r="M189" s="60"/>
      <c r="N189" s="60"/>
    </row>
    <row r="190" spans="2:14" x14ac:dyDescent="0.3">
      <c r="B190" s="51"/>
      <c r="C190" s="51"/>
      <c r="D190" s="51"/>
      <c r="E190" s="51"/>
      <c r="F190" s="51"/>
      <c r="G190" s="51"/>
      <c r="H190" s="51"/>
      <c r="I190" s="56"/>
      <c r="J190" s="51"/>
      <c r="K190" s="51"/>
      <c r="L190" s="51"/>
      <c r="M190" s="60"/>
      <c r="N190" s="60"/>
    </row>
    <row r="191" spans="2:14" x14ac:dyDescent="0.3">
      <c r="B191" s="51"/>
      <c r="C191" s="51"/>
      <c r="D191" s="51"/>
      <c r="E191" s="51"/>
      <c r="F191" s="51"/>
      <c r="G191" s="51"/>
      <c r="H191" s="51"/>
      <c r="I191" s="56"/>
      <c r="J191" s="51"/>
      <c r="K191" s="51"/>
      <c r="L191" s="51"/>
      <c r="M191" s="60"/>
      <c r="N191" s="60"/>
    </row>
    <row r="192" spans="2:14" x14ac:dyDescent="0.3">
      <c r="B192" s="51"/>
      <c r="C192" s="51"/>
      <c r="D192" s="51"/>
      <c r="E192" s="51"/>
      <c r="F192" s="51"/>
      <c r="G192" s="51"/>
      <c r="H192" s="51"/>
      <c r="I192" s="56"/>
      <c r="J192" s="51"/>
      <c r="K192" s="51"/>
      <c r="L192" s="51"/>
      <c r="M192" s="60"/>
      <c r="N192" s="60"/>
    </row>
    <row r="193" spans="2:14" x14ac:dyDescent="0.3">
      <c r="B193" s="51"/>
      <c r="C193" s="51"/>
      <c r="D193" s="51"/>
      <c r="E193" s="51"/>
      <c r="F193" s="51"/>
      <c r="G193" s="51"/>
      <c r="H193" s="51"/>
      <c r="I193" s="56"/>
      <c r="J193" s="51"/>
      <c r="K193" s="51"/>
      <c r="L193" s="51"/>
      <c r="M193" s="60"/>
      <c r="N193" s="60"/>
    </row>
    <row r="194" spans="2:14" x14ac:dyDescent="0.3">
      <c r="B194" s="51"/>
      <c r="C194" s="51"/>
      <c r="D194" s="51"/>
      <c r="E194" s="51"/>
      <c r="F194" s="51"/>
      <c r="G194" s="51"/>
      <c r="H194" s="51"/>
      <c r="I194" s="56"/>
      <c r="J194" s="51"/>
      <c r="K194" s="51"/>
      <c r="L194" s="51"/>
      <c r="M194" s="60"/>
      <c r="N194" s="60"/>
    </row>
    <row r="195" spans="2:14" x14ac:dyDescent="0.3">
      <c r="B195" s="51"/>
      <c r="C195" s="51"/>
      <c r="D195" s="51"/>
      <c r="E195" s="51"/>
      <c r="F195" s="51"/>
      <c r="G195" s="51"/>
      <c r="H195" s="51"/>
      <c r="I195" s="56"/>
      <c r="J195" s="51"/>
      <c r="K195" s="51"/>
      <c r="L195" s="51"/>
      <c r="M195" s="60"/>
      <c r="N195" s="60"/>
    </row>
    <row r="196" spans="2:14" x14ac:dyDescent="0.3">
      <c r="B196" s="51"/>
      <c r="C196" s="51"/>
      <c r="D196" s="51"/>
      <c r="E196" s="51"/>
      <c r="F196" s="51"/>
      <c r="G196" s="51"/>
      <c r="H196" s="51"/>
      <c r="I196" s="56"/>
      <c r="J196" s="51"/>
      <c r="K196" s="51"/>
      <c r="L196" s="51"/>
      <c r="M196" s="60"/>
      <c r="N196" s="60"/>
    </row>
    <row r="197" spans="2:14" x14ac:dyDescent="0.3">
      <c r="B197" s="51"/>
      <c r="C197" s="51"/>
      <c r="D197" s="51"/>
      <c r="E197" s="51"/>
      <c r="F197" s="51"/>
      <c r="G197" s="51"/>
      <c r="H197" s="51"/>
      <c r="I197" s="56"/>
      <c r="J197" s="51"/>
      <c r="K197" s="51"/>
      <c r="L197" s="51"/>
      <c r="M197" s="60"/>
      <c r="N197" s="60"/>
    </row>
    <row r="198" spans="2:14" x14ac:dyDescent="0.3">
      <c r="B198" s="51"/>
      <c r="C198" s="51"/>
      <c r="D198" s="51"/>
      <c r="E198" s="51"/>
      <c r="F198" s="51"/>
      <c r="G198" s="51"/>
      <c r="H198" s="51"/>
      <c r="I198" s="56"/>
      <c r="J198" s="51"/>
      <c r="K198" s="51"/>
      <c r="L198" s="51"/>
      <c r="M198" s="60"/>
      <c r="N198" s="60"/>
    </row>
    <row r="199" spans="2:14" x14ac:dyDescent="0.3">
      <c r="B199" s="51"/>
      <c r="C199" s="51"/>
      <c r="D199" s="51"/>
      <c r="E199" s="51"/>
      <c r="F199" s="51"/>
      <c r="G199" s="51"/>
      <c r="H199" s="51"/>
      <c r="I199" s="56"/>
      <c r="J199" s="51"/>
      <c r="K199" s="51"/>
      <c r="L199" s="51"/>
      <c r="M199" s="60"/>
      <c r="N199" s="60"/>
    </row>
    <row r="200" spans="2:14" x14ac:dyDescent="0.3">
      <c r="B200" s="51"/>
      <c r="C200" s="51"/>
      <c r="D200" s="51"/>
      <c r="E200" s="51"/>
      <c r="F200" s="51"/>
      <c r="G200" s="51"/>
      <c r="H200" s="51"/>
      <c r="I200" s="56"/>
      <c r="J200" s="51"/>
      <c r="K200" s="51"/>
      <c r="L200" s="51"/>
      <c r="M200" s="60"/>
      <c r="N200" s="60"/>
    </row>
    <row r="201" spans="2:14" x14ac:dyDescent="0.3">
      <c r="B201" s="51"/>
      <c r="C201" s="51"/>
      <c r="D201" s="51"/>
      <c r="E201" s="51"/>
      <c r="F201" s="51"/>
      <c r="G201" s="51"/>
      <c r="H201" s="51"/>
      <c r="I201" s="56"/>
      <c r="J201" s="51"/>
      <c r="K201" s="51"/>
      <c r="L201" s="51"/>
      <c r="M201" s="60"/>
      <c r="N201" s="60"/>
    </row>
    <row r="202" spans="2:14" x14ac:dyDescent="0.3">
      <c r="B202" s="51"/>
      <c r="C202" s="51"/>
      <c r="D202" s="51"/>
      <c r="E202" s="51"/>
      <c r="F202" s="51"/>
      <c r="G202" s="51"/>
      <c r="H202" s="51"/>
      <c r="I202" s="56"/>
      <c r="J202" s="51"/>
      <c r="K202" s="51"/>
      <c r="L202" s="51"/>
      <c r="M202" s="60"/>
      <c r="N202" s="60"/>
    </row>
    <row r="203" spans="2:14" x14ac:dyDescent="0.3">
      <c r="B203" s="51"/>
      <c r="C203" s="51"/>
      <c r="D203" s="51"/>
      <c r="E203" s="51"/>
      <c r="F203" s="51"/>
      <c r="G203" s="51"/>
      <c r="H203" s="51"/>
      <c r="I203" s="56"/>
      <c r="J203" s="51"/>
      <c r="K203" s="51"/>
      <c r="L203" s="51"/>
      <c r="M203" s="60"/>
      <c r="N203" s="60"/>
    </row>
    <row r="204" spans="2:14" x14ac:dyDescent="0.3">
      <c r="B204" s="51"/>
      <c r="C204" s="51"/>
      <c r="D204" s="51"/>
      <c r="E204" s="51"/>
      <c r="F204" s="51"/>
      <c r="G204" s="51"/>
      <c r="H204" s="51"/>
      <c r="I204" s="56"/>
      <c r="J204" s="51"/>
      <c r="K204" s="51"/>
      <c r="L204" s="51"/>
      <c r="M204" s="60"/>
      <c r="N204" s="60"/>
    </row>
    <row r="205" spans="2:14" x14ac:dyDescent="0.3">
      <c r="B205" s="51"/>
      <c r="C205" s="51"/>
      <c r="D205" s="51"/>
      <c r="E205" s="51"/>
      <c r="F205" s="51"/>
      <c r="G205" s="51"/>
      <c r="H205" s="51"/>
      <c r="I205" s="56"/>
      <c r="J205" s="51"/>
      <c r="K205" s="51"/>
      <c r="L205" s="51"/>
      <c r="M205" s="60"/>
      <c r="N205" s="60"/>
    </row>
    <row r="206" spans="2:14" x14ac:dyDescent="0.3">
      <c r="B206" s="51"/>
      <c r="C206" s="51"/>
      <c r="D206" s="51"/>
      <c r="E206" s="51"/>
      <c r="F206" s="51"/>
      <c r="G206" s="51"/>
      <c r="H206" s="51"/>
      <c r="I206" s="56"/>
      <c r="J206" s="51"/>
      <c r="K206" s="51"/>
      <c r="L206" s="51"/>
      <c r="M206" s="60"/>
      <c r="N206" s="60"/>
    </row>
    <row r="207" spans="2:14" x14ac:dyDescent="0.3">
      <c r="B207" s="51"/>
      <c r="C207" s="51"/>
      <c r="D207" s="51"/>
      <c r="E207" s="51"/>
      <c r="F207" s="51"/>
      <c r="G207" s="51"/>
      <c r="H207" s="51"/>
      <c r="I207" s="56"/>
      <c r="J207" s="51"/>
      <c r="K207" s="51"/>
      <c r="L207" s="51"/>
      <c r="M207" s="60"/>
      <c r="N207" s="60"/>
    </row>
    <row r="208" spans="2:14" x14ac:dyDescent="0.3">
      <c r="B208" s="51"/>
      <c r="C208" s="51"/>
      <c r="D208" s="51"/>
      <c r="E208" s="51"/>
      <c r="F208" s="51"/>
      <c r="G208" s="51"/>
      <c r="H208" s="51"/>
      <c r="I208" s="56"/>
      <c r="J208" s="51"/>
      <c r="K208" s="51"/>
      <c r="L208" s="51"/>
      <c r="M208" s="60"/>
      <c r="N208" s="60"/>
    </row>
    <row r="209" spans="2:14" x14ac:dyDescent="0.3">
      <c r="B209" s="51"/>
      <c r="C209" s="51"/>
      <c r="D209" s="51"/>
      <c r="E209" s="51"/>
      <c r="F209" s="51"/>
      <c r="G209" s="51"/>
      <c r="H209" s="51"/>
      <c r="I209" s="56"/>
      <c r="J209" s="51"/>
      <c r="K209" s="51"/>
      <c r="L209" s="51"/>
      <c r="M209" s="60"/>
      <c r="N209" s="60"/>
    </row>
    <row r="210" spans="2:14" x14ac:dyDescent="0.3">
      <c r="B210" s="51"/>
      <c r="C210" s="51"/>
      <c r="D210" s="51"/>
      <c r="E210" s="51"/>
      <c r="F210" s="51"/>
      <c r="G210" s="51"/>
      <c r="H210" s="51"/>
      <c r="I210" s="56"/>
      <c r="J210" s="51"/>
      <c r="K210" s="51"/>
      <c r="L210" s="51"/>
      <c r="M210" s="60"/>
      <c r="N210" s="60"/>
    </row>
    <row r="211" spans="2:14" x14ac:dyDescent="0.3">
      <c r="B211" s="51"/>
      <c r="C211" s="51"/>
      <c r="D211" s="51"/>
      <c r="E211" s="51"/>
      <c r="F211" s="51"/>
      <c r="G211" s="51"/>
      <c r="H211" s="51"/>
      <c r="I211" s="56"/>
      <c r="J211" s="51"/>
      <c r="K211" s="51"/>
      <c r="L211" s="51"/>
      <c r="M211" s="60"/>
      <c r="N211" s="60"/>
    </row>
    <row r="212" spans="2:14" x14ac:dyDescent="0.3">
      <c r="B212" s="51"/>
      <c r="C212" s="51"/>
      <c r="D212" s="51"/>
      <c r="E212" s="51"/>
      <c r="F212" s="51"/>
      <c r="G212" s="51"/>
      <c r="H212" s="51"/>
      <c r="I212" s="56"/>
      <c r="J212" s="51"/>
      <c r="K212" s="51"/>
      <c r="L212" s="51"/>
      <c r="M212" s="60"/>
      <c r="N212" s="60"/>
    </row>
    <row r="213" spans="2:14" x14ac:dyDescent="0.3">
      <c r="B213" s="51"/>
      <c r="C213" s="51"/>
      <c r="D213" s="51"/>
      <c r="E213" s="51"/>
      <c r="F213" s="51"/>
      <c r="G213" s="51"/>
      <c r="H213" s="51"/>
      <c r="I213" s="56"/>
      <c r="J213" s="51"/>
      <c r="K213" s="51"/>
      <c r="L213" s="51"/>
      <c r="M213" s="60"/>
      <c r="N213" s="60"/>
    </row>
    <row r="214" spans="2:14" x14ac:dyDescent="0.3">
      <c r="B214" s="51"/>
      <c r="C214" s="51"/>
      <c r="D214" s="51"/>
      <c r="E214" s="51"/>
      <c r="F214" s="51"/>
      <c r="G214" s="51"/>
      <c r="H214" s="51"/>
      <c r="I214" s="56"/>
      <c r="J214" s="51"/>
      <c r="K214" s="51"/>
      <c r="L214" s="51"/>
      <c r="M214" s="60"/>
      <c r="N214" s="60"/>
    </row>
    <row r="215" spans="2:14" x14ac:dyDescent="0.3">
      <c r="B215" s="51"/>
      <c r="C215" s="51"/>
      <c r="D215" s="51"/>
      <c r="E215" s="51"/>
      <c r="F215" s="51"/>
      <c r="G215" s="51"/>
      <c r="H215" s="51"/>
      <c r="I215" s="56"/>
      <c r="J215" s="51"/>
      <c r="K215" s="51"/>
      <c r="L215" s="51"/>
      <c r="M215" s="60"/>
      <c r="N215" s="60"/>
    </row>
    <row r="216" spans="2:14" x14ac:dyDescent="0.3">
      <c r="B216" s="51"/>
      <c r="C216" s="51"/>
      <c r="D216" s="51"/>
      <c r="E216" s="51"/>
      <c r="F216" s="51"/>
      <c r="G216" s="51"/>
      <c r="H216" s="51"/>
      <c r="I216" s="56"/>
      <c r="J216" s="51"/>
      <c r="K216" s="51"/>
      <c r="L216" s="51"/>
      <c r="M216" s="60"/>
      <c r="N216" s="60"/>
    </row>
    <row r="217" spans="2:14" x14ac:dyDescent="0.3">
      <c r="B217" s="51"/>
      <c r="C217" s="51"/>
      <c r="D217" s="51"/>
      <c r="E217" s="51"/>
      <c r="F217" s="51"/>
      <c r="G217" s="51"/>
      <c r="H217" s="51"/>
      <c r="I217" s="56"/>
      <c r="J217" s="51"/>
      <c r="K217" s="51"/>
      <c r="L217" s="51"/>
      <c r="M217" s="60"/>
      <c r="N217" s="60"/>
    </row>
    <row r="218" spans="2:14" x14ac:dyDescent="0.3">
      <c r="B218" s="51"/>
      <c r="C218" s="51"/>
      <c r="D218" s="51"/>
      <c r="E218" s="51"/>
      <c r="F218" s="51"/>
      <c r="G218" s="51"/>
      <c r="H218" s="51"/>
      <c r="I218" s="56"/>
      <c r="J218" s="51"/>
      <c r="K218" s="51"/>
      <c r="L218" s="51"/>
      <c r="M218" s="60"/>
      <c r="N218" s="60"/>
    </row>
    <row r="219" spans="2:14" x14ac:dyDescent="0.3">
      <c r="B219" s="51"/>
      <c r="C219" s="51"/>
      <c r="D219" s="51"/>
      <c r="E219" s="51"/>
      <c r="F219" s="51"/>
      <c r="G219" s="51"/>
      <c r="H219" s="51"/>
      <c r="I219" s="56"/>
      <c r="J219" s="51"/>
      <c r="K219" s="51"/>
      <c r="L219" s="51"/>
      <c r="M219" s="60"/>
      <c r="N219" s="60"/>
    </row>
    <row r="220" spans="2:14" x14ac:dyDescent="0.3">
      <c r="B220" s="51"/>
      <c r="C220" s="51"/>
      <c r="D220" s="51"/>
      <c r="E220" s="51"/>
      <c r="F220" s="51"/>
      <c r="G220" s="51"/>
      <c r="H220" s="51"/>
      <c r="I220" s="56"/>
      <c r="J220" s="51"/>
      <c r="K220" s="51"/>
      <c r="L220" s="51"/>
      <c r="M220" s="60"/>
      <c r="N220" s="60"/>
    </row>
    <row r="221" spans="2:14" x14ac:dyDescent="0.3">
      <c r="B221" s="51"/>
      <c r="C221" s="51"/>
      <c r="D221" s="51"/>
      <c r="E221" s="51"/>
      <c r="F221" s="51"/>
      <c r="G221" s="51"/>
      <c r="H221" s="51"/>
      <c r="I221" s="56"/>
      <c r="J221" s="51"/>
      <c r="K221" s="51"/>
      <c r="L221" s="51"/>
      <c r="M221" s="60"/>
      <c r="N221" s="60"/>
    </row>
    <row r="222" spans="2:14" x14ac:dyDescent="0.3">
      <c r="B222" s="51"/>
      <c r="C222" s="51"/>
      <c r="D222" s="51"/>
      <c r="E222" s="51"/>
      <c r="F222" s="51"/>
      <c r="G222" s="51"/>
      <c r="H222" s="51"/>
      <c r="I222" s="56"/>
      <c r="J222" s="51"/>
      <c r="K222" s="51"/>
      <c r="L222" s="51"/>
      <c r="M222" s="60"/>
      <c r="N222" s="60"/>
    </row>
    <row r="223" spans="2:14" x14ac:dyDescent="0.3">
      <c r="B223" s="51"/>
      <c r="C223" s="51"/>
      <c r="D223" s="51"/>
      <c r="E223" s="51"/>
      <c r="F223" s="51"/>
      <c r="G223" s="51"/>
      <c r="H223" s="51"/>
      <c r="I223" s="56"/>
      <c r="J223" s="51"/>
      <c r="K223" s="51"/>
      <c r="L223" s="51"/>
      <c r="M223" s="60"/>
      <c r="N223" s="60"/>
    </row>
    <row r="224" spans="2:14" x14ac:dyDescent="0.3">
      <c r="B224" s="51"/>
      <c r="C224" s="51"/>
      <c r="D224" s="51"/>
      <c r="E224" s="51"/>
      <c r="F224" s="51"/>
      <c r="G224" s="51"/>
      <c r="H224" s="51"/>
      <c r="I224" s="56"/>
      <c r="J224" s="51"/>
      <c r="K224" s="51"/>
      <c r="L224" s="51"/>
      <c r="M224" s="60"/>
      <c r="N224" s="60"/>
    </row>
    <row r="225" spans="2:14" x14ac:dyDescent="0.3">
      <c r="B225" s="51"/>
      <c r="C225" s="51"/>
      <c r="D225" s="51"/>
      <c r="E225" s="51"/>
      <c r="F225" s="51"/>
      <c r="G225" s="51"/>
      <c r="H225" s="51"/>
      <c r="I225" s="56"/>
      <c r="J225" s="51"/>
      <c r="K225" s="51"/>
      <c r="L225" s="51"/>
      <c r="M225" s="60"/>
      <c r="N225" s="60"/>
    </row>
    <row r="226" spans="2:14" x14ac:dyDescent="0.3">
      <c r="B226" s="51"/>
      <c r="C226" s="51"/>
      <c r="D226" s="51"/>
      <c r="E226" s="51"/>
      <c r="F226" s="51"/>
      <c r="G226" s="51"/>
      <c r="H226" s="51"/>
      <c r="I226" s="56"/>
      <c r="J226" s="51"/>
      <c r="K226" s="51"/>
      <c r="L226" s="51"/>
      <c r="M226" s="60"/>
      <c r="N226" s="60"/>
    </row>
    <row r="227" spans="2:14" x14ac:dyDescent="0.3">
      <c r="B227" s="51"/>
      <c r="C227" s="51"/>
      <c r="D227" s="51"/>
      <c r="E227" s="51"/>
      <c r="F227" s="51"/>
      <c r="G227" s="51"/>
      <c r="H227" s="51"/>
      <c r="I227" s="56"/>
      <c r="J227" s="51"/>
      <c r="K227" s="51"/>
      <c r="L227" s="51"/>
      <c r="M227" s="60"/>
      <c r="N227" s="60"/>
    </row>
    <row r="228" spans="2:14" x14ac:dyDescent="0.3">
      <c r="B228" s="51"/>
      <c r="C228" s="51"/>
      <c r="D228" s="51"/>
      <c r="E228" s="51"/>
      <c r="F228" s="51"/>
      <c r="G228" s="51"/>
      <c r="H228" s="51"/>
      <c r="I228" s="56"/>
      <c r="J228" s="51"/>
      <c r="K228" s="51"/>
      <c r="L228" s="51"/>
      <c r="M228" s="60"/>
      <c r="N228" s="60"/>
    </row>
    <row r="229" spans="2:14" x14ac:dyDescent="0.3">
      <c r="B229" s="51"/>
      <c r="C229" s="51"/>
      <c r="D229" s="51"/>
      <c r="E229" s="51"/>
      <c r="F229" s="51"/>
      <c r="G229" s="51"/>
      <c r="H229" s="51"/>
      <c r="I229" s="56"/>
      <c r="J229" s="51"/>
      <c r="K229" s="51"/>
      <c r="L229" s="51"/>
      <c r="M229" s="60"/>
      <c r="N229" s="60"/>
    </row>
    <row r="230" spans="2:14" x14ac:dyDescent="0.3">
      <c r="B230" s="51"/>
      <c r="C230" s="51"/>
      <c r="D230" s="51"/>
      <c r="E230" s="51"/>
      <c r="F230" s="51"/>
      <c r="G230" s="51"/>
      <c r="H230" s="51"/>
      <c r="I230" s="56"/>
      <c r="J230" s="51"/>
      <c r="K230" s="51"/>
      <c r="L230" s="51"/>
      <c r="M230" s="60"/>
      <c r="N230" s="60"/>
    </row>
    <row r="231" spans="2:14" x14ac:dyDescent="0.3">
      <c r="B231" s="51"/>
      <c r="C231" s="51"/>
      <c r="D231" s="51"/>
      <c r="E231" s="51"/>
      <c r="F231" s="51"/>
      <c r="G231" s="51"/>
      <c r="H231" s="51"/>
      <c r="I231" s="56"/>
      <c r="J231" s="51"/>
      <c r="K231" s="51"/>
      <c r="L231" s="51"/>
      <c r="M231" s="60"/>
      <c r="N231" s="60"/>
    </row>
    <row r="232" spans="2:14" x14ac:dyDescent="0.3">
      <c r="B232" s="51"/>
      <c r="C232" s="51"/>
      <c r="D232" s="51"/>
      <c r="E232" s="51"/>
      <c r="F232" s="51"/>
      <c r="G232" s="51"/>
      <c r="H232" s="51"/>
      <c r="I232" s="56"/>
      <c r="J232" s="51"/>
      <c r="K232" s="51"/>
      <c r="L232" s="51"/>
      <c r="M232" s="60"/>
      <c r="N232" s="60"/>
    </row>
    <row r="233" spans="2:14" x14ac:dyDescent="0.3">
      <c r="B233" s="51"/>
      <c r="C233" s="51"/>
      <c r="D233" s="51"/>
      <c r="E233" s="51"/>
      <c r="F233" s="51"/>
      <c r="G233" s="51"/>
      <c r="H233" s="51"/>
      <c r="I233" s="56"/>
      <c r="J233" s="51"/>
      <c r="K233" s="51"/>
      <c r="L233" s="51"/>
      <c r="M233" s="60"/>
      <c r="N233" s="60"/>
    </row>
    <row r="234" spans="2:14" x14ac:dyDescent="0.3">
      <c r="B234" s="51"/>
      <c r="C234" s="51"/>
      <c r="D234" s="51"/>
      <c r="E234" s="51"/>
      <c r="F234" s="51"/>
      <c r="G234" s="51"/>
      <c r="H234" s="51"/>
      <c r="I234" s="56"/>
      <c r="J234" s="51"/>
      <c r="K234" s="51"/>
      <c r="L234" s="51"/>
      <c r="M234" s="60"/>
      <c r="N234" s="60"/>
    </row>
    <row r="235" spans="2:14" x14ac:dyDescent="0.3">
      <c r="B235" s="51"/>
      <c r="C235" s="51"/>
      <c r="D235" s="51"/>
      <c r="E235" s="51"/>
      <c r="F235" s="51"/>
      <c r="G235" s="51"/>
      <c r="H235" s="51"/>
      <c r="I235" s="56"/>
      <c r="J235" s="51"/>
      <c r="K235" s="51"/>
      <c r="L235" s="51"/>
      <c r="M235" s="60"/>
      <c r="N235" s="60"/>
    </row>
    <row r="236" spans="2:14" x14ac:dyDescent="0.3">
      <c r="B236" s="51"/>
      <c r="C236" s="51"/>
      <c r="D236" s="51"/>
      <c r="E236" s="51"/>
      <c r="F236" s="51"/>
      <c r="G236" s="51"/>
      <c r="H236" s="51"/>
      <c r="I236" s="56"/>
      <c r="J236" s="51"/>
      <c r="K236" s="51"/>
      <c r="L236" s="51"/>
      <c r="M236" s="60"/>
      <c r="N236" s="60"/>
    </row>
    <row r="237" spans="2:14" x14ac:dyDescent="0.3">
      <c r="B237" s="51"/>
      <c r="C237" s="51"/>
      <c r="D237" s="51"/>
      <c r="E237" s="51"/>
      <c r="F237" s="51"/>
      <c r="G237" s="51"/>
      <c r="H237" s="51"/>
      <c r="I237" s="56"/>
      <c r="J237" s="51"/>
      <c r="K237" s="51"/>
      <c r="L237" s="51"/>
      <c r="M237" s="60"/>
      <c r="N237" s="60"/>
    </row>
    <row r="238" spans="2:14" x14ac:dyDescent="0.3">
      <c r="B238" s="51"/>
      <c r="C238" s="51"/>
      <c r="D238" s="51"/>
      <c r="E238" s="51"/>
      <c r="F238" s="51"/>
      <c r="G238" s="51"/>
      <c r="H238" s="51"/>
      <c r="I238" s="56"/>
      <c r="J238" s="51"/>
      <c r="K238" s="51"/>
      <c r="L238" s="51"/>
      <c r="M238" s="60"/>
      <c r="N238" s="60"/>
    </row>
    <row r="239" spans="2:14" x14ac:dyDescent="0.3">
      <c r="B239" s="51"/>
      <c r="C239" s="51"/>
      <c r="D239" s="51"/>
      <c r="E239" s="51"/>
      <c r="F239" s="51"/>
      <c r="G239" s="51"/>
      <c r="H239" s="51"/>
      <c r="I239" s="56"/>
      <c r="J239" s="51"/>
      <c r="K239" s="51"/>
      <c r="L239" s="51"/>
      <c r="M239" s="60"/>
      <c r="N239" s="60"/>
    </row>
    <row r="240" spans="2:14" x14ac:dyDescent="0.3">
      <c r="B240" s="51"/>
      <c r="C240" s="51"/>
      <c r="D240" s="51"/>
      <c r="E240" s="51"/>
      <c r="F240" s="51"/>
      <c r="G240" s="51"/>
      <c r="H240" s="51"/>
      <c r="I240" s="56"/>
      <c r="J240" s="51"/>
      <c r="K240" s="51"/>
      <c r="L240" s="51"/>
      <c r="M240" s="60"/>
      <c r="N240" s="60"/>
    </row>
    <row r="241" spans="2:14" x14ac:dyDescent="0.3">
      <c r="B241" s="51"/>
      <c r="C241" s="51"/>
      <c r="D241" s="51"/>
      <c r="E241" s="51"/>
      <c r="F241" s="51"/>
      <c r="G241" s="51"/>
      <c r="H241" s="51"/>
      <c r="I241" s="56"/>
      <c r="J241" s="51"/>
      <c r="K241" s="51"/>
      <c r="L241" s="51"/>
      <c r="M241" s="60"/>
      <c r="N241" s="60"/>
    </row>
    <row r="242" spans="2:14" x14ac:dyDescent="0.3">
      <c r="B242" s="51"/>
      <c r="C242" s="51"/>
      <c r="D242" s="51"/>
      <c r="E242" s="51"/>
      <c r="F242" s="51"/>
      <c r="G242" s="51"/>
      <c r="H242" s="51"/>
      <c r="I242" s="56"/>
      <c r="J242" s="51"/>
      <c r="K242" s="51"/>
      <c r="L242" s="51"/>
      <c r="M242" s="60"/>
      <c r="N242" s="60"/>
    </row>
  </sheetData>
  <mergeCells count="2">
    <mergeCell ref="B6:G6"/>
    <mergeCell ref="B21:F21"/>
  </mergeCells>
  <conditionalFormatting sqref="B18:C18 E12:F15 G14:G15">
    <cfRule type="expression" dxfId="13" priority="7">
      <formula>$F$9="Constant"</formula>
    </cfRule>
  </conditionalFormatting>
  <conditionalFormatting sqref="E12:F15 G14:G15">
    <cfRule type="expression" dxfId="12" priority="5">
      <formula>$F$9="Progressif"</formula>
    </cfRule>
  </conditionalFormatting>
  <conditionalFormatting sqref="E12:F17 G14:G15">
    <cfRule type="expression" dxfId="11" priority="3">
      <formula>$F$9="Progressif"</formula>
    </cfRule>
  </conditionalFormatting>
  <conditionalFormatting sqref="B14:C18 D17">
    <cfRule type="expression" dxfId="10" priority="2">
      <formula>OR($F$9="Aplatissement",$F$9="Pentification")</formula>
    </cfRule>
  </conditionalFormatting>
  <conditionalFormatting sqref="B14:C14 B17:C18 D17">
    <cfRule type="expression" dxfId="9" priority="1">
      <formula>$F$9="Personnalisé"</formula>
    </cfRule>
  </conditionalFormatting>
  <dataValidations count="2">
    <dataValidation type="decimal" allowBlank="1" showInputMessage="1" showErrorMessage="1" sqref="C15" xr:uid="{00000000-0002-0000-0100-000000000000}">
      <formula1>1</formula1>
      <formula2>240</formula2>
    </dataValidation>
    <dataValidation type="whole" allowBlank="1" showInputMessage="1" showErrorMessage="1" sqref="C16" xr:uid="{00000000-0002-0000-0100-000001000000}">
      <formula1>C15</formula1>
      <formula2>240</formula2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8000000}">
          <x14:formula1>
            <xm:f>Configuration!$G$6:$G$10</xm:f>
          </x14:formula1>
          <xm:sqref>F9</xm:sqref>
        </x14:dataValidation>
        <x14:dataValidation type="list" allowBlank="1" showInputMessage="1" showErrorMessage="1" xr:uid="{00000000-0002-0000-0100-000007000000}">
          <x14:formula1>
            <xm:f>Configuration!$N$8:$N$33</xm:f>
          </x14:formula1>
          <xm:sqref>F12:F13</xm:sqref>
        </x14:dataValidation>
        <x14:dataValidation type="list" allowBlank="1" showInputMessage="1" showErrorMessage="1" xr:uid="{00000000-0002-0000-0100-000002000000}">
          <x14:formula1>
            <xm:f>Configuration!$L$6:$L$74</xm:f>
          </x14:formula1>
          <xm:sqref>C12</xm:sqref>
        </x14:dataValidation>
        <x14:dataValidation type="list" allowBlank="1" showInputMessage="1" showErrorMessage="1" xr:uid="{00000000-0002-0000-0100-000006000000}">
          <x14:formula1>
            <xm:f>Configuration!$N$6:$N$33</xm:f>
          </x14:formula1>
          <xm:sqref>C14</xm:sqref>
        </x14:dataValidation>
        <x14:dataValidation type="list" allowBlank="1" showInputMessage="1" showErrorMessage="1" xr:uid="{00000000-0002-0000-0100-000005000000}">
          <x14:formula1>
            <xm:f>Configuration!$I$6:$I$73</xm:f>
          </x14:formula1>
          <xm:sqref>C13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rgb="FFAC75D5"/>
  </sheetPr>
  <dimension ref="B1:X155"/>
  <sheetViews>
    <sheetView showGridLines="0" topLeftCell="A4" zoomScale="85" zoomScaleNormal="85" workbookViewId="0">
      <selection activeCell="C14" sqref="C14"/>
    </sheetView>
  </sheetViews>
  <sheetFormatPr baseColWidth="10" defaultColWidth="11.44140625" defaultRowHeight="15.6" x14ac:dyDescent="0.3"/>
  <cols>
    <col min="2" max="2" width="20.44140625" style="55" customWidth="1"/>
    <col min="3" max="3" width="16.44140625" style="55" customWidth="1"/>
    <col min="4" max="4" width="15.109375" style="55" customWidth="1"/>
    <col min="5" max="6" width="15.44140625" style="55" customWidth="1"/>
    <col min="7" max="7" width="14.44140625" style="55" customWidth="1"/>
    <col min="8" max="8" width="12.109375" style="55" customWidth="1"/>
    <col min="9" max="9" width="11.5546875" style="55" customWidth="1"/>
    <col min="10" max="10" width="16.5546875" style="55" customWidth="1"/>
    <col min="11" max="11" width="21.5546875" style="55" customWidth="1"/>
    <col min="12" max="12" width="12.44140625" style="55" customWidth="1"/>
    <col min="13" max="13" width="20.5546875" style="55" customWidth="1"/>
    <col min="14" max="14" width="12.44140625" style="55" customWidth="1"/>
    <col min="15" max="15" width="15.44140625" style="55" customWidth="1"/>
    <col min="16" max="16" width="17.44140625" style="55" customWidth="1"/>
    <col min="17" max="17" width="14.44140625" style="57" customWidth="1"/>
    <col min="22" max="22" width="11.5546875"/>
    <col min="23" max="23" width="11.44140625" style="5"/>
  </cols>
  <sheetData>
    <row r="1" spans="2:23" x14ac:dyDescent="0.3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V1" s="5"/>
      <c r="W1" s="4"/>
    </row>
    <row r="2" spans="2:23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V2" s="5"/>
      <c r="W2" s="4"/>
    </row>
    <row r="3" spans="2:23" x14ac:dyDescent="0.3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V3" s="5"/>
      <c r="W3" s="4"/>
    </row>
    <row r="4" spans="2:23" x14ac:dyDescent="0.3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V4" s="5"/>
      <c r="W4" s="4"/>
    </row>
    <row r="5" spans="2:23" x14ac:dyDescent="0.3"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V5" s="5"/>
      <c r="W5" s="4"/>
    </row>
    <row r="6" spans="2:23" s="12" customFormat="1" ht="16.5" customHeight="1" x14ac:dyDescent="0.3">
      <c r="B6" s="310" t="s">
        <v>286</v>
      </c>
      <c r="C6" s="310"/>
      <c r="D6" s="310"/>
      <c r="E6" s="310"/>
      <c r="F6" s="310"/>
      <c r="G6" s="310"/>
      <c r="R6" s="13"/>
    </row>
    <row r="7" spans="2:23" ht="9.9" customHeight="1" thickBot="1" x14ac:dyDescent="0.35"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V7" s="5"/>
      <c r="W7" s="4"/>
    </row>
    <row r="8" spans="2:23" ht="7.5" customHeight="1" x14ac:dyDescent="0.3">
      <c r="B8" s="31"/>
      <c r="C8" s="21"/>
      <c r="D8" s="21"/>
      <c r="E8" s="21"/>
      <c r="F8" s="21"/>
      <c r="G8" s="22"/>
      <c r="H8"/>
      <c r="I8"/>
      <c r="J8"/>
      <c r="K8"/>
      <c r="L8"/>
      <c r="M8"/>
      <c r="N8"/>
      <c r="O8"/>
      <c r="P8"/>
      <c r="Q8"/>
      <c r="V8" s="5"/>
      <c r="W8" s="4"/>
    </row>
    <row r="9" spans="2:23" x14ac:dyDescent="0.3">
      <c r="B9" s="46" t="s">
        <v>262</v>
      </c>
      <c r="C9" s="93" t="s">
        <v>1547</v>
      </c>
      <c r="D9" s="92"/>
      <c r="E9" s="47" t="s">
        <v>268</v>
      </c>
      <c r="F9" s="48">
        <v>1</v>
      </c>
      <c r="G9" s="40"/>
      <c r="H9"/>
      <c r="I9" s="47" t="s">
        <v>599</v>
      </c>
      <c r="J9" s="47"/>
      <c r="K9" s="47"/>
      <c r="L9" s="48" t="s">
        <v>415</v>
      </c>
      <c r="M9" s="48"/>
      <c r="N9"/>
      <c r="O9"/>
      <c r="P9"/>
      <c r="Q9"/>
      <c r="V9" s="5" t="str">
        <f>C9</f>
        <v>AJPN1</v>
      </c>
      <c r="W9" s="4"/>
    </row>
    <row r="10" spans="2:23" x14ac:dyDescent="0.3">
      <c r="B10" s="46" t="s">
        <v>280</v>
      </c>
      <c r="C10" s="48" t="s">
        <v>202</v>
      </c>
      <c r="D10" s="92"/>
      <c r="E10" s="47" t="s">
        <v>269</v>
      </c>
      <c r="F10" s="48">
        <v>60</v>
      </c>
      <c r="G10" s="40"/>
      <c r="H10"/>
      <c r="I10"/>
      <c r="J10"/>
      <c r="K10"/>
      <c r="L10"/>
      <c r="M10"/>
      <c r="N10"/>
      <c r="O10"/>
      <c r="P10"/>
      <c r="Q10"/>
      <c r="V10" s="5" t="str">
        <f t="shared" ref="V10:V11" si="0">C10</f>
        <v>PN ECH</v>
      </c>
      <c r="W10" s="4"/>
    </row>
    <row r="11" spans="2:23" x14ac:dyDescent="0.3">
      <c r="B11" s="46" t="s">
        <v>281</v>
      </c>
      <c r="C11" s="48" t="s">
        <v>223</v>
      </c>
      <c r="D11" s="92"/>
      <c r="E11" s="47" t="s">
        <v>284</v>
      </c>
      <c r="F11" s="48" t="s">
        <v>260</v>
      </c>
      <c r="G11" s="40"/>
      <c r="H11"/>
      <c r="I11"/>
      <c r="J11"/>
      <c r="K11"/>
      <c r="L11"/>
      <c r="M11"/>
      <c r="N11"/>
      <c r="O11"/>
      <c r="P11"/>
      <c r="Q11"/>
      <c r="V11" s="5" t="str">
        <f t="shared" si="0"/>
        <v>Encours</v>
      </c>
      <c r="W11" s="4"/>
    </row>
    <row r="12" spans="2:23" x14ac:dyDescent="0.3">
      <c r="B12" s="46" t="s">
        <v>1397</v>
      </c>
      <c r="C12" s="48" t="s">
        <v>259</v>
      </c>
      <c r="D12" s="92"/>
      <c r="E12" s="47" t="s">
        <v>285</v>
      </c>
      <c r="F12" s="53">
        <v>100</v>
      </c>
      <c r="G12" s="54" t="str">
        <f>IF(_TYPE_STRESS="Cumulatif","%","bps")</f>
        <v>%</v>
      </c>
      <c r="H12"/>
      <c r="I12"/>
      <c r="J12"/>
      <c r="K12"/>
      <c r="L12"/>
      <c r="M12"/>
      <c r="N12"/>
      <c r="O12"/>
      <c r="P12"/>
      <c r="Q12"/>
      <c r="V12" s="5" t="str">
        <f>C13</f>
        <v>ALL</v>
      </c>
      <c r="W12" s="4"/>
    </row>
    <row r="13" spans="2:23" x14ac:dyDescent="0.3">
      <c r="B13" s="46" t="s">
        <v>265</v>
      </c>
      <c r="C13" s="48" t="s">
        <v>259</v>
      </c>
      <c r="D13" s="92"/>
      <c r="E13" s="92"/>
      <c r="F13" s="92"/>
      <c r="G13" s="40"/>
      <c r="H13"/>
      <c r="I13"/>
      <c r="J13"/>
      <c r="K13"/>
      <c r="L13"/>
      <c r="M13"/>
      <c r="N13"/>
      <c r="O13"/>
      <c r="P13"/>
      <c r="Q13"/>
      <c r="V13" s="5" t="str">
        <f>C14</f>
        <v>ALL</v>
      </c>
      <c r="W13" s="4"/>
    </row>
    <row r="14" spans="2:23" x14ac:dyDescent="0.3">
      <c r="B14" s="46" t="s">
        <v>4591</v>
      </c>
      <c r="C14" s="48" t="s">
        <v>259</v>
      </c>
      <c r="D14" s="92"/>
      <c r="E14" s="92"/>
      <c r="F14" s="92"/>
      <c r="G14" s="40"/>
      <c r="H14"/>
      <c r="I14"/>
      <c r="J14"/>
      <c r="K14"/>
      <c r="L14"/>
      <c r="M14"/>
      <c r="N14"/>
      <c r="O14"/>
      <c r="P14"/>
      <c r="Q14"/>
      <c r="V14" s="5" t="str">
        <f>C15</f>
        <v>ALL</v>
      </c>
      <c r="W14" s="4"/>
    </row>
    <row r="15" spans="2:23" x14ac:dyDescent="0.3">
      <c r="B15" s="46" t="s">
        <v>283</v>
      </c>
      <c r="C15" s="48" t="s">
        <v>259</v>
      </c>
      <c r="D15" s="92"/>
      <c r="E15" s="92"/>
      <c r="F15" s="92"/>
      <c r="G15" s="40"/>
      <c r="H15"/>
      <c r="I15"/>
      <c r="J15"/>
      <c r="K15"/>
      <c r="L15"/>
      <c r="M15"/>
      <c r="N15"/>
      <c r="O15"/>
      <c r="P15"/>
      <c r="Q15"/>
      <c r="V15" s="5"/>
      <c r="W15" s="4"/>
    </row>
    <row r="16" spans="2:23" x14ac:dyDescent="0.3">
      <c r="B16" s="46" t="s">
        <v>309</v>
      </c>
      <c r="C16" s="48" t="s">
        <v>259</v>
      </c>
      <c r="D16" s="92"/>
      <c r="E16" s="92"/>
      <c r="F16" s="92"/>
      <c r="G16" s="40"/>
      <c r="H16"/>
      <c r="I16"/>
      <c r="J16"/>
      <c r="K16"/>
      <c r="L16"/>
      <c r="M16"/>
      <c r="N16"/>
      <c r="O16"/>
      <c r="P16"/>
      <c r="Q16"/>
      <c r="V16" s="5"/>
      <c r="W16" s="4"/>
    </row>
    <row r="17" spans="2:24" x14ac:dyDescent="0.3">
      <c r="B17" s="46" t="s">
        <v>379</v>
      </c>
      <c r="C17" s="48" t="s">
        <v>259</v>
      </c>
      <c r="D17" s="92"/>
      <c r="E17" s="92"/>
      <c r="F17" s="92"/>
      <c r="G17" s="40"/>
      <c r="H17"/>
      <c r="I17"/>
      <c r="J17"/>
      <c r="K17"/>
      <c r="L17"/>
      <c r="M17"/>
      <c r="N17"/>
      <c r="O17"/>
      <c r="P17"/>
      <c r="Q17"/>
      <c r="V17" s="5"/>
      <c r="W17" s="4"/>
    </row>
    <row r="18" spans="2:24" x14ac:dyDescent="0.3">
      <c r="B18" s="46" t="s">
        <v>1066</v>
      </c>
      <c r="C18" s="48" t="s">
        <v>259</v>
      </c>
      <c r="D18" s="92"/>
      <c r="E18" s="92"/>
      <c r="F18" s="92"/>
      <c r="G18" s="40"/>
      <c r="H18"/>
      <c r="I18"/>
      <c r="J18"/>
      <c r="K18"/>
      <c r="L18"/>
      <c r="M18"/>
      <c r="N18"/>
      <c r="O18"/>
      <c r="P18"/>
      <c r="Q18"/>
      <c r="V18" s="5"/>
      <c r="W18" s="4"/>
    </row>
    <row r="19" spans="2:24" x14ac:dyDescent="0.3">
      <c r="B19" s="46" t="s">
        <v>637</v>
      </c>
      <c r="C19" s="48" t="s">
        <v>259</v>
      </c>
      <c r="D19" s="92"/>
      <c r="E19" s="92"/>
      <c r="F19" s="92"/>
      <c r="G19" s="40"/>
      <c r="H19"/>
      <c r="I19"/>
      <c r="J19"/>
      <c r="K19"/>
      <c r="L19"/>
      <c r="M19"/>
      <c r="N19"/>
      <c r="O19"/>
      <c r="P19"/>
      <c r="Q19"/>
      <c r="V19" s="5"/>
      <c r="W19" s="4"/>
    </row>
    <row r="20" spans="2:24" x14ac:dyDescent="0.3">
      <c r="B20" s="46" t="s">
        <v>1229</v>
      </c>
      <c r="C20" s="48" t="s">
        <v>259</v>
      </c>
      <c r="D20" s="92"/>
      <c r="E20" s="92"/>
      <c r="F20" s="92"/>
      <c r="G20" s="40"/>
      <c r="H20"/>
      <c r="I20"/>
      <c r="J20"/>
      <c r="K20"/>
      <c r="L20"/>
      <c r="M20"/>
      <c r="N20"/>
      <c r="O20"/>
      <c r="P20"/>
      <c r="Q20"/>
      <c r="V20" s="5"/>
      <c r="W20" s="4"/>
    </row>
    <row r="21" spans="2:24" ht="17.399999999999999" customHeight="1" x14ac:dyDescent="0.3">
      <c r="B21" s="46" t="s">
        <v>1231</v>
      </c>
      <c r="C21" s="48" t="s">
        <v>259</v>
      </c>
      <c r="G21" s="94"/>
      <c r="H21"/>
      <c r="I21"/>
      <c r="J21"/>
      <c r="K21"/>
      <c r="L21"/>
      <c r="M21"/>
      <c r="N21"/>
      <c r="O21"/>
      <c r="P21"/>
      <c r="Q21"/>
      <c r="V21" s="5">
        <f>F9</f>
        <v>1</v>
      </c>
      <c r="W21" s="4"/>
    </row>
    <row r="22" spans="2:24" ht="9.75" customHeight="1" thickBot="1" x14ac:dyDescent="0.35">
      <c r="B22" s="26"/>
      <c r="C22" s="27"/>
      <c r="D22" s="42"/>
      <c r="E22" s="42"/>
      <c r="F22" s="42"/>
      <c r="G22" s="41"/>
      <c r="H22"/>
      <c r="I22"/>
      <c r="J22"/>
      <c r="K22"/>
      <c r="L22"/>
      <c r="M22"/>
      <c r="N22"/>
      <c r="O22"/>
      <c r="P22"/>
      <c r="Q22"/>
      <c r="V22" s="5"/>
      <c r="W22" s="4"/>
    </row>
    <row r="23" spans="2:24" ht="24.9" customHeight="1" x14ac:dyDescent="0.3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V23" s="5"/>
      <c r="W23"/>
    </row>
    <row r="24" spans="2:24" s="12" customFormat="1" ht="16.5" customHeight="1" x14ac:dyDescent="0.3">
      <c r="B24" s="68" t="s">
        <v>276</v>
      </c>
      <c r="C24" s="68"/>
      <c r="D24" s="68"/>
      <c r="E24" s="68"/>
      <c r="F24" s="68"/>
      <c r="R24" s="13"/>
    </row>
    <row r="25" spans="2:24" ht="9.9" customHeight="1" x14ac:dyDescent="0.3"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V25" s="5"/>
      <c r="W25"/>
    </row>
    <row r="26" spans="2:24" ht="15" customHeight="1" x14ac:dyDescent="0.3">
      <c r="B26"/>
      <c r="C26"/>
      <c r="D26"/>
      <c r="E26" s="20" t="s">
        <v>295</v>
      </c>
      <c r="F26" s="43"/>
      <c r="G26"/>
      <c r="H26"/>
      <c r="I26"/>
      <c r="J26"/>
      <c r="K26"/>
      <c r="L26"/>
      <c r="M26"/>
      <c r="N26"/>
      <c r="O26"/>
      <c r="P26"/>
      <c r="Q26"/>
      <c r="V26" s="5"/>
      <c r="W26"/>
    </row>
    <row r="27" spans="2:24" x14ac:dyDescent="0.3">
      <c r="B27"/>
      <c r="C27"/>
      <c r="D27"/>
      <c r="E27" s="20" t="s">
        <v>277</v>
      </c>
      <c r="F27" s="43"/>
      <c r="G27"/>
      <c r="H27" s="6"/>
      <c r="I27"/>
      <c r="J27"/>
      <c r="K27"/>
      <c r="L27"/>
      <c r="M27"/>
      <c r="N27"/>
      <c r="O27"/>
      <c r="P27"/>
      <c r="Q27"/>
      <c r="V27" s="5"/>
      <c r="W27"/>
    </row>
    <row r="28" spans="2:24" x14ac:dyDescent="0.3">
      <c r="B28"/>
      <c r="C28"/>
      <c r="D28"/>
      <c r="E28" s="20" t="s">
        <v>278</v>
      </c>
      <c r="F28" s="43"/>
      <c r="G28"/>
      <c r="H28" s="6"/>
      <c r="I28"/>
      <c r="J28"/>
      <c r="K28"/>
      <c r="L28"/>
      <c r="M28"/>
      <c r="N28"/>
      <c r="O28"/>
      <c r="P28"/>
      <c r="Q28"/>
      <c r="V28" s="5"/>
      <c r="W28"/>
    </row>
    <row r="29" spans="2:24" x14ac:dyDescent="0.3">
      <c r="B29"/>
      <c r="C29"/>
      <c r="D29"/>
      <c r="E29" s="20" t="s">
        <v>279</v>
      </c>
      <c r="F29" s="3">
        <f>pn_heure_fin-pn_heure_debut</f>
        <v>0</v>
      </c>
      <c r="G29"/>
      <c r="H29" s="7"/>
      <c r="I29"/>
      <c r="J29"/>
      <c r="K29"/>
      <c r="L29"/>
      <c r="M29"/>
      <c r="N29"/>
      <c r="O29"/>
      <c r="P29"/>
      <c r="Q29"/>
      <c r="V29" s="5"/>
      <c r="W29"/>
    </row>
    <row r="30" spans="2:24" x14ac:dyDescent="0.3">
      <c r="B30"/>
      <c r="C30"/>
      <c r="D30"/>
      <c r="E30"/>
      <c r="F30" s="20"/>
      <c r="G30" s="3"/>
      <c r="H30" s="7"/>
      <c r="I30"/>
      <c r="J30"/>
      <c r="K30"/>
      <c r="L30"/>
      <c r="M30"/>
      <c r="N30"/>
      <c r="O30"/>
      <c r="P30"/>
      <c r="Q30"/>
      <c r="V30" s="5"/>
      <c r="W30"/>
    </row>
    <row r="31" spans="2:24" ht="19.5" customHeight="1" x14ac:dyDescent="0.3">
      <c r="B31"/>
      <c r="C31"/>
    </row>
    <row r="32" spans="2:24" x14ac:dyDescent="0.3">
      <c r="B32" s="36" t="s">
        <v>301</v>
      </c>
      <c r="C32" s="36" t="s">
        <v>280</v>
      </c>
      <c r="D32" s="36" t="s">
        <v>281</v>
      </c>
      <c r="E32" s="36" t="s">
        <v>1397</v>
      </c>
      <c r="F32" s="36" t="s">
        <v>265</v>
      </c>
      <c r="G32" s="36" t="s">
        <v>4591</v>
      </c>
      <c r="H32" s="36" t="s">
        <v>283</v>
      </c>
      <c r="I32" s="36" t="s">
        <v>309</v>
      </c>
      <c r="J32" s="36" t="s">
        <v>379</v>
      </c>
      <c r="K32" s="36" t="s">
        <v>1066</v>
      </c>
      <c r="L32" s="36" t="s">
        <v>637</v>
      </c>
      <c r="M32" s="36" t="s">
        <v>1229</v>
      </c>
      <c r="N32" s="36" t="s">
        <v>1231</v>
      </c>
      <c r="O32" s="36" t="s">
        <v>268</v>
      </c>
      <c r="P32" s="36" t="s">
        <v>269</v>
      </c>
      <c r="Q32" s="36" t="s">
        <v>284</v>
      </c>
      <c r="R32" s="36" t="s">
        <v>285</v>
      </c>
      <c r="W32"/>
      <c r="X32" s="5"/>
    </row>
    <row r="33" spans="2:24" x14ac:dyDescent="0.3">
      <c r="B33" s="51" t="s">
        <v>1547</v>
      </c>
      <c r="C33" s="51" t="s">
        <v>202</v>
      </c>
      <c r="D33" s="51" t="s">
        <v>223</v>
      </c>
      <c r="E33" s="51" t="s">
        <v>259</v>
      </c>
      <c r="F33" s="51" t="s">
        <v>259</v>
      </c>
      <c r="G33" s="51" t="s">
        <v>259</v>
      </c>
      <c r="H33" s="51" t="s">
        <v>259</v>
      </c>
      <c r="I33" s="51" t="s">
        <v>259</v>
      </c>
      <c r="J33" s="51" t="s">
        <v>259</v>
      </c>
      <c r="K33" s="51" t="s">
        <v>259</v>
      </c>
      <c r="L33" s="51" t="s">
        <v>259</v>
      </c>
      <c r="M33" s="51" t="s">
        <v>259</v>
      </c>
      <c r="N33" s="51" t="s">
        <v>259</v>
      </c>
      <c r="O33" s="51">
        <v>1</v>
      </c>
      <c r="P33" s="51">
        <v>60</v>
      </c>
      <c r="Q33" s="51" t="s">
        <v>260</v>
      </c>
      <c r="R33" s="56">
        <v>100</v>
      </c>
      <c r="W33"/>
      <c r="X33" s="5"/>
    </row>
    <row r="34" spans="2:24" x14ac:dyDescent="0.3"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  <c r="R34" s="56"/>
      <c r="W34"/>
      <c r="X34" s="5"/>
    </row>
    <row r="35" spans="2:24" x14ac:dyDescent="0.3">
      <c r="B35" s="51"/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51"/>
      <c r="Q35" s="51"/>
      <c r="R35" s="56"/>
      <c r="W35"/>
      <c r="X35" s="5"/>
    </row>
    <row r="36" spans="2:24" x14ac:dyDescent="0.3">
      <c r="B36" s="51"/>
      <c r="C36" s="51"/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/>
      <c r="P36" s="51"/>
      <c r="Q36" s="51"/>
      <c r="R36" s="56"/>
      <c r="W36"/>
      <c r="X36" s="5"/>
    </row>
    <row r="37" spans="2:24" x14ac:dyDescent="0.3">
      <c r="B37" s="51"/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/>
      <c r="R37" s="56"/>
      <c r="W37"/>
      <c r="X37" s="5"/>
    </row>
    <row r="38" spans="2:24" x14ac:dyDescent="0.3">
      <c r="B38" s="51"/>
      <c r="C38" s="51"/>
      <c r="D38" s="51"/>
      <c r="E38" s="51"/>
      <c r="F38" s="51"/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6"/>
      <c r="W38"/>
      <c r="X38" s="5"/>
    </row>
    <row r="39" spans="2:24" x14ac:dyDescent="0.3">
      <c r="B39" s="51"/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51"/>
      <c r="Q39" s="51"/>
      <c r="R39" s="56"/>
      <c r="W39"/>
      <c r="X39" s="5"/>
    </row>
    <row r="40" spans="2:24" x14ac:dyDescent="0.3">
      <c r="B40" s="51"/>
      <c r="C40" s="51"/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6"/>
      <c r="W40"/>
      <c r="X40" s="5"/>
    </row>
    <row r="41" spans="2:24" x14ac:dyDescent="0.3">
      <c r="B41" s="51"/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51"/>
      <c r="Q41" s="51"/>
      <c r="R41" s="56"/>
      <c r="W41"/>
      <c r="X41" s="5"/>
    </row>
    <row r="42" spans="2:24" x14ac:dyDescent="0.3"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6"/>
      <c r="W42"/>
      <c r="X42" s="5"/>
    </row>
    <row r="43" spans="2:24" x14ac:dyDescent="0.3">
      <c r="B43" s="51"/>
      <c r="C43" s="51"/>
      <c r="D43" s="51"/>
      <c r="E43" s="51"/>
      <c r="F43" s="51"/>
      <c r="G43" s="51"/>
      <c r="H43" s="51"/>
      <c r="I43" s="51"/>
      <c r="J43" s="51"/>
      <c r="K43" s="51"/>
      <c r="L43" s="51"/>
      <c r="M43" s="51"/>
      <c r="N43" s="51"/>
      <c r="O43" s="51"/>
      <c r="P43" s="51"/>
      <c r="Q43" s="51"/>
      <c r="R43" s="56"/>
      <c r="W43"/>
      <c r="X43" s="5"/>
    </row>
    <row r="44" spans="2:24" x14ac:dyDescent="0.3">
      <c r="B44" s="51"/>
      <c r="C44" s="51"/>
      <c r="D44" s="51"/>
      <c r="E44" s="51"/>
      <c r="F44" s="51"/>
      <c r="G44" s="51"/>
      <c r="H44" s="51"/>
      <c r="I44" s="51"/>
      <c r="J44" s="51"/>
      <c r="K44" s="51"/>
      <c r="L44" s="51"/>
      <c r="M44" s="51"/>
      <c r="N44" s="51"/>
      <c r="O44" s="51"/>
      <c r="P44" s="51"/>
      <c r="Q44" s="51"/>
      <c r="R44" s="56"/>
      <c r="W44"/>
      <c r="X44" s="5"/>
    </row>
    <row r="45" spans="2:24" x14ac:dyDescent="0.3">
      <c r="B45" s="51"/>
      <c r="C45" s="51"/>
      <c r="D45" s="51"/>
      <c r="E45" s="51"/>
      <c r="F45" s="51"/>
      <c r="G45" s="51"/>
      <c r="H45" s="51"/>
      <c r="I45" s="51"/>
      <c r="J45" s="51"/>
      <c r="K45" s="51"/>
      <c r="L45" s="51"/>
      <c r="M45" s="51"/>
      <c r="N45" s="51"/>
      <c r="O45" s="51"/>
      <c r="P45" s="51"/>
      <c r="Q45" s="51"/>
      <c r="R45" s="56"/>
      <c r="W45"/>
      <c r="X45" s="5"/>
    </row>
    <row r="46" spans="2:24" x14ac:dyDescent="0.3">
      <c r="B46" s="51"/>
      <c r="C46" s="51"/>
      <c r="D46" s="51"/>
      <c r="E46" s="51"/>
      <c r="F46" s="51"/>
      <c r="G46" s="51"/>
      <c r="H46" s="51"/>
      <c r="I46" s="51"/>
      <c r="J46" s="51"/>
      <c r="K46" s="51"/>
      <c r="L46" s="51"/>
      <c r="M46" s="51"/>
      <c r="N46" s="51"/>
      <c r="O46" s="51"/>
      <c r="P46" s="51"/>
      <c r="Q46" s="51"/>
      <c r="R46" s="56"/>
      <c r="W46"/>
      <c r="X46" s="5"/>
    </row>
    <row r="47" spans="2:24" x14ac:dyDescent="0.3">
      <c r="B47" s="51"/>
      <c r="C47" s="51"/>
      <c r="D47" s="51"/>
      <c r="E47" s="51"/>
      <c r="F47" s="51"/>
      <c r="G47" s="51"/>
      <c r="H47" s="51"/>
      <c r="I47" s="51"/>
      <c r="J47" s="51"/>
      <c r="K47" s="51"/>
      <c r="L47" s="51"/>
      <c r="M47" s="51"/>
      <c r="N47" s="51"/>
      <c r="O47" s="51"/>
      <c r="P47" s="51"/>
      <c r="Q47" s="51"/>
      <c r="R47" s="56"/>
      <c r="W47"/>
      <c r="X47" s="5"/>
    </row>
    <row r="48" spans="2:24" x14ac:dyDescent="0.3">
      <c r="B48" s="51"/>
      <c r="C48" s="51"/>
      <c r="D48" s="51"/>
      <c r="E48" s="51"/>
      <c r="F48" s="51"/>
      <c r="G48" s="51"/>
      <c r="H48" s="51"/>
      <c r="I48" s="51"/>
      <c r="J48" s="51"/>
      <c r="K48" s="51"/>
      <c r="L48" s="51"/>
      <c r="M48" s="51"/>
      <c r="N48" s="51"/>
      <c r="O48" s="51"/>
      <c r="P48" s="51"/>
      <c r="Q48" s="51"/>
      <c r="R48" s="56"/>
      <c r="W48"/>
      <c r="X48" s="5"/>
    </row>
    <row r="49" spans="2:24" x14ac:dyDescent="0.3">
      <c r="B49" s="51"/>
      <c r="C49" s="51"/>
      <c r="D49" s="51"/>
      <c r="E49" s="51"/>
      <c r="F49" s="51"/>
      <c r="G49" s="51"/>
      <c r="H49" s="51"/>
      <c r="I49" s="51"/>
      <c r="J49" s="51"/>
      <c r="K49" s="51"/>
      <c r="L49" s="51"/>
      <c r="M49" s="51"/>
      <c r="N49" s="51"/>
      <c r="O49" s="51"/>
      <c r="P49" s="51"/>
      <c r="Q49" s="51"/>
      <c r="R49" s="56"/>
      <c r="W49"/>
      <c r="X49" s="5"/>
    </row>
    <row r="50" spans="2:24" x14ac:dyDescent="0.3">
      <c r="B50" s="51"/>
      <c r="C50" s="51"/>
      <c r="D50" s="51"/>
      <c r="E50" s="51"/>
      <c r="F50" s="51"/>
      <c r="G50" s="51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6"/>
      <c r="W50"/>
      <c r="X50" s="5"/>
    </row>
    <row r="51" spans="2:24" x14ac:dyDescent="0.3">
      <c r="B51" s="51"/>
      <c r="C51" s="51"/>
      <c r="D51" s="51"/>
      <c r="E51" s="51"/>
      <c r="F51" s="51"/>
      <c r="G51" s="51"/>
      <c r="H51" s="51"/>
      <c r="I51" s="51"/>
      <c r="J51" s="51"/>
      <c r="K51" s="51"/>
      <c r="L51" s="51"/>
      <c r="M51" s="51"/>
      <c r="N51" s="51"/>
      <c r="O51" s="51"/>
      <c r="P51" s="51"/>
      <c r="Q51" s="51"/>
      <c r="R51" s="56"/>
      <c r="W51"/>
      <c r="X51" s="5"/>
    </row>
    <row r="52" spans="2:24" x14ac:dyDescent="0.3">
      <c r="B52" s="51"/>
      <c r="C52" s="51"/>
      <c r="D52" s="51"/>
      <c r="E52" s="51"/>
      <c r="F52" s="51"/>
      <c r="G52" s="51"/>
      <c r="H52" s="51"/>
      <c r="I52" s="51"/>
      <c r="J52" s="51"/>
      <c r="K52" s="51"/>
      <c r="L52" s="51"/>
      <c r="M52" s="51"/>
      <c r="N52" s="51"/>
      <c r="O52" s="51"/>
      <c r="P52" s="51"/>
      <c r="Q52" s="51"/>
      <c r="R52" s="56"/>
      <c r="W52"/>
      <c r="X52" s="5"/>
    </row>
    <row r="53" spans="2:24" x14ac:dyDescent="0.3"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6"/>
      <c r="W53"/>
      <c r="X53" s="5"/>
    </row>
    <row r="54" spans="2:24" x14ac:dyDescent="0.3">
      <c r="B54" s="51"/>
      <c r="C54" s="51"/>
      <c r="D54" s="51"/>
      <c r="E54" s="51"/>
      <c r="F54" s="51"/>
      <c r="G54" s="51"/>
      <c r="H54" s="51"/>
      <c r="I54" s="51"/>
      <c r="J54" s="51"/>
      <c r="K54" s="51"/>
      <c r="L54" s="51"/>
      <c r="M54" s="51"/>
      <c r="N54" s="51"/>
      <c r="O54" s="51"/>
      <c r="P54" s="51"/>
      <c r="Q54" s="51"/>
      <c r="R54" s="56"/>
      <c r="W54"/>
      <c r="X54" s="5"/>
    </row>
    <row r="55" spans="2:24" x14ac:dyDescent="0.3">
      <c r="B55" s="51"/>
      <c r="C55" s="51"/>
      <c r="D55" s="51"/>
      <c r="E55" s="51"/>
      <c r="F55" s="51"/>
      <c r="G55" s="51"/>
      <c r="H55" s="51"/>
      <c r="I55" s="51"/>
      <c r="J55" s="51"/>
      <c r="K55" s="51"/>
      <c r="L55" s="51"/>
      <c r="M55" s="51"/>
      <c r="N55" s="51"/>
      <c r="O55" s="51"/>
      <c r="P55" s="51"/>
      <c r="Q55" s="51"/>
      <c r="R55" s="56"/>
      <c r="W55"/>
      <c r="X55" s="5"/>
    </row>
    <row r="56" spans="2:24" x14ac:dyDescent="0.3">
      <c r="B56" s="51"/>
      <c r="C56" s="51"/>
      <c r="D56" s="51"/>
      <c r="E56" s="51"/>
      <c r="F56" s="51"/>
      <c r="G56" s="51"/>
      <c r="H56" s="51"/>
      <c r="I56" s="51"/>
      <c r="J56" s="51"/>
      <c r="K56" s="51"/>
      <c r="L56" s="51"/>
      <c r="M56" s="51"/>
      <c r="N56" s="51"/>
      <c r="O56" s="51"/>
      <c r="P56" s="51"/>
      <c r="Q56" s="51"/>
      <c r="R56" s="56"/>
      <c r="W56"/>
      <c r="X56" s="5"/>
    </row>
    <row r="57" spans="2:24" x14ac:dyDescent="0.3">
      <c r="B57" s="51"/>
      <c r="C57" s="51"/>
      <c r="D57" s="51"/>
      <c r="E57" s="51"/>
      <c r="F57" s="51"/>
      <c r="G57" s="51"/>
      <c r="H57" s="51"/>
      <c r="I57" s="51"/>
      <c r="J57" s="51"/>
      <c r="K57" s="51"/>
      <c r="L57" s="51"/>
      <c r="M57" s="51"/>
      <c r="N57" s="51"/>
      <c r="O57" s="51"/>
      <c r="P57" s="51"/>
      <c r="Q57" s="51"/>
      <c r="R57" s="56"/>
      <c r="W57"/>
      <c r="X57" s="5"/>
    </row>
    <row r="58" spans="2:24" x14ac:dyDescent="0.3">
      <c r="B58" s="51"/>
      <c r="C58" s="51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  <c r="P58" s="51"/>
      <c r="Q58" s="51"/>
      <c r="R58" s="56"/>
      <c r="W58"/>
      <c r="X58" s="5"/>
    </row>
    <row r="59" spans="2:24" x14ac:dyDescent="0.3">
      <c r="B59" s="51"/>
      <c r="C59" s="51"/>
      <c r="D59" s="51"/>
      <c r="E59" s="51"/>
      <c r="F59" s="51"/>
      <c r="G59" s="51"/>
      <c r="H59" s="51"/>
      <c r="I59" s="51"/>
      <c r="J59" s="51"/>
      <c r="K59" s="51"/>
      <c r="L59" s="51"/>
      <c r="M59" s="51"/>
      <c r="N59" s="51"/>
      <c r="O59" s="51"/>
      <c r="P59" s="51"/>
      <c r="Q59" s="51"/>
      <c r="R59" s="56"/>
      <c r="W59"/>
      <c r="X59" s="5"/>
    </row>
    <row r="60" spans="2:24" x14ac:dyDescent="0.3">
      <c r="B60" s="51"/>
      <c r="C60" s="51"/>
      <c r="D60" s="51"/>
      <c r="E60" s="51"/>
      <c r="F60" s="51"/>
      <c r="G60" s="51"/>
      <c r="H60" s="51"/>
      <c r="I60" s="51"/>
      <c r="J60" s="51"/>
      <c r="K60" s="51"/>
      <c r="L60" s="51"/>
      <c r="M60" s="51"/>
      <c r="N60" s="51"/>
      <c r="O60" s="51"/>
      <c r="P60" s="51"/>
      <c r="Q60" s="51"/>
      <c r="R60" s="56"/>
      <c r="W60"/>
      <c r="X60" s="5"/>
    </row>
    <row r="61" spans="2:24" x14ac:dyDescent="0.3">
      <c r="B61" s="51"/>
      <c r="C61" s="51"/>
      <c r="D61" s="51"/>
      <c r="E61" s="51"/>
      <c r="F61" s="51"/>
      <c r="G61" s="51"/>
      <c r="H61" s="51"/>
      <c r="I61" s="51"/>
      <c r="J61" s="51"/>
      <c r="K61" s="51"/>
      <c r="L61" s="51"/>
      <c r="M61" s="51"/>
      <c r="N61" s="51"/>
      <c r="O61" s="51"/>
      <c r="P61" s="51"/>
      <c r="Q61" s="51"/>
      <c r="R61" s="56"/>
      <c r="W61"/>
      <c r="X61" s="5"/>
    </row>
    <row r="62" spans="2:24" x14ac:dyDescent="0.3">
      <c r="B62" s="51"/>
      <c r="C62" s="51"/>
      <c r="D62" s="51"/>
      <c r="E62" s="51"/>
      <c r="F62" s="51"/>
      <c r="G62" s="51"/>
      <c r="H62" s="51"/>
      <c r="I62" s="51"/>
      <c r="J62" s="51"/>
      <c r="K62" s="51"/>
      <c r="L62" s="51"/>
      <c r="M62" s="51"/>
      <c r="N62" s="51"/>
      <c r="O62" s="51"/>
      <c r="P62" s="51"/>
      <c r="Q62" s="51"/>
      <c r="R62" s="56"/>
      <c r="W62"/>
      <c r="X62" s="5"/>
    </row>
    <row r="63" spans="2:24" x14ac:dyDescent="0.3">
      <c r="B63" s="51"/>
      <c r="C63" s="51"/>
      <c r="D63" s="51"/>
      <c r="E63" s="51"/>
      <c r="F63" s="51"/>
      <c r="G63" s="51"/>
      <c r="H63" s="51"/>
      <c r="I63" s="51"/>
      <c r="J63" s="51"/>
      <c r="K63" s="51"/>
      <c r="L63" s="51"/>
      <c r="M63" s="51"/>
      <c r="N63" s="51"/>
      <c r="O63" s="51"/>
      <c r="P63" s="51"/>
      <c r="Q63" s="51"/>
      <c r="R63" s="56"/>
      <c r="W63"/>
      <c r="X63" s="5"/>
    </row>
    <row r="64" spans="2:24" x14ac:dyDescent="0.3">
      <c r="B64" s="51"/>
      <c r="C64" s="51"/>
      <c r="D64" s="51"/>
      <c r="E64" s="51"/>
      <c r="F64" s="51"/>
      <c r="G64" s="51"/>
      <c r="H64" s="51"/>
      <c r="I64" s="51"/>
      <c r="J64" s="51"/>
      <c r="K64" s="51"/>
      <c r="L64" s="51"/>
      <c r="M64" s="51"/>
      <c r="N64" s="51"/>
      <c r="O64" s="51"/>
      <c r="P64" s="51"/>
      <c r="Q64" s="51"/>
      <c r="R64" s="56"/>
      <c r="W64"/>
      <c r="X64" s="5"/>
    </row>
    <row r="65" spans="2:24" x14ac:dyDescent="0.3">
      <c r="B65" s="51"/>
      <c r="C65" s="51"/>
      <c r="D65" s="51"/>
      <c r="E65" s="51"/>
      <c r="F65" s="51"/>
      <c r="G65" s="51"/>
      <c r="H65" s="51"/>
      <c r="I65" s="51"/>
      <c r="J65" s="51"/>
      <c r="K65" s="51"/>
      <c r="L65" s="51"/>
      <c r="M65" s="51"/>
      <c r="N65" s="51"/>
      <c r="O65" s="51"/>
      <c r="P65" s="51"/>
      <c r="Q65" s="51"/>
      <c r="R65" s="56"/>
      <c r="W65"/>
      <c r="X65" s="5"/>
    </row>
    <row r="66" spans="2:24" x14ac:dyDescent="0.3">
      <c r="B66" s="51"/>
      <c r="C66" s="51"/>
      <c r="D66" s="51"/>
      <c r="E66" s="51"/>
      <c r="F66" s="51"/>
      <c r="G66" s="51"/>
      <c r="H66" s="51"/>
      <c r="I66" s="51"/>
      <c r="J66" s="51"/>
      <c r="K66" s="51"/>
      <c r="L66" s="51"/>
      <c r="M66" s="51"/>
      <c r="N66" s="51"/>
      <c r="O66" s="51"/>
      <c r="P66" s="51"/>
      <c r="Q66" s="51"/>
      <c r="R66" s="56"/>
      <c r="W66"/>
      <c r="X66" s="5"/>
    </row>
    <row r="67" spans="2:24" x14ac:dyDescent="0.3">
      <c r="B67" s="51"/>
      <c r="C67" s="51"/>
      <c r="D67" s="51"/>
      <c r="E67" s="51"/>
      <c r="F67" s="51"/>
      <c r="G67" s="51"/>
      <c r="H67" s="51"/>
      <c r="I67" s="51"/>
      <c r="J67" s="51"/>
      <c r="K67" s="51"/>
      <c r="L67" s="51"/>
      <c r="M67" s="51"/>
      <c r="N67" s="51"/>
      <c r="O67" s="51"/>
      <c r="P67" s="51"/>
      <c r="Q67" s="51"/>
      <c r="R67" s="56"/>
      <c r="W67"/>
      <c r="X67" s="5"/>
    </row>
    <row r="68" spans="2:24" x14ac:dyDescent="0.3">
      <c r="B68" s="51"/>
      <c r="C68" s="51"/>
      <c r="D68" s="51"/>
      <c r="E68" s="51"/>
      <c r="F68" s="51"/>
      <c r="G68" s="51"/>
      <c r="H68" s="51"/>
      <c r="I68" s="51"/>
      <c r="J68" s="51"/>
      <c r="K68" s="51"/>
      <c r="L68" s="51"/>
      <c r="M68" s="51"/>
      <c r="N68" s="51"/>
      <c r="O68" s="51"/>
      <c r="P68" s="51"/>
      <c r="Q68" s="51"/>
      <c r="R68" s="56"/>
      <c r="W68"/>
      <c r="X68" s="5"/>
    </row>
    <row r="69" spans="2:24" x14ac:dyDescent="0.3">
      <c r="B69" s="51"/>
      <c r="C69" s="51"/>
      <c r="D69" s="51"/>
      <c r="E69" s="51"/>
      <c r="F69" s="51"/>
      <c r="G69" s="51"/>
      <c r="H69" s="51"/>
      <c r="I69" s="51"/>
      <c r="J69" s="51"/>
      <c r="K69" s="51"/>
      <c r="L69" s="51"/>
      <c r="M69" s="51"/>
      <c r="N69" s="51"/>
      <c r="O69" s="51"/>
      <c r="P69" s="51"/>
      <c r="Q69" s="51"/>
      <c r="R69" s="56"/>
      <c r="W69"/>
      <c r="X69" s="5"/>
    </row>
    <row r="70" spans="2:24" x14ac:dyDescent="0.3">
      <c r="B70" s="51"/>
      <c r="C70" s="51"/>
      <c r="D70" s="51"/>
      <c r="E70" s="51"/>
      <c r="F70" s="51"/>
      <c r="G70" s="51"/>
      <c r="H70" s="51"/>
      <c r="I70" s="51"/>
      <c r="J70" s="51"/>
      <c r="K70" s="51"/>
      <c r="L70" s="51"/>
      <c r="M70" s="51"/>
      <c r="N70" s="51"/>
      <c r="O70" s="51"/>
      <c r="P70" s="51"/>
      <c r="Q70" s="51"/>
      <c r="R70" s="56"/>
      <c r="W70"/>
      <c r="X70" s="5"/>
    </row>
    <row r="71" spans="2:24" x14ac:dyDescent="0.3">
      <c r="B71" s="51"/>
      <c r="C71" s="51"/>
      <c r="D71" s="51"/>
      <c r="E71" s="51"/>
      <c r="F71" s="51"/>
      <c r="G71" s="51"/>
      <c r="H71" s="51"/>
      <c r="I71" s="51"/>
      <c r="J71" s="51"/>
      <c r="K71" s="51"/>
      <c r="L71" s="51"/>
      <c r="M71" s="51"/>
      <c r="N71" s="51"/>
      <c r="O71" s="51"/>
      <c r="P71" s="51"/>
      <c r="Q71" s="51"/>
      <c r="R71" s="56"/>
      <c r="W71"/>
      <c r="X71" s="5"/>
    </row>
    <row r="72" spans="2:24" x14ac:dyDescent="0.3">
      <c r="B72" s="51"/>
      <c r="C72" s="51"/>
      <c r="D72" s="51"/>
      <c r="E72" s="51"/>
      <c r="F72" s="51"/>
      <c r="G72" s="51"/>
      <c r="H72" s="51"/>
      <c r="I72" s="51"/>
      <c r="J72" s="51"/>
      <c r="K72" s="51"/>
      <c r="L72" s="51"/>
      <c r="M72" s="51"/>
      <c r="N72" s="51"/>
      <c r="O72" s="51"/>
      <c r="P72" s="51"/>
      <c r="Q72" s="51"/>
      <c r="R72" s="56"/>
      <c r="W72"/>
      <c r="X72" s="5"/>
    </row>
    <row r="73" spans="2:24" x14ac:dyDescent="0.3">
      <c r="B73" s="51"/>
      <c r="C73" s="51"/>
      <c r="D73" s="51"/>
      <c r="E73" s="51"/>
      <c r="F73" s="51"/>
      <c r="G73" s="51"/>
      <c r="H73" s="51"/>
      <c r="I73" s="51"/>
      <c r="J73" s="51"/>
      <c r="K73" s="51"/>
      <c r="L73" s="51"/>
      <c r="M73" s="51"/>
      <c r="N73" s="51"/>
      <c r="O73" s="51"/>
      <c r="P73" s="51"/>
      <c r="Q73" s="51"/>
      <c r="R73" s="56"/>
      <c r="W73"/>
      <c r="X73" s="5"/>
    </row>
    <row r="74" spans="2:24" x14ac:dyDescent="0.3">
      <c r="B74" s="51"/>
      <c r="C74" s="51"/>
      <c r="D74" s="51"/>
      <c r="E74" s="51"/>
      <c r="F74" s="51"/>
      <c r="G74" s="51"/>
      <c r="H74" s="51"/>
      <c r="I74" s="51"/>
      <c r="J74" s="51"/>
      <c r="K74" s="51"/>
      <c r="L74" s="51"/>
      <c r="M74" s="51"/>
      <c r="N74" s="51"/>
      <c r="O74" s="51"/>
      <c r="P74" s="51"/>
      <c r="Q74" s="51"/>
      <c r="R74" s="56"/>
      <c r="W74"/>
      <c r="X74" s="5"/>
    </row>
    <row r="75" spans="2:24" x14ac:dyDescent="0.3">
      <c r="B75" s="51"/>
      <c r="C75" s="51"/>
      <c r="D75" s="51"/>
      <c r="E75" s="51"/>
      <c r="F75" s="51"/>
      <c r="G75" s="51"/>
      <c r="H75" s="51"/>
      <c r="I75" s="51"/>
      <c r="J75" s="51"/>
      <c r="K75" s="51"/>
      <c r="L75" s="51"/>
      <c r="M75" s="51"/>
      <c r="N75" s="51"/>
      <c r="O75" s="51"/>
      <c r="P75" s="51"/>
      <c r="Q75" s="51"/>
      <c r="R75" s="56"/>
      <c r="W75"/>
      <c r="X75" s="5"/>
    </row>
    <row r="76" spans="2:24" x14ac:dyDescent="0.3">
      <c r="B76" s="51"/>
      <c r="C76" s="51"/>
      <c r="D76" s="51"/>
      <c r="E76" s="51"/>
      <c r="F76" s="51"/>
      <c r="G76" s="51"/>
      <c r="H76" s="51"/>
      <c r="I76" s="51"/>
      <c r="J76" s="51"/>
      <c r="K76" s="51"/>
      <c r="L76" s="51"/>
      <c r="M76" s="51"/>
      <c r="N76" s="51"/>
      <c r="O76" s="51"/>
      <c r="P76" s="51"/>
      <c r="Q76" s="51"/>
      <c r="R76" s="56"/>
      <c r="W76"/>
      <c r="X76" s="5"/>
    </row>
    <row r="77" spans="2:24" x14ac:dyDescent="0.3">
      <c r="B77" s="51"/>
      <c r="C77" s="51"/>
      <c r="D77" s="51"/>
      <c r="E77" s="51"/>
      <c r="F77" s="51"/>
      <c r="G77" s="51"/>
      <c r="H77" s="51"/>
      <c r="I77" s="51"/>
      <c r="J77" s="51"/>
      <c r="K77" s="51"/>
      <c r="L77" s="51"/>
      <c r="M77" s="51"/>
      <c r="N77" s="51"/>
      <c r="O77" s="51"/>
      <c r="P77" s="51"/>
      <c r="Q77" s="51"/>
      <c r="R77" s="56"/>
      <c r="W77"/>
      <c r="X77" s="5"/>
    </row>
    <row r="78" spans="2:24" x14ac:dyDescent="0.3">
      <c r="B78" s="51"/>
      <c r="C78" s="51"/>
      <c r="D78" s="51"/>
      <c r="E78" s="51"/>
      <c r="F78" s="51"/>
      <c r="G78" s="51"/>
      <c r="H78" s="51"/>
      <c r="I78" s="51"/>
      <c r="J78" s="51"/>
      <c r="K78" s="51"/>
      <c r="L78" s="51"/>
      <c r="M78" s="51"/>
      <c r="N78" s="51"/>
      <c r="O78" s="51"/>
      <c r="P78" s="51"/>
      <c r="Q78" s="51"/>
      <c r="R78" s="56"/>
      <c r="W78"/>
      <c r="X78" s="5"/>
    </row>
    <row r="79" spans="2:24" x14ac:dyDescent="0.3">
      <c r="B79" s="51"/>
      <c r="C79" s="51"/>
      <c r="D79" s="51"/>
      <c r="E79" s="51"/>
      <c r="F79" s="51"/>
      <c r="G79" s="51"/>
      <c r="H79" s="51"/>
      <c r="I79" s="51"/>
      <c r="J79" s="51"/>
      <c r="K79" s="51"/>
      <c r="L79" s="51"/>
      <c r="M79" s="51"/>
      <c r="N79" s="51"/>
      <c r="O79" s="51"/>
      <c r="P79" s="51"/>
      <c r="Q79" s="51"/>
      <c r="R79" s="56"/>
      <c r="W79"/>
      <c r="X79" s="5"/>
    </row>
    <row r="80" spans="2:24" x14ac:dyDescent="0.3">
      <c r="B80" s="51"/>
      <c r="C80" s="51"/>
      <c r="D80" s="51"/>
      <c r="E80" s="51"/>
      <c r="F80" s="51"/>
      <c r="G80" s="51"/>
      <c r="H80" s="51"/>
      <c r="I80" s="51"/>
      <c r="J80" s="51"/>
      <c r="K80" s="51"/>
      <c r="L80" s="51"/>
      <c r="M80" s="51"/>
      <c r="N80" s="51"/>
      <c r="O80" s="51"/>
      <c r="P80" s="51"/>
      <c r="Q80" s="51"/>
      <c r="R80" s="56"/>
      <c r="W80"/>
      <c r="X80" s="5"/>
    </row>
    <row r="81" spans="2:24" x14ac:dyDescent="0.3">
      <c r="B81" s="51"/>
      <c r="C81" s="51"/>
      <c r="D81" s="51"/>
      <c r="E81" s="51"/>
      <c r="F81" s="51"/>
      <c r="G81" s="51"/>
      <c r="H81" s="51"/>
      <c r="I81" s="51"/>
      <c r="J81" s="51"/>
      <c r="K81" s="51"/>
      <c r="L81" s="51"/>
      <c r="M81" s="51"/>
      <c r="N81" s="51"/>
      <c r="O81" s="51"/>
      <c r="P81" s="51"/>
      <c r="Q81" s="51"/>
      <c r="R81" s="56"/>
      <c r="W81"/>
      <c r="X81" s="5"/>
    </row>
    <row r="82" spans="2:24" x14ac:dyDescent="0.3">
      <c r="B82" s="51"/>
      <c r="C82" s="51"/>
      <c r="D82" s="51"/>
      <c r="E82" s="51"/>
      <c r="F82" s="51"/>
      <c r="G82" s="51"/>
      <c r="H82" s="51"/>
      <c r="I82" s="51"/>
      <c r="J82" s="51"/>
      <c r="K82" s="51"/>
      <c r="L82" s="51"/>
      <c r="M82" s="51"/>
      <c r="N82" s="51"/>
      <c r="O82" s="51"/>
      <c r="P82" s="51"/>
      <c r="Q82" s="51"/>
      <c r="R82" s="56"/>
      <c r="W82"/>
      <c r="X82" s="5"/>
    </row>
    <row r="83" spans="2:24" x14ac:dyDescent="0.3">
      <c r="B83" s="51"/>
      <c r="C83" s="51"/>
      <c r="D83" s="51"/>
      <c r="E83" s="51"/>
      <c r="F83" s="51"/>
      <c r="G83" s="51"/>
      <c r="H83" s="51"/>
      <c r="I83" s="51"/>
      <c r="J83" s="51"/>
      <c r="K83" s="51"/>
      <c r="L83" s="51"/>
      <c r="M83" s="51"/>
      <c r="N83" s="51"/>
      <c r="O83" s="51"/>
      <c r="P83" s="51"/>
      <c r="Q83" s="51"/>
      <c r="R83" s="56"/>
      <c r="W83"/>
      <c r="X83" s="5"/>
    </row>
    <row r="84" spans="2:24" x14ac:dyDescent="0.3">
      <c r="B84" s="51"/>
      <c r="C84" s="51"/>
      <c r="D84" s="51"/>
      <c r="E84" s="51"/>
      <c r="F84" s="51"/>
      <c r="G84" s="51"/>
      <c r="H84" s="51"/>
      <c r="I84" s="51"/>
      <c r="J84" s="51"/>
      <c r="K84" s="51"/>
      <c r="L84" s="51"/>
      <c r="M84" s="51"/>
      <c r="N84" s="51"/>
      <c r="O84" s="51"/>
      <c r="P84" s="51"/>
      <c r="Q84" s="51"/>
      <c r="R84" s="56"/>
      <c r="W84"/>
      <c r="X84" s="5"/>
    </row>
    <row r="85" spans="2:24" x14ac:dyDescent="0.3">
      <c r="B85" s="51"/>
      <c r="C85" s="51"/>
      <c r="D85" s="51"/>
      <c r="E85" s="51"/>
      <c r="F85" s="51"/>
      <c r="G85" s="51"/>
      <c r="H85" s="51"/>
      <c r="I85" s="51"/>
      <c r="J85" s="51"/>
      <c r="K85" s="51"/>
      <c r="L85" s="51"/>
      <c r="M85" s="51"/>
      <c r="N85" s="51"/>
      <c r="O85" s="51"/>
      <c r="P85" s="51"/>
      <c r="Q85" s="51"/>
      <c r="R85" s="56"/>
      <c r="W85"/>
      <c r="X85" s="5"/>
    </row>
    <row r="86" spans="2:24" x14ac:dyDescent="0.3">
      <c r="B86" s="51"/>
      <c r="C86" s="51"/>
      <c r="D86" s="51"/>
      <c r="E86" s="51"/>
      <c r="F86" s="51"/>
      <c r="G86" s="51"/>
      <c r="H86" s="51"/>
      <c r="I86" s="51"/>
      <c r="J86" s="51"/>
      <c r="K86" s="51"/>
      <c r="L86" s="51"/>
      <c r="M86" s="51"/>
      <c r="N86" s="51"/>
      <c r="O86" s="51"/>
      <c r="P86" s="51"/>
      <c r="Q86" s="51"/>
      <c r="R86" s="56"/>
      <c r="W86"/>
      <c r="X86" s="5"/>
    </row>
    <row r="87" spans="2:24" x14ac:dyDescent="0.3">
      <c r="B87" s="51"/>
      <c r="C87" s="51"/>
      <c r="D87" s="51"/>
      <c r="E87" s="51"/>
      <c r="F87" s="51"/>
      <c r="G87" s="51"/>
      <c r="H87" s="51"/>
      <c r="I87" s="51"/>
      <c r="J87" s="51"/>
      <c r="K87" s="51"/>
      <c r="L87" s="51"/>
      <c r="M87" s="51"/>
      <c r="N87" s="51"/>
      <c r="O87" s="51"/>
      <c r="P87" s="51"/>
      <c r="Q87" s="51"/>
      <c r="R87" s="56"/>
      <c r="W87"/>
      <c r="X87" s="5"/>
    </row>
    <row r="88" spans="2:24" x14ac:dyDescent="0.3">
      <c r="B88" s="51"/>
      <c r="C88" s="51"/>
      <c r="D88" s="51"/>
      <c r="E88" s="51"/>
      <c r="F88" s="51"/>
      <c r="G88" s="51"/>
      <c r="H88" s="51"/>
      <c r="I88" s="51"/>
      <c r="J88" s="51"/>
      <c r="K88" s="51"/>
      <c r="L88" s="51"/>
      <c r="M88" s="51"/>
      <c r="N88" s="51"/>
      <c r="O88" s="51"/>
      <c r="P88" s="51"/>
      <c r="Q88" s="51"/>
      <c r="R88" s="56"/>
      <c r="W88"/>
      <c r="X88" s="5"/>
    </row>
    <row r="89" spans="2:24" x14ac:dyDescent="0.3">
      <c r="B89" s="51"/>
      <c r="C89" s="51"/>
      <c r="D89" s="51"/>
      <c r="E89" s="51"/>
      <c r="F89" s="51"/>
      <c r="G89" s="51"/>
      <c r="H89" s="51"/>
      <c r="I89" s="51"/>
      <c r="J89" s="51"/>
      <c r="K89" s="51"/>
      <c r="L89" s="51"/>
      <c r="M89" s="51"/>
      <c r="N89" s="51"/>
      <c r="O89" s="51"/>
      <c r="P89" s="51"/>
      <c r="Q89" s="51"/>
      <c r="R89" s="56"/>
      <c r="W89"/>
      <c r="X89" s="5"/>
    </row>
    <row r="90" spans="2:24" x14ac:dyDescent="0.3">
      <c r="B90" s="51"/>
      <c r="C90" s="51"/>
      <c r="D90" s="51"/>
      <c r="E90" s="51"/>
      <c r="F90" s="51"/>
      <c r="G90" s="51"/>
      <c r="H90" s="51"/>
      <c r="I90" s="51"/>
      <c r="J90" s="51"/>
      <c r="K90" s="51"/>
      <c r="L90" s="51"/>
      <c r="M90" s="51"/>
      <c r="N90" s="51"/>
      <c r="O90" s="51"/>
      <c r="P90" s="51"/>
      <c r="Q90" s="51"/>
      <c r="R90" s="56"/>
      <c r="W90"/>
      <c r="X90" s="5"/>
    </row>
    <row r="91" spans="2:24" x14ac:dyDescent="0.3">
      <c r="B91" s="51"/>
      <c r="C91" s="51"/>
      <c r="D91" s="51"/>
      <c r="E91" s="51"/>
      <c r="F91" s="51"/>
      <c r="G91" s="51"/>
      <c r="H91" s="51"/>
      <c r="I91" s="51"/>
      <c r="J91" s="51"/>
      <c r="K91" s="51"/>
      <c r="L91" s="51"/>
      <c r="M91" s="51"/>
      <c r="N91" s="51"/>
      <c r="O91" s="51"/>
      <c r="P91" s="51"/>
      <c r="Q91" s="51"/>
      <c r="R91" s="56"/>
      <c r="W91"/>
      <c r="X91" s="5"/>
    </row>
    <row r="92" spans="2:24" x14ac:dyDescent="0.3">
      <c r="B92" s="51"/>
      <c r="C92" s="51"/>
      <c r="D92" s="51"/>
      <c r="E92" s="51"/>
      <c r="F92" s="51"/>
      <c r="G92" s="51"/>
      <c r="H92" s="51"/>
      <c r="I92" s="51"/>
      <c r="J92" s="51"/>
      <c r="K92" s="51"/>
      <c r="L92" s="51"/>
      <c r="M92" s="51"/>
      <c r="N92" s="51"/>
      <c r="O92" s="51"/>
      <c r="P92" s="51"/>
      <c r="Q92" s="51"/>
      <c r="R92" s="56"/>
      <c r="W92"/>
      <c r="X92" s="5"/>
    </row>
    <row r="93" spans="2:24" x14ac:dyDescent="0.3">
      <c r="B93" s="51"/>
      <c r="C93" s="51"/>
      <c r="D93" s="51"/>
      <c r="E93" s="51"/>
      <c r="F93" s="51"/>
      <c r="G93" s="51"/>
      <c r="H93" s="51"/>
      <c r="I93" s="51"/>
      <c r="J93" s="51"/>
      <c r="K93" s="51"/>
      <c r="L93" s="51"/>
      <c r="M93" s="51"/>
      <c r="N93" s="51"/>
      <c r="O93" s="51"/>
      <c r="P93" s="51"/>
      <c r="Q93" s="51"/>
      <c r="R93" s="56"/>
      <c r="W93"/>
      <c r="X93" s="5"/>
    </row>
    <row r="94" spans="2:24" x14ac:dyDescent="0.3">
      <c r="B94" s="51"/>
      <c r="C94" s="51"/>
      <c r="D94" s="51"/>
      <c r="E94" s="51"/>
      <c r="F94" s="51"/>
      <c r="G94" s="51"/>
      <c r="H94" s="51"/>
      <c r="I94" s="51"/>
      <c r="J94" s="51"/>
      <c r="K94" s="51"/>
      <c r="L94" s="51"/>
      <c r="M94" s="51"/>
      <c r="N94" s="51"/>
      <c r="O94" s="51"/>
      <c r="P94" s="51"/>
      <c r="Q94" s="51"/>
      <c r="R94" s="56"/>
      <c r="W94"/>
      <c r="X94" s="5"/>
    </row>
    <row r="95" spans="2:24" x14ac:dyDescent="0.3">
      <c r="B95" s="51"/>
      <c r="C95" s="51"/>
      <c r="D95" s="51"/>
      <c r="E95" s="51"/>
      <c r="F95" s="51"/>
      <c r="G95" s="51"/>
      <c r="H95" s="51"/>
      <c r="I95" s="51"/>
      <c r="J95" s="51"/>
      <c r="K95" s="51"/>
      <c r="L95" s="51"/>
      <c r="M95" s="51"/>
      <c r="N95" s="51"/>
      <c r="O95" s="51"/>
      <c r="P95" s="51"/>
      <c r="Q95" s="51"/>
      <c r="R95" s="56"/>
      <c r="W95"/>
      <c r="X95" s="5"/>
    </row>
    <row r="96" spans="2:24" x14ac:dyDescent="0.3">
      <c r="B96" s="51"/>
      <c r="C96" s="51"/>
      <c r="D96" s="51"/>
      <c r="E96" s="51"/>
      <c r="F96" s="51"/>
      <c r="G96" s="51"/>
      <c r="H96" s="51"/>
      <c r="I96" s="51"/>
      <c r="J96" s="51"/>
      <c r="K96" s="51"/>
      <c r="L96" s="51"/>
      <c r="M96" s="51"/>
      <c r="N96" s="51"/>
      <c r="O96" s="51"/>
      <c r="P96" s="51"/>
      <c r="Q96" s="51"/>
      <c r="R96" s="56"/>
      <c r="W96"/>
      <c r="X96" s="5"/>
    </row>
    <row r="97" spans="2:24" x14ac:dyDescent="0.3">
      <c r="B97" s="51"/>
      <c r="C97" s="51"/>
      <c r="D97" s="51"/>
      <c r="E97" s="51"/>
      <c r="F97" s="51"/>
      <c r="G97" s="51"/>
      <c r="H97" s="51"/>
      <c r="I97" s="51"/>
      <c r="J97" s="51"/>
      <c r="K97" s="51"/>
      <c r="L97" s="51"/>
      <c r="M97" s="51"/>
      <c r="N97" s="51"/>
      <c r="O97" s="51"/>
      <c r="P97" s="51"/>
      <c r="Q97" s="51"/>
      <c r="R97" s="56"/>
      <c r="W97"/>
      <c r="X97" s="5"/>
    </row>
    <row r="98" spans="2:24" x14ac:dyDescent="0.3">
      <c r="B98" s="51"/>
      <c r="C98" s="51"/>
      <c r="D98" s="51"/>
      <c r="E98" s="51"/>
      <c r="F98" s="51"/>
      <c r="G98" s="51"/>
      <c r="H98" s="51"/>
      <c r="I98" s="51"/>
      <c r="J98" s="51"/>
      <c r="K98" s="51"/>
      <c r="L98" s="51"/>
      <c r="M98" s="51"/>
      <c r="N98" s="51"/>
      <c r="O98" s="51"/>
      <c r="P98" s="51"/>
      <c r="Q98" s="51"/>
      <c r="R98" s="56"/>
      <c r="W98"/>
      <c r="X98" s="5"/>
    </row>
    <row r="99" spans="2:24" x14ac:dyDescent="0.3">
      <c r="B99" s="51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  <c r="O99" s="51"/>
      <c r="P99" s="51"/>
      <c r="Q99" s="51"/>
      <c r="R99" s="56"/>
      <c r="W99"/>
      <c r="X99" s="5"/>
    </row>
    <row r="100" spans="2:24" x14ac:dyDescent="0.3">
      <c r="B100" s="51"/>
      <c r="C100" s="51"/>
      <c r="D100" s="51"/>
      <c r="E100" s="51"/>
      <c r="F100" s="51"/>
      <c r="G100" s="51"/>
      <c r="H100" s="51"/>
      <c r="I100" s="51"/>
      <c r="J100" s="51"/>
      <c r="K100" s="51"/>
      <c r="L100" s="51"/>
      <c r="M100" s="51"/>
      <c r="N100" s="51"/>
      <c r="O100" s="51"/>
      <c r="P100" s="51"/>
      <c r="Q100" s="51"/>
      <c r="R100" s="56"/>
      <c r="W100"/>
      <c r="X100" s="5"/>
    </row>
    <row r="101" spans="2:24" x14ac:dyDescent="0.3">
      <c r="B101" s="51"/>
      <c r="C101" s="51"/>
      <c r="D101" s="51"/>
      <c r="E101" s="51"/>
      <c r="F101" s="51"/>
      <c r="G101" s="51"/>
      <c r="H101" s="51"/>
      <c r="I101" s="51"/>
      <c r="J101" s="51"/>
      <c r="K101" s="51"/>
      <c r="L101" s="51"/>
      <c r="M101" s="51"/>
      <c r="N101" s="51"/>
      <c r="O101" s="51"/>
      <c r="P101" s="51"/>
      <c r="Q101" s="51"/>
      <c r="R101" s="56"/>
      <c r="W101"/>
      <c r="X101" s="5"/>
    </row>
    <row r="102" spans="2:24" x14ac:dyDescent="0.3">
      <c r="B102" s="51"/>
      <c r="C102" s="51"/>
      <c r="D102" s="51"/>
      <c r="E102" s="51"/>
      <c r="F102" s="51"/>
      <c r="G102" s="51"/>
      <c r="H102" s="51"/>
      <c r="I102" s="51"/>
      <c r="J102" s="51"/>
      <c r="K102" s="51"/>
      <c r="L102" s="51"/>
      <c r="M102" s="51"/>
      <c r="N102" s="51"/>
      <c r="O102" s="51"/>
      <c r="P102" s="51"/>
      <c r="Q102" s="51"/>
      <c r="R102" s="56"/>
      <c r="W102"/>
      <c r="X102" s="5"/>
    </row>
    <row r="103" spans="2:24" x14ac:dyDescent="0.3">
      <c r="B103" s="51"/>
      <c r="C103" s="51"/>
      <c r="D103" s="51"/>
      <c r="E103" s="51"/>
      <c r="F103" s="51"/>
      <c r="G103" s="51"/>
      <c r="H103" s="51"/>
      <c r="I103" s="51"/>
      <c r="J103" s="51"/>
      <c r="K103" s="51"/>
      <c r="L103" s="51"/>
      <c r="M103" s="51"/>
      <c r="N103" s="51"/>
      <c r="O103" s="51"/>
      <c r="P103" s="51"/>
      <c r="Q103" s="51"/>
      <c r="R103" s="56"/>
      <c r="W103"/>
      <c r="X103" s="5"/>
    </row>
    <row r="104" spans="2:24" x14ac:dyDescent="0.3">
      <c r="B104" s="51"/>
      <c r="C104" s="51"/>
      <c r="D104" s="51"/>
      <c r="E104" s="51"/>
      <c r="F104" s="51"/>
      <c r="G104" s="51"/>
      <c r="H104" s="51"/>
      <c r="I104" s="51"/>
      <c r="J104" s="51"/>
      <c r="K104" s="51"/>
      <c r="L104" s="51"/>
      <c r="M104" s="51"/>
      <c r="N104" s="51"/>
      <c r="O104" s="51"/>
      <c r="P104" s="51"/>
      <c r="Q104" s="51"/>
      <c r="R104" s="56"/>
      <c r="W104"/>
      <c r="X104" s="5"/>
    </row>
    <row r="105" spans="2:24" x14ac:dyDescent="0.3">
      <c r="B105" s="51"/>
      <c r="C105" s="51"/>
      <c r="D105" s="51"/>
      <c r="E105" s="51"/>
      <c r="F105" s="51"/>
      <c r="G105" s="51"/>
      <c r="H105" s="51"/>
      <c r="I105" s="51"/>
      <c r="J105" s="51"/>
      <c r="K105" s="51"/>
      <c r="L105" s="51"/>
      <c r="M105" s="51"/>
      <c r="N105" s="51"/>
      <c r="O105" s="51"/>
      <c r="P105" s="51"/>
      <c r="Q105" s="51"/>
      <c r="R105" s="56"/>
      <c r="W105"/>
      <c r="X105" s="5"/>
    </row>
    <row r="106" spans="2:24" x14ac:dyDescent="0.3">
      <c r="B106" s="51"/>
      <c r="C106" s="51"/>
      <c r="D106" s="51"/>
      <c r="E106" s="51"/>
      <c r="F106" s="51"/>
      <c r="G106" s="51"/>
      <c r="H106" s="51"/>
      <c r="I106" s="51"/>
      <c r="J106" s="51"/>
      <c r="K106" s="51"/>
      <c r="L106" s="51"/>
      <c r="M106" s="51"/>
      <c r="N106" s="51"/>
      <c r="O106" s="51"/>
      <c r="P106" s="51"/>
      <c r="Q106" s="51"/>
      <c r="R106" s="56"/>
      <c r="W106"/>
      <c r="X106" s="5"/>
    </row>
    <row r="107" spans="2:24" x14ac:dyDescent="0.3">
      <c r="B107" s="51"/>
      <c r="C107" s="51"/>
      <c r="D107" s="51"/>
      <c r="E107" s="51"/>
      <c r="F107" s="51"/>
      <c r="G107" s="51"/>
      <c r="H107" s="51"/>
      <c r="I107" s="51"/>
      <c r="J107" s="51"/>
      <c r="K107" s="51"/>
      <c r="L107" s="51"/>
      <c r="M107" s="51"/>
      <c r="N107" s="51"/>
      <c r="O107" s="51"/>
      <c r="P107" s="51"/>
      <c r="Q107" s="51"/>
      <c r="R107" s="56"/>
      <c r="W107"/>
      <c r="X107" s="5"/>
    </row>
    <row r="108" spans="2:24" x14ac:dyDescent="0.3">
      <c r="B108" s="51"/>
      <c r="C108" s="51"/>
      <c r="D108" s="51"/>
      <c r="E108" s="51"/>
      <c r="F108" s="51"/>
      <c r="G108" s="51"/>
      <c r="H108" s="51"/>
      <c r="I108" s="51"/>
      <c r="J108" s="51"/>
      <c r="K108" s="51"/>
      <c r="L108" s="51"/>
      <c r="M108" s="51"/>
      <c r="N108" s="51"/>
      <c r="O108" s="51"/>
      <c r="P108" s="51"/>
      <c r="Q108" s="51"/>
      <c r="R108" s="56"/>
      <c r="W108"/>
      <c r="X108" s="5"/>
    </row>
    <row r="109" spans="2:24" x14ac:dyDescent="0.3">
      <c r="B109" s="51"/>
      <c r="C109" s="51"/>
      <c r="D109" s="51"/>
      <c r="E109" s="51"/>
      <c r="F109" s="51"/>
      <c r="G109" s="51"/>
      <c r="H109" s="51"/>
      <c r="I109" s="51"/>
      <c r="J109" s="51"/>
      <c r="K109" s="51"/>
      <c r="L109" s="51"/>
      <c r="M109" s="51"/>
      <c r="N109" s="51"/>
      <c r="O109" s="51"/>
      <c r="P109" s="51"/>
      <c r="Q109" s="51"/>
      <c r="R109" s="56"/>
      <c r="W109"/>
      <c r="X109" s="5"/>
    </row>
    <row r="110" spans="2:24" x14ac:dyDescent="0.3">
      <c r="B110" s="51"/>
      <c r="C110" s="51"/>
      <c r="D110" s="51"/>
      <c r="E110" s="51"/>
      <c r="F110" s="51"/>
      <c r="G110" s="51"/>
      <c r="H110" s="51"/>
      <c r="I110" s="51"/>
      <c r="J110" s="51"/>
      <c r="K110" s="51"/>
      <c r="L110" s="51"/>
      <c r="M110" s="51"/>
      <c r="N110" s="51"/>
      <c r="O110" s="51"/>
      <c r="P110" s="51"/>
      <c r="Q110" s="51"/>
      <c r="R110" s="56"/>
      <c r="W110"/>
      <c r="X110" s="5"/>
    </row>
    <row r="111" spans="2:24" x14ac:dyDescent="0.3">
      <c r="B111" s="51"/>
      <c r="C111" s="51"/>
      <c r="D111" s="51"/>
      <c r="E111" s="51"/>
      <c r="F111" s="51"/>
      <c r="G111" s="51"/>
      <c r="H111" s="51"/>
      <c r="I111" s="51"/>
      <c r="J111" s="51"/>
      <c r="K111" s="51"/>
      <c r="L111" s="51"/>
      <c r="M111" s="51"/>
      <c r="N111" s="51"/>
      <c r="O111" s="51"/>
      <c r="P111" s="51"/>
      <c r="Q111" s="51"/>
      <c r="R111" s="56"/>
      <c r="W111"/>
      <c r="X111" s="5"/>
    </row>
    <row r="112" spans="2:24" x14ac:dyDescent="0.3">
      <c r="B112" s="51"/>
      <c r="C112" s="51"/>
      <c r="D112" s="51"/>
      <c r="E112" s="51"/>
      <c r="F112" s="51"/>
      <c r="G112" s="51"/>
      <c r="H112" s="51"/>
      <c r="I112" s="51"/>
      <c r="J112" s="51"/>
      <c r="K112" s="51"/>
      <c r="L112" s="51"/>
      <c r="M112" s="51"/>
      <c r="N112" s="51"/>
      <c r="O112" s="51"/>
      <c r="P112" s="51"/>
      <c r="Q112" s="51"/>
      <c r="R112" s="56"/>
      <c r="W112"/>
      <c r="X112" s="5"/>
    </row>
    <row r="113" spans="2:24" x14ac:dyDescent="0.3">
      <c r="B113" s="51"/>
      <c r="C113" s="51"/>
      <c r="D113" s="51"/>
      <c r="E113" s="51"/>
      <c r="F113" s="51"/>
      <c r="G113" s="51"/>
      <c r="H113" s="51"/>
      <c r="I113" s="51"/>
      <c r="J113" s="51"/>
      <c r="K113" s="51"/>
      <c r="L113" s="51"/>
      <c r="M113" s="51"/>
      <c r="N113" s="51"/>
      <c r="O113" s="51"/>
      <c r="P113" s="51"/>
      <c r="Q113" s="51"/>
      <c r="R113" s="56"/>
      <c r="W113"/>
      <c r="X113" s="5"/>
    </row>
    <row r="114" spans="2:24" x14ac:dyDescent="0.3">
      <c r="B114" s="51"/>
      <c r="C114" s="51"/>
      <c r="D114" s="51"/>
      <c r="E114" s="51"/>
      <c r="F114" s="51"/>
      <c r="G114" s="51"/>
      <c r="H114" s="51"/>
      <c r="I114" s="51"/>
      <c r="J114" s="51"/>
      <c r="K114" s="51"/>
      <c r="L114" s="51"/>
      <c r="M114" s="51"/>
      <c r="N114" s="51"/>
      <c r="O114" s="51"/>
      <c r="P114" s="51"/>
      <c r="Q114" s="51"/>
      <c r="R114" s="56"/>
      <c r="W114"/>
      <c r="X114" s="5"/>
    </row>
    <row r="115" spans="2:24" x14ac:dyDescent="0.3">
      <c r="B115" s="51"/>
      <c r="C115" s="51"/>
      <c r="D115" s="51"/>
      <c r="E115" s="51"/>
      <c r="F115" s="51"/>
      <c r="G115" s="51"/>
      <c r="H115" s="51"/>
      <c r="I115" s="51"/>
      <c r="J115" s="51"/>
      <c r="K115" s="51"/>
      <c r="L115" s="51"/>
      <c r="M115" s="51"/>
      <c r="N115" s="51"/>
      <c r="O115" s="51"/>
      <c r="P115" s="51"/>
      <c r="Q115" s="51"/>
      <c r="R115" s="56"/>
      <c r="W115"/>
      <c r="X115" s="5"/>
    </row>
    <row r="116" spans="2:24" x14ac:dyDescent="0.3">
      <c r="B116" s="51"/>
      <c r="C116" s="51"/>
      <c r="D116" s="51"/>
      <c r="E116" s="51"/>
      <c r="F116" s="51"/>
      <c r="G116" s="51"/>
      <c r="H116" s="51"/>
      <c r="I116" s="51"/>
      <c r="J116" s="51"/>
      <c r="K116" s="51"/>
      <c r="L116" s="51"/>
      <c r="M116" s="51"/>
      <c r="N116" s="51"/>
      <c r="O116" s="51"/>
      <c r="P116" s="51"/>
      <c r="Q116" s="51"/>
      <c r="R116" s="56"/>
      <c r="W116"/>
      <c r="X116" s="5"/>
    </row>
    <row r="117" spans="2:24" x14ac:dyDescent="0.3">
      <c r="B117" s="51"/>
      <c r="C117" s="51"/>
      <c r="D117" s="51"/>
      <c r="E117" s="51"/>
      <c r="F117" s="51"/>
      <c r="G117" s="51"/>
      <c r="H117" s="51"/>
      <c r="I117" s="51"/>
      <c r="J117" s="51"/>
      <c r="K117" s="51"/>
      <c r="L117" s="51"/>
      <c r="M117" s="51"/>
      <c r="N117" s="51"/>
      <c r="O117" s="51"/>
      <c r="P117" s="51"/>
      <c r="Q117" s="51"/>
      <c r="R117" s="56"/>
      <c r="W117"/>
      <c r="X117" s="5"/>
    </row>
    <row r="118" spans="2:24" x14ac:dyDescent="0.3">
      <c r="B118" s="51"/>
      <c r="C118" s="51"/>
      <c r="D118" s="51"/>
      <c r="E118" s="51"/>
      <c r="F118" s="51"/>
      <c r="G118" s="51"/>
      <c r="H118" s="51"/>
      <c r="I118" s="51"/>
      <c r="J118" s="51"/>
      <c r="K118" s="51"/>
      <c r="L118" s="51"/>
      <c r="M118" s="51"/>
      <c r="N118" s="51"/>
      <c r="O118" s="51"/>
      <c r="P118" s="51"/>
      <c r="Q118" s="51"/>
      <c r="R118" s="56"/>
      <c r="W118"/>
      <c r="X118" s="5"/>
    </row>
    <row r="119" spans="2:24" x14ac:dyDescent="0.3">
      <c r="B119" s="51"/>
      <c r="C119" s="51"/>
      <c r="D119" s="51"/>
      <c r="E119" s="51"/>
      <c r="F119" s="51"/>
      <c r="G119" s="51"/>
      <c r="H119" s="51"/>
      <c r="I119" s="51"/>
      <c r="J119" s="51"/>
      <c r="K119" s="51"/>
      <c r="L119" s="51"/>
      <c r="M119" s="51"/>
      <c r="N119" s="51"/>
      <c r="O119" s="51"/>
      <c r="P119" s="51"/>
      <c r="Q119" s="51"/>
      <c r="R119" s="56"/>
      <c r="W119"/>
      <c r="X119" s="5"/>
    </row>
    <row r="120" spans="2:24" x14ac:dyDescent="0.3">
      <c r="B120" s="51"/>
      <c r="C120" s="51"/>
      <c r="D120" s="51"/>
      <c r="E120" s="51"/>
      <c r="F120" s="51"/>
      <c r="G120" s="51"/>
      <c r="H120" s="51"/>
      <c r="I120" s="51"/>
      <c r="J120" s="51"/>
      <c r="K120" s="51"/>
      <c r="L120" s="51"/>
      <c r="M120" s="51"/>
      <c r="N120" s="51"/>
      <c r="O120" s="51"/>
      <c r="P120" s="51"/>
      <c r="Q120" s="51"/>
      <c r="R120" s="56"/>
      <c r="W120"/>
      <c r="X120" s="5"/>
    </row>
    <row r="121" spans="2:24" x14ac:dyDescent="0.3">
      <c r="B121" s="51"/>
      <c r="C121" s="51"/>
      <c r="D121" s="51"/>
      <c r="E121" s="51"/>
      <c r="F121" s="51"/>
      <c r="G121" s="51"/>
      <c r="H121" s="51"/>
      <c r="I121" s="51"/>
      <c r="J121" s="51"/>
      <c r="K121" s="51"/>
      <c r="L121" s="51"/>
      <c r="M121" s="51"/>
      <c r="N121" s="51"/>
      <c r="O121" s="51"/>
      <c r="P121" s="51"/>
      <c r="Q121" s="51"/>
      <c r="R121" s="56"/>
      <c r="W121"/>
      <c r="X121" s="5"/>
    </row>
    <row r="122" spans="2:24" x14ac:dyDescent="0.3">
      <c r="B122" s="51"/>
      <c r="C122" s="51"/>
      <c r="D122" s="51"/>
      <c r="E122" s="51"/>
      <c r="F122" s="51"/>
      <c r="G122" s="51"/>
      <c r="H122" s="51"/>
      <c r="I122" s="51"/>
      <c r="J122" s="51"/>
      <c r="K122" s="51"/>
      <c r="L122" s="51"/>
      <c r="M122" s="51"/>
      <c r="N122" s="51"/>
      <c r="O122" s="51"/>
      <c r="P122" s="51"/>
      <c r="Q122" s="51"/>
      <c r="R122" s="56"/>
      <c r="W122"/>
      <c r="X122" s="5"/>
    </row>
    <row r="123" spans="2:24" x14ac:dyDescent="0.3">
      <c r="B123" s="51"/>
      <c r="C123" s="51"/>
      <c r="D123" s="51"/>
      <c r="E123" s="51"/>
      <c r="F123" s="51"/>
      <c r="G123" s="51"/>
      <c r="H123" s="51"/>
      <c r="I123" s="51"/>
      <c r="J123" s="51"/>
      <c r="K123" s="51"/>
      <c r="L123" s="51"/>
      <c r="M123" s="51"/>
      <c r="N123" s="51"/>
      <c r="O123" s="51"/>
      <c r="P123" s="51"/>
      <c r="Q123" s="51"/>
      <c r="R123" s="56"/>
      <c r="W123"/>
      <c r="X123" s="5"/>
    </row>
    <row r="124" spans="2:24" x14ac:dyDescent="0.3">
      <c r="B124" s="51"/>
      <c r="C124" s="51"/>
      <c r="D124" s="51"/>
      <c r="E124" s="51"/>
      <c r="F124" s="51"/>
      <c r="G124" s="51"/>
      <c r="H124" s="51"/>
      <c r="I124" s="51"/>
      <c r="J124" s="51"/>
      <c r="K124" s="51"/>
      <c r="L124" s="51"/>
      <c r="M124" s="51"/>
      <c r="N124" s="51"/>
      <c r="O124" s="51"/>
      <c r="P124" s="51"/>
      <c r="Q124" s="51"/>
      <c r="R124" s="56"/>
      <c r="W124"/>
      <c r="X124" s="5"/>
    </row>
    <row r="125" spans="2:24" x14ac:dyDescent="0.3">
      <c r="B125" s="51"/>
      <c r="C125" s="51"/>
      <c r="D125" s="51"/>
      <c r="E125" s="51"/>
      <c r="F125" s="51"/>
      <c r="G125" s="51"/>
      <c r="H125" s="51"/>
      <c r="I125" s="51"/>
      <c r="J125" s="51"/>
      <c r="K125" s="51"/>
      <c r="L125" s="51"/>
      <c r="M125" s="51"/>
      <c r="N125" s="51"/>
      <c r="O125" s="51"/>
      <c r="P125" s="51"/>
      <c r="Q125" s="51"/>
      <c r="R125" s="56"/>
      <c r="W125"/>
      <c r="X125" s="5"/>
    </row>
    <row r="126" spans="2:24" x14ac:dyDescent="0.3">
      <c r="B126" s="51"/>
      <c r="C126" s="51"/>
      <c r="D126" s="51"/>
      <c r="E126" s="51"/>
      <c r="F126" s="51"/>
      <c r="G126" s="51"/>
      <c r="H126" s="51"/>
      <c r="I126" s="51"/>
      <c r="J126" s="51"/>
      <c r="K126" s="51"/>
      <c r="L126" s="51"/>
      <c r="M126" s="51"/>
      <c r="N126" s="51"/>
      <c r="O126" s="51"/>
      <c r="P126" s="51"/>
      <c r="Q126" s="51"/>
      <c r="R126" s="56"/>
      <c r="W126"/>
      <c r="X126" s="5"/>
    </row>
    <row r="127" spans="2:24" x14ac:dyDescent="0.3">
      <c r="B127" s="51"/>
      <c r="C127" s="51"/>
      <c r="D127" s="51"/>
      <c r="E127" s="51"/>
      <c r="F127" s="51"/>
      <c r="G127" s="51"/>
      <c r="H127" s="51"/>
      <c r="I127" s="51"/>
      <c r="J127" s="51"/>
      <c r="K127" s="51"/>
      <c r="L127" s="51"/>
      <c r="M127" s="51"/>
      <c r="N127" s="51"/>
      <c r="O127" s="51"/>
      <c r="P127" s="51"/>
      <c r="Q127" s="51"/>
      <c r="R127" s="56"/>
      <c r="W127"/>
      <c r="X127" s="5"/>
    </row>
    <row r="128" spans="2:24" x14ac:dyDescent="0.3">
      <c r="B128" s="51"/>
      <c r="C128" s="51"/>
      <c r="D128" s="51"/>
      <c r="E128" s="51"/>
      <c r="F128" s="51"/>
      <c r="G128" s="51"/>
      <c r="H128" s="51"/>
      <c r="I128" s="51"/>
      <c r="J128" s="51"/>
      <c r="K128" s="51"/>
      <c r="L128" s="51"/>
      <c r="M128" s="51"/>
      <c r="N128" s="51"/>
      <c r="O128" s="51"/>
      <c r="P128" s="51"/>
      <c r="Q128" s="51"/>
      <c r="R128" s="56"/>
      <c r="W128"/>
      <c r="X128" s="5"/>
    </row>
    <row r="129" spans="2:24" x14ac:dyDescent="0.3">
      <c r="B129" s="51"/>
      <c r="C129" s="51"/>
      <c r="D129" s="51"/>
      <c r="E129" s="51"/>
      <c r="F129" s="51"/>
      <c r="G129" s="51"/>
      <c r="H129" s="51"/>
      <c r="I129" s="51"/>
      <c r="J129" s="51"/>
      <c r="K129" s="51"/>
      <c r="L129" s="51"/>
      <c r="M129" s="51"/>
      <c r="N129" s="51"/>
      <c r="O129" s="51"/>
      <c r="P129" s="51"/>
      <c r="Q129" s="51"/>
      <c r="R129" s="56"/>
      <c r="W129"/>
      <c r="X129" s="5"/>
    </row>
    <row r="130" spans="2:24" x14ac:dyDescent="0.3">
      <c r="B130" s="51"/>
      <c r="C130" s="51"/>
      <c r="D130" s="51"/>
      <c r="E130" s="51"/>
      <c r="F130" s="51"/>
      <c r="G130" s="51"/>
      <c r="H130" s="51"/>
      <c r="I130" s="51"/>
      <c r="J130" s="51"/>
      <c r="K130" s="51"/>
      <c r="L130" s="51"/>
      <c r="M130" s="51"/>
      <c r="N130" s="51"/>
      <c r="O130" s="51"/>
      <c r="P130" s="51"/>
      <c r="Q130" s="51"/>
      <c r="R130" s="56"/>
      <c r="W130"/>
      <c r="X130" s="5"/>
    </row>
    <row r="131" spans="2:24" x14ac:dyDescent="0.3">
      <c r="B131" s="51"/>
      <c r="C131" s="51"/>
      <c r="D131" s="51"/>
      <c r="E131" s="51"/>
      <c r="F131" s="51"/>
      <c r="G131" s="51"/>
      <c r="H131" s="51"/>
      <c r="I131" s="51"/>
      <c r="J131" s="51"/>
      <c r="K131" s="51"/>
      <c r="L131" s="51"/>
      <c r="M131" s="51"/>
      <c r="N131" s="51"/>
      <c r="O131" s="51"/>
      <c r="P131" s="51"/>
      <c r="Q131" s="51"/>
      <c r="R131" s="56"/>
      <c r="W131"/>
      <c r="X131" s="5"/>
    </row>
    <row r="132" spans="2:24" x14ac:dyDescent="0.3">
      <c r="B132" s="51"/>
      <c r="C132" s="51"/>
      <c r="D132" s="51"/>
      <c r="E132" s="51"/>
      <c r="F132" s="51"/>
      <c r="G132" s="51"/>
      <c r="H132" s="51"/>
      <c r="I132" s="51"/>
      <c r="J132" s="51"/>
      <c r="K132" s="51"/>
      <c r="L132" s="51"/>
      <c r="M132" s="51"/>
      <c r="N132" s="51"/>
      <c r="O132" s="51"/>
      <c r="P132" s="51"/>
      <c r="Q132" s="51"/>
      <c r="R132" s="56"/>
      <c r="W132"/>
      <c r="X132" s="5"/>
    </row>
    <row r="133" spans="2:24" x14ac:dyDescent="0.3">
      <c r="B133" s="51"/>
      <c r="C133" s="51"/>
      <c r="D133" s="51"/>
      <c r="E133" s="51"/>
      <c r="F133" s="51"/>
      <c r="G133" s="51"/>
      <c r="H133" s="51"/>
      <c r="I133" s="51"/>
      <c r="J133" s="51"/>
      <c r="K133" s="51"/>
      <c r="L133" s="51"/>
      <c r="M133" s="51"/>
      <c r="N133" s="51"/>
      <c r="O133" s="51"/>
      <c r="P133" s="51"/>
      <c r="Q133" s="51"/>
      <c r="R133" s="56"/>
      <c r="W133"/>
      <c r="X133" s="5"/>
    </row>
    <row r="134" spans="2:24" x14ac:dyDescent="0.3">
      <c r="B134" s="51"/>
      <c r="C134" s="51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  <c r="P134" s="51"/>
      <c r="Q134" s="51"/>
      <c r="R134" s="56"/>
      <c r="W134"/>
      <c r="X134" s="5"/>
    </row>
    <row r="135" spans="2:24" x14ac:dyDescent="0.3">
      <c r="B135" s="51"/>
      <c r="C135" s="51"/>
      <c r="D135" s="51"/>
      <c r="E135" s="51"/>
      <c r="F135" s="51"/>
      <c r="G135" s="51"/>
      <c r="H135" s="51"/>
      <c r="I135" s="51"/>
      <c r="J135" s="51"/>
      <c r="K135" s="51"/>
      <c r="L135" s="51"/>
      <c r="M135" s="51"/>
      <c r="N135" s="51"/>
      <c r="O135" s="51"/>
      <c r="P135" s="51"/>
      <c r="Q135" s="51"/>
      <c r="R135" s="56"/>
      <c r="W135"/>
      <c r="X135" s="5"/>
    </row>
    <row r="136" spans="2:24" x14ac:dyDescent="0.3">
      <c r="B136" s="51"/>
      <c r="C136" s="51"/>
      <c r="D136" s="51"/>
      <c r="E136" s="51"/>
      <c r="F136" s="51"/>
      <c r="G136" s="51"/>
      <c r="H136" s="51"/>
      <c r="I136" s="51"/>
      <c r="J136" s="51"/>
      <c r="K136" s="51"/>
      <c r="L136" s="51"/>
      <c r="M136" s="51"/>
      <c r="N136" s="51"/>
      <c r="O136" s="51"/>
      <c r="P136" s="51"/>
      <c r="Q136" s="51"/>
      <c r="R136" s="56"/>
      <c r="W136"/>
      <c r="X136" s="5"/>
    </row>
    <row r="137" spans="2:24" x14ac:dyDescent="0.3">
      <c r="B137" s="51"/>
      <c r="C137" s="51"/>
      <c r="D137" s="51"/>
      <c r="E137" s="51"/>
      <c r="F137" s="51"/>
      <c r="G137" s="51"/>
      <c r="H137" s="51"/>
      <c r="I137" s="51"/>
      <c r="J137" s="51"/>
      <c r="K137" s="51"/>
      <c r="L137" s="51"/>
      <c r="M137" s="51"/>
      <c r="N137" s="51"/>
      <c r="O137" s="51"/>
      <c r="P137" s="51"/>
      <c r="Q137" s="51"/>
      <c r="R137" s="56"/>
      <c r="W137"/>
      <c r="X137" s="5"/>
    </row>
    <row r="138" spans="2:24" x14ac:dyDescent="0.3">
      <c r="B138" s="51"/>
      <c r="C138" s="51"/>
      <c r="D138" s="51"/>
      <c r="E138" s="51"/>
      <c r="F138" s="51"/>
      <c r="G138" s="51"/>
      <c r="H138" s="51"/>
      <c r="I138" s="51"/>
      <c r="J138" s="51"/>
      <c r="K138" s="51"/>
      <c r="L138" s="51"/>
      <c r="M138" s="51"/>
      <c r="N138" s="51"/>
      <c r="O138" s="51"/>
      <c r="P138" s="51"/>
      <c r="Q138" s="51"/>
      <c r="R138" s="56"/>
      <c r="W138"/>
      <c r="X138" s="5"/>
    </row>
    <row r="139" spans="2:24" x14ac:dyDescent="0.3">
      <c r="B139" s="51"/>
      <c r="C139" s="51"/>
      <c r="D139" s="51"/>
      <c r="E139" s="51"/>
      <c r="F139" s="51"/>
      <c r="G139" s="51"/>
      <c r="H139" s="51"/>
      <c r="I139" s="51"/>
      <c r="J139" s="51"/>
      <c r="K139" s="51"/>
      <c r="L139" s="51"/>
      <c r="M139" s="51"/>
      <c r="N139" s="51"/>
      <c r="O139" s="51"/>
      <c r="P139" s="51"/>
      <c r="Q139" s="51"/>
      <c r="R139" s="56"/>
      <c r="W139"/>
      <c r="X139" s="5"/>
    </row>
    <row r="140" spans="2:24" x14ac:dyDescent="0.3">
      <c r="B140" s="51"/>
      <c r="C140" s="51"/>
      <c r="D140" s="51"/>
      <c r="E140" s="51"/>
      <c r="F140" s="51"/>
      <c r="G140" s="51"/>
      <c r="H140" s="51"/>
      <c r="I140" s="51"/>
      <c r="J140" s="51"/>
      <c r="K140" s="51"/>
      <c r="L140" s="51"/>
      <c r="M140" s="51"/>
      <c r="N140" s="51"/>
      <c r="O140" s="51"/>
      <c r="P140" s="51"/>
      <c r="Q140" s="51"/>
      <c r="R140" s="56"/>
      <c r="W140"/>
      <c r="X140" s="5"/>
    </row>
    <row r="141" spans="2:24" x14ac:dyDescent="0.3">
      <c r="B141" s="51"/>
      <c r="C141" s="51"/>
      <c r="D141" s="51"/>
      <c r="E141" s="51"/>
      <c r="F141" s="51"/>
      <c r="G141" s="51"/>
      <c r="H141" s="51"/>
      <c r="I141" s="51"/>
      <c r="J141" s="51"/>
      <c r="K141" s="51"/>
      <c r="L141" s="51"/>
      <c r="M141" s="51"/>
      <c r="N141" s="51"/>
      <c r="O141" s="51"/>
      <c r="P141" s="51"/>
      <c r="Q141" s="51"/>
      <c r="R141" s="56"/>
      <c r="W141"/>
      <c r="X141" s="5"/>
    </row>
    <row r="142" spans="2:24" x14ac:dyDescent="0.3">
      <c r="B142" s="51"/>
      <c r="C142" s="51"/>
      <c r="D142" s="51"/>
      <c r="E142" s="51"/>
      <c r="F142" s="51"/>
      <c r="G142" s="51"/>
      <c r="H142" s="51"/>
      <c r="I142" s="51"/>
      <c r="J142" s="51"/>
      <c r="K142" s="51"/>
      <c r="L142" s="51"/>
      <c r="M142" s="51"/>
      <c r="N142" s="51"/>
      <c r="O142" s="51"/>
      <c r="P142" s="51"/>
      <c r="Q142" s="51"/>
      <c r="R142" s="56"/>
      <c r="W142"/>
      <c r="X142" s="5"/>
    </row>
    <row r="143" spans="2:24" x14ac:dyDescent="0.3">
      <c r="B143" s="51"/>
      <c r="C143" s="51"/>
      <c r="D143" s="51"/>
      <c r="E143" s="51"/>
      <c r="F143" s="51"/>
      <c r="G143" s="51"/>
      <c r="H143" s="51"/>
      <c r="I143" s="51"/>
      <c r="J143" s="51"/>
      <c r="K143" s="51"/>
      <c r="L143" s="51"/>
      <c r="M143" s="51"/>
      <c r="N143" s="51"/>
      <c r="O143" s="51"/>
      <c r="P143" s="51"/>
      <c r="Q143" s="51"/>
      <c r="R143" s="56"/>
      <c r="W143"/>
      <c r="X143" s="5"/>
    </row>
    <row r="144" spans="2:24" x14ac:dyDescent="0.3">
      <c r="B144" s="51"/>
      <c r="C144" s="51"/>
      <c r="D144" s="51"/>
      <c r="E144" s="51"/>
      <c r="F144" s="51"/>
      <c r="G144" s="51"/>
      <c r="H144" s="51"/>
      <c r="I144" s="51"/>
      <c r="J144" s="51"/>
      <c r="K144" s="51"/>
      <c r="L144" s="51"/>
      <c r="M144" s="51"/>
      <c r="N144" s="51"/>
      <c r="O144" s="51"/>
      <c r="P144" s="51"/>
      <c r="Q144" s="51"/>
      <c r="R144" s="56"/>
      <c r="W144"/>
      <c r="X144" s="5"/>
    </row>
    <row r="145" spans="2:24" x14ac:dyDescent="0.3">
      <c r="B145" s="51"/>
      <c r="C145" s="51"/>
      <c r="D145" s="51"/>
      <c r="E145" s="51"/>
      <c r="F145" s="51"/>
      <c r="G145" s="51"/>
      <c r="H145" s="51"/>
      <c r="I145" s="51"/>
      <c r="J145" s="51"/>
      <c r="K145" s="51"/>
      <c r="L145" s="51"/>
      <c r="M145" s="51"/>
      <c r="N145" s="51"/>
      <c r="O145" s="51"/>
      <c r="P145" s="51"/>
      <c r="Q145" s="51"/>
      <c r="R145" s="56"/>
      <c r="W145"/>
      <c r="X145" s="5"/>
    </row>
    <row r="146" spans="2:24" x14ac:dyDescent="0.3">
      <c r="B146" s="51"/>
      <c r="C146" s="51"/>
      <c r="D146" s="51"/>
      <c r="E146" s="51"/>
      <c r="F146" s="51"/>
      <c r="G146" s="51"/>
      <c r="H146" s="51"/>
      <c r="I146" s="51"/>
      <c r="J146" s="51"/>
      <c r="K146" s="51"/>
      <c r="L146" s="51"/>
      <c r="M146" s="51"/>
      <c r="N146" s="51"/>
      <c r="O146" s="51"/>
      <c r="P146" s="51"/>
      <c r="Q146" s="51"/>
      <c r="R146" s="56"/>
      <c r="W146"/>
      <c r="X146" s="5"/>
    </row>
    <row r="147" spans="2:24" x14ac:dyDescent="0.3">
      <c r="B147" s="51"/>
      <c r="C147" s="51"/>
      <c r="D147" s="51"/>
      <c r="E147" s="51"/>
      <c r="F147" s="51"/>
      <c r="G147" s="51"/>
      <c r="H147" s="51"/>
      <c r="I147" s="51"/>
      <c r="J147" s="51"/>
      <c r="K147" s="51"/>
      <c r="L147" s="51"/>
      <c r="M147" s="51"/>
      <c r="N147" s="51"/>
      <c r="O147" s="51"/>
      <c r="P147" s="51"/>
      <c r="Q147" s="51"/>
      <c r="R147" s="56"/>
      <c r="W147"/>
      <c r="X147" s="5"/>
    </row>
    <row r="148" spans="2:24" x14ac:dyDescent="0.3">
      <c r="B148" s="51"/>
      <c r="C148" s="51"/>
      <c r="D148" s="51"/>
      <c r="E148" s="51"/>
      <c r="F148" s="51"/>
      <c r="G148" s="51"/>
      <c r="H148" s="51"/>
      <c r="I148" s="51"/>
      <c r="J148" s="51"/>
      <c r="K148" s="51"/>
      <c r="L148" s="51"/>
      <c r="M148" s="51"/>
      <c r="N148" s="51"/>
      <c r="O148" s="51"/>
      <c r="P148" s="51"/>
      <c r="Q148" s="51"/>
      <c r="R148" s="56"/>
      <c r="W148"/>
      <c r="X148" s="5"/>
    </row>
    <row r="149" spans="2:24" x14ac:dyDescent="0.3">
      <c r="B149" s="51"/>
      <c r="C149" s="51"/>
      <c r="D149" s="51"/>
      <c r="E149" s="51"/>
      <c r="F149" s="51"/>
      <c r="G149" s="51"/>
      <c r="H149" s="51"/>
      <c r="I149" s="51"/>
      <c r="J149" s="51"/>
      <c r="K149" s="51"/>
      <c r="L149" s="51"/>
      <c r="M149" s="51"/>
      <c r="N149" s="51"/>
      <c r="O149" s="51"/>
      <c r="P149" s="51"/>
      <c r="Q149" s="51"/>
      <c r="R149" s="56"/>
      <c r="W149"/>
      <c r="X149" s="5"/>
    </row>
    <row r="150" spans="2:24" x14ac:dyDescent="0.3">
      <c r="B150" s="51"/>
      <c r="C150" s="51"/>
      <c r="D150" s="51"/>
      <c r="E150" s="51"/>
      <c r="F150" s="51"/>
      <c r="G150" s="51"/>
      <c r="H150" s="51"/>
      <c r="I150" s="51"/>
      <c r="J150" s="51"/>
      <c r="K150" s="51"/>
      <c r="L150" s="51"/>
      <c r="M150" s="51"/>
      <c r="N150" s="51"/>
      <c r="O150" s="51"/>
      <c r="P150" s="51"/>
      <c r="Q150" s="51"/>
      <c r="R150" s="56"/>
      <c r="W150"/>
      <c r="X150" s="5"/>
    </row>
    <row r="151" spans="2:24" x14ac:dyDescent="0.3">
      <c r="B151" s="51"/>
      <c r="C151" s="51"/>
      <c r="D151" s="51"/>
      <c r="E151" s="51"/>
      <c r="F151" s="51"/>
      <c r="G151" s="51"/>
      <c r="H151" s="51"/>
      <c r="I151" s="51"/>
      <c r="J151" s="51"/>
      <c r="K151" s="51"/>
      <c r="L151" s="51"/>
      <c r="M151" s="51"/>
      <c r="N151" s="51"/>
      <c r="O151" s="51"/>
      <c r="P151" s="51"/>
      <c r="Q151" s="51"/>
      <c r="R151" s="56"/>
      <c r="W151"/>
      <c r="X151" s="5"/>
    </row>
    <row r="152" spans="2:24" x14ac:dyDescent="0.3">
      <c r="B152" s="51"/>
      <c r="C152" s="51"/>
      <c r="D152" s="51"/>
      <c r="E152" s="51"/>
      <c r="F152" s="51"/>
      <c r="G152" s="51"/>
      <c r="H152" s="51"/>
      <c r="I152" s="51"/>
      <c r="J152" s="51"/>
      <c r="K152" s="51"/>
      <c r="L152" s="51"/>
      <c r="M152" s="51"/>
      <c r="N152" s="51"/>
      <c r="O152" s="51"/>
      <c r="P152" s="51"/>
      <c r="Q152" s="51"/>
      <c r="R152" s="56"/>
      <c r="W152"/>
      <c r="X152" s="5"/>
    </row>
    <row r="153" spans="2:24" x14ac:dyDescent="0.3">
      <c r="B153" s="51"/>
      <c r="C153" s="51"/>
      <c r="D153" s="51"/>
      <c r="E153" s="51"/>
      <c r="F153" s="51"/>
      <c r="G153" s="51"/>
      <c r="H153" s="51"/>
      <c r="I153" s="51"/>
      <c r="J153" s="51"/>
      <c r="K153" s="51"/>
      <c r="L153" s="51"/>
      <c r="M153" s="51"/>
      <c r="N153" s="51"/>
      <c r="O153" s="51"/>
      <c r="P153" s="51"/>
      <c r="Q153" s="51"/>
      <c r="R153" s="56"/>
      <c r="W153"/>
      <c r="X153" s="5"/>
    </row>
    <row r="154" spans="2:24" x14ac:dyDescent="0.3">
      <c r="B154" s="51"/>
      <c r="C154" s="51"/>
      <c r="D154" s="51"/>
      <c r="E154" s="51"/>
      <c r="F154" s="51"/>
      <c r="G154" s="51"/>
      <c r="H154" s="51"/>
      <c r="I154" s="51"/>
      <c r="J154" s="51"/>
      <c r="K154" s="51"/>
      <c r="L154" s="51"/>
      <c r="M154" s="51"/>
      <c r="N154" s="51"/>
      <c r="O154" s="51"/>
      <c r="P154" s="51"/>
      <c r="Q154" s="51"/>
      <c r="R154" s="56"/>
      <c r="W154"/>
      <c r="X154" s="5"/>
    </row>
    <row r="155" spans="2:24" x14ac:dyDescent="0.3">
      <c r="B155" s="51"/>
      <c r="C155" s="51"/>
      <c r="D155" s="51"/>
      <c r="E155" s="51"/>
      <c r="F155" s="51"/>
      <c r="G155" s="51"/>
      <c r="H155" s="51"/>
      <c r="I155" s="51"/>
      <c r="J155" s="51"/>
      <c r="K155" s="51"/>
      <c r="L155" s="51"/>
      <c r="M155" s="51"/>
      <c r="N155" s="51"/>
      <c r="O155" s="51"/>
      <c r="P155" s="51"/>
      <c r="Q155" s="51"/>
      <c r="R155" s="51"/>
      <c r="W155"/>
      <c r="X155" s="5"/>
    </row>
  </sheetData>
  <mergeCells count="1">
    <mergeCell ref="B6:G6"/>
  </mergeCells>
  <dataValidations count="13">
    <dataValidation type="whole" allowBlank="1" showInputMessage="1" showErrorMessage="1" errorTitle="Erreur de valeur" error="Mois de fin doit etre entre 1 et 240" sqref="F10" xr:uid="{11B60BF0-9933-418D-940A-D103F38DF124}">
      <formula1>1</formula1>
      <formula2>240</formula2>
    </dataValidation>
    <dataValidation type="whole" allowBlank="1" showInputMessage="1" showErrorMessage="1" errorTitle="Erreur de valeur" error="Mois de début doit etre entre 1 et 240_x000a_" sqref="F9" xr:uid="{7955EFFE-42A2-4CD9-8510-42DDAE6F1487}">
      <formula1>1</formula1>
      <formula2>240</formula2>
    </dataValidation>
    <dataValidation type="list" allowBlank="1" showInputMessage="1" showErrorMessage="1" sqref="F11" xr:uid="{B8DA4184-FDDF-4D33-8248-EB69AD4ADEBF}">
      <formula1>_LIST_TYPE_STRESS</formula1>
    </dataValidation>
    <dataValidation type="list" allowBlank="1" showInputMessage="1" sqref="C15" xr:uid="{00000000-0002-0000-0200-000003000000}">
      <formula1>_STRESS_PN_CONTRAT</formula1>
    </dataValidation>
    <dataValidation type="list" allowBlank="1" showInputMessage="1" sqref="C14" xr:uid="{00000000-0002-0000-0200-000004000000}">
      <formula1>_STRESS_PN_INDEX</formula1>
    </dataValidation>
    <dataValidation type="list" allowBlank="1" showInputMessage="1" sqref="C17" xr:uid="{7DD2919C-FDDC-423C-8C1E-5171231DD356}">
      <formula1>_STRESS_PN_PERIMETRE</formula1>
    </dataValidation>
    <dataValidation type="list" allowBlank="1" showInputMessage="1" showErrorMessage="1" sqref="C13" xr:uid="{00000000-0002-0000-0200-000000000000}">
      <formula1>_STRESS_PN_DEVISE</formula1>
    </dataValidation>
    <dataValidation type="list" allowBlank="1" showInputMessage="1" sqref="C18" xr:uid="{DB6A874F-E97E-4477-B74D-A659A4AE4ABA}">
      <formula1>_STRESS_PN_METIER</formula1>
    </dataValidation>
    <dataValidation type="list" allowBlank="1" showInputMessage="1" sqref="C19" xr:uid="{2C0CA03D-C197-4460-8115-D9368DFA92D4}">
      <formula1>_STRESS_PN_SOUS_METIER</formula1>
    </dataValidation>
    <dataValidation type="list" allowBlank="1" showInputMessage="1" sqref="C16" xr:uid="{81A5C2EC-A33A-4611-AF71-34BE9EC324E1}">
      <formula1>_STRESS_PN_POSTE</formula1>
    </dataValidation>
    <dataValidation type="list" allowBlank="1" showInputMessage="1" sqref="C20" xr:uid="{3070EE0E-03A3-4B24-8DA6-3616B03B95B7}">
      <formula1>_STRESS_PN_ZONE_GEO</formula1>
    </dataValidation>
    <dataValidation type="list" allowBlank="1" showInputMessage="1" sqref="C21" xr:uid="{38C8F164-E1B3-4A63-8B3F-B2648434B21A}">
      <formula1>_STRESS_PN_SOUS_ZONE</formula1>
    </dataValidation>
    <dataValidation type="list" allowBlank="1" showInputMessage="1" showErrorMessage="1" sqref="C12" xr:uid="{66535F2A-09D6-4F2C-B08A-A9254F9BD176}">
      <formula1>_STRESS_PN_ETAB2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Configuration!$T$6:$T$9</xm:f>
          </x14:formula1>
          <xm:sqref>C11</xm:sqref>
        </x14:dataValidation>
        <x14:dataValidation type="list" allowBlank="1" showInputMessage="1" showErrorMessage="1" xr:uid="{00000000-0002-0000-0200-000002000000}">
          <x14:formula1>
            <xm:f>Configuration!$Q$6:$Q$9</xm:f>
          </x14:formula1>
          <xm:sqref>C10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1E77A-79DF-42C7-BB24-84E0E05D8FC5}">
  <sheetPr codeName="Feuil5">
    <tabColor rgb="FFAC75D5"/>
  </sheetPr>
  <dimension ref="B6:CK49"/>
  <sheetViews>
    <sheetView showGridLines="0" topLeftCell="A4" zoomScale="90" zoomScaleNormal="90" workbookViewId="0">
      <selection activeCell="I19" sqref="I19"/>
    </sheetView>
  </sheetViews>
  <sheetFormatPr baseColWidth="10" defaultColWidth="11.5546875" defaultRowHeight="14.4" x14ac:dyDescent="0.3"/>
  <cols>
    <col min="1" max="1" width="15.5546875" style="55" customWidth="1"/>
    <col min="2" max="2" width="18.44140625" style="55" customWidth="1"/>
    <col min="3" max="3" width="17.88671875" style="55" customWidth="1"/>
    <col min="4" max="4" width="13.5546875" style="55" customWidth="1"/>
    <col min="5" max="5" width="18.109375" style="55" customWidth="1"/>
    <col min="6" max="6" width="16.88671875" style="55" customWidth="1"/>
    <col min="7" max="7" width="18.6640625" style="55" customWidth="1"/>
    <col min="8" max="10" width="11.5546875" style="55"/>
    <col min="11" max="14" width="11.5546875" style="45"/>
    <col min="15" max="15" width="15.109375" style="45" customWidth="1"/>
    <col min="16" max="16" width="19.44140625" style="45" customWidth="1"/>
    <col min="17" max="17" width="16.109375" style="45" customWidth="1"/>
    <col min="18" max="19" width="11.109375" style="55" customWidth="1"/>
    <col min="20" max="20" width="21.44140625" style="55" customWidth="1"/>
    <col min="21" max="21" width="13.5546875" style="55" customWidth="1"/>
    <col min="22" max="22" width="21.109375" style="55" customWidth="1"/>
    <col min="23" max="23" width="18.44140625" style="55" customWidth="1"/>
    <col min="24" max="24" width="15.5546875" style="55" customWidth="1"/>
    <col min="25" max="26" width="19.5546875" style="55" customWidth="1"/>
    <col min="27" max="27" width="16.33203125" style="45" customWidth="1"/>
    <col min="28" max="86" width="11.5546875" style="45"/>
    <col min="87" max="16384" width="11.5546875" style="55"/>
  </cols>
  <sheetData>
    <row r="6" spans="2:86" x14ac:dyDescent="0.3">
      <c r="K6" s="55"/>
      <c r="L6" s="55"/>
      <c r="M6" s="55"/>
      <c r="N6" s="55"/>
      <c r="O6" s="55"/>
      <c r="P6" s="55"/>
      <c r="Q6" s="55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M6" s="55"/>
      <c r="AN6" s="55"/>
      <c r="AO6" s="55"/>
      <c r="AP6" s="55"/>
      <c r="AQ6" s="55"/>
      <c r="AR6" s="55"/>
      <c r="AS6" s="55"/>
      <c r="AT6" s="55"/>
      <c r="AU6" s="55"/>
      <c r="AV6" s="55"/>
      <c r="AW6" s="55"/>
      <c r="AX6" s="55"/>
      <c r="AY6" s="55"/>
      <c r="AZ6" s="55"/>
      <c r="BA6" s="55"/>
      <c r="BB6" s="55"/>
      <c r="BC6" s="55"/>
      <c r="BD6" s="55"/>
      <c r="BE6" s="55"/>
      <c r="BF6" s="55"/>
      <c r="BG6" s="55"/>
      <c r="BH6" s="55"/>
      <c r="BI6" s="55"/>
      <c r="BJ6" s="55"/>
      <c r="BK6" s="55"/>
      <c r="BL6" s="55"/>
      <c r="BM6" s="55"/>
      <c r="BN6" s="55"/>
      <c r="BO6" s="55"/>
      <c r="BP6" s="55"/>
      <c r="BQ6" s="55"/>
      <c r="BR6" s="55"/>
      <c r="BS6" s="55"/>
      <c r="BT6" s="55"/>
      <c r="BU6" s="55"/>
      <c r="BV6" s="55"/>
      <c r="BW6" s="55"/>
      <c r="BX6" s="55"/>
      <c r="BY6" s="55"/>
      <c r="BZ6" s="55"/>
      <c r="CA6" s="55"/>
      <c r="CB6" s="55"/>
      <c r="CC6" s="55"/>
      <c r="CD6" s="55"/>
      <c r="CE6" s="55"/>
      <c r="CF6" s="55"/>
      <c r="CG6" s="55"/>
      <c r="CH6" s="55"/>
    </row>
    <row r="7" spans="2:86" s="102" customFormat="1" ht="16.5" customHeight="1" x14ac:dyDescent="0.3">
      <c r="B7" s="311" t="s">
        <v>1500</v>
      </c>
      <c r="C7" s="311"/>
      <c r="D7" s="311"/>
      <c r="E7" s="311"/>
      <c r="F7" s="311"/>
      <c r="G7" s="311"/>
      <c r="R7" s="103"/>
    </row>
    <row r="8" spans="2:86" ht="15" thickBot="1" x14ac:dyDescent="0.35">
      <c r="K8" s="55"/>
      <c r="L8" s="55"/>
      <c r="M8" s="55"/>
      <c r="N8" s="55"/>
      <c r="O8" s="55"/>
      <c r="P8" s="55"/>
      <c r="Q8" s="55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M8" s="55"/>
      <c r="AN8" s="55"/>
      <c r="AO8" s="55"/>
      <c r="AP8" s="55"/>
      <c r="AQ8" s="55"/>
      <c r="AR8" s="55"/>
      <c r="AS8" s="55"/>
      <c r="AT8" s="55"/>
      <c r="AU8" s="55"/>
      <c r="AV8" s="55"/>
      <c r="AW8" s="55"/>
      <c r="AX8" s="55"/>
      <c r="AY8" s="55"/>
      <c r="AZ8" s="55"/>
      <c r="BA8" s="55"/>
      <c r="BB8" s="55"/>
      <c r="BC8" s="55"/>
      <c r="BD8" s="55"/>
      <c r="BE8" s="55"/>
      <c r="BF8" s="55"/>
      <c r="BG8" s="55"/>
      <c r="BH8" s="55"/>
      <c r="BI8" s="55"/>
      <c r="BJ8" s="55"/>
      <c r="BK8" s="55"/>
      <c r="BL8" s="55"/>
      <c r="BM8" s="55"/>
      <c r="BN8" s="55"/>
      <c r="BO8" s="55"/>
      <c r="BP8" s="55"/>
      <c r="BQ8" s="55"/>
      <c r="BR8" s="55"/>
      <c r="BS8" s="55"/>
      <c r="BT8" s="55"/>
      <c r="BU8" s="55"/>
      <c r="BV8" s="55"/>
      <c r="BW8" s="55"/>
      <c r="BX8" s="55"/>
      <c r="BY8" s="55"/>
      <c r="BZ8" s="55"/>
      <c r="CA8" s="55"/>
      <c r="CB8" s="55"/>
      <c r="CC8" s="55"/>
      <c r="CD8" s="55"/>
      <c r="CE8" s="55"/>
      <c r="CF8" s="55"/>
      <c r="CG8" s="55"/>
      <c r="CH8" s="55"/>
    </row>
    <row r="9" spans="2:86" ht="7.35" customHeight="1" x14ac:dyDescent="0.3">
      <c r="B9" s="31"/>
      <c r="C9" s="21"/>
      <c r="D9" s="21"/>
      <c r="E9" s="21"/>
      <c r="F9" s="21"/>
      <c r="G9" s="22"/>
      <c r="K9" s="55"/>
      <c r="L9" s="55"/>
      <c r="M9" s="55"/>
      <c r="N9" s="55"/>
      <c r="O9" s="55"/>
      <c r="P9" s="55"/>
      <c r="Q9" s="55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M9" s="55"/>
      <c r="AN9" s="55"/>
      <c r="AO9" s="55"/>
      <c r="AP9" s="55"/>
      <c r="AQ9" s="55"/>
      <c r="AR9" s="55"/>
      <c r="AS9" s="55"/>
      <c r="AT9" s="55"/>
      <c r="AU9" s="55"/>
      <c r="AV9" s="55"/>
      <c r="AW9" s="55"/>
      <c r="AX9" s="55"/>
      <c r="AY9" s="55"/>
      <c r="AZ9" s="55"/>
      <c r="BA9" s="55"/>
      <c r="BB9" s="55"/>
      <c r="BC9" s="55"/>
      <c r="BD9" s="55"/>
      <c r="BE9" s="55"/>
      <c r="BF9" s="55"/>
      <c r="BG9" s="55"/>
      <c r="BH9" s="55"/>
      <c r="BI9" s="55"/>
      <c r="BJ9" s="55"/>
      <c r="BK9" s="55"/>
      <c r="BL9" s="55"/>
      <c r="BM9" s="55"/>
      <c r="BN9" s="55"/>
      <c r="BO9" s="55"/>
      <c r="BP9" s="55"/>
      <c r="BQ9" s="55"/>
      <c r="BR9" s="55"/>
      <c r="BS9" s="55"/>
      <c r="BT9" s="55"/>
      <c r="BU9" s="55"/>
      <c r="BV9" s="55"/>
      <c r="BW9" s="55"/>
      <c r="BX9" s="55"/>
      <c r="BY9" s="55"/>
      <c r="BZ9" s="55"/>
      <c r="CA9" s="55"/>
      <c r="CB9" s="55"/>
      <c r="CC9" s="55"/>
      <c r="CD9" s="55"/>
      <c r="CE9" s="55"/>
      <c r="CF9" s="55"/>
      <c r="CG9" s="55"/>
      <c r="CH9" s="55"/>
    </row>
    <row r="10" spans="2:86" ht="15.6" customHeight="1" x14ac:dyDescent="0.3">
      <c r="B10" s="46" t="s">
        <v>262</v>
      </c>
      <c r="C10" s="128" t="s">
        <v>1547</v>
      </c>
      <c r="D10" s="129"/>
      <c r="E10" s="130" t="s">
        <v>279</v>
      </c>
      <c r="F10" s="131">
        <v>120</v>
      </c>
      <c r="G10" s="40"/>
      <c r="K10" s="55"/>
      <c r="L10" s="55"/>
      <c r="M10" s="55"/>
      <c r="N10" s="55"/>
      <c r="O10" s="55"/>
      <c r="P10" s="55"/>
      <c r="Q10" s="55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M10" s="55"/>
      <c r="AN10" s="55"/>
      <c r="AO10" s="55"/>
      <c r="AP10" s="55"/>
      <c r="AQ10" s="55"/>
      <c r="AR10" s="55"/>
      <c r="AS10" s="55"/>
      <c r="AT10" s="55"/>
      <c r="AU10" s="55"/>
      <c r="AV10" s="55"/>
      <c r="AW10" s="55"/>
      <c r="AX10" s="55"/>
      <c r="AY10" s="55"/>
      <c r="AZ10" s="55"/>
      <c r="BA10" s="55"/>
      <c r="BB10" s="55"/>
      <c r="BC10" s="55"/>
      <c r="BD10" s="55"/>
      <c r="BE10" s="55"/>
      <c r="BF10" s="55"/>
      <c r="BG10" s="55"/>
      <c r="BH10" s="55"/>
      <c r="BI10" s="55"/>
      <c r="BJ10" s="55"/>
      <c r="BK10" s="55"/>
      <c r="BL10" s="55"/>
      <c r="BM10" s="55"/>
      <c r="BN10" s="55"/>
      <c r="BO10" s="55"/>
      <c r="BP10" s="55"/>
      <c r="BQ10" s="55"/>
      <c r="BR10" s="55"/>
      <c r="BS10" s="55"/>
      <c r="BT10" s="55"/>
      <c r="BU10" s="55"/>
      <c r="BV10" s="55"/>
      <c r="BW10" s="55"/>
      <c r="BX10" s="55"/>
      <c r="BY10" s="55"/>
      <c r="BZ10" s="55"/>
      <c r="CA10" s="55"/>
      <c r="CB10" s="55"/>
      <c r="CC10" s="55"/>
      <c r="CD10" s="55"/>
      <c r="CE10" s="55"/>
      <c r="CF10" s="55"/>
      <c r="CG10" s="55"/>
      <c r="CH10" s="55"/>
    </row>
    <row r="11" spans="2:86" ht="15.6" x14ac:dyDescent="0.3">
      <c r="B11" s="46" t="s">
        <v>4578</v>
      </c>
      <c r="C11" s="128" t="s">
        <v>4580</v>
      </c>
      <c r="D11" s="129"/>
      <c r="E11" s="130" t="s">
        <v>1493</v>
      </c>
      <c r="F11" s="131">
        <v>15</v>
      </c>
      <c r="G11" s="40"/>
      <c r="K11" s="55"/>
      <c r="L11" s="55"/>
      <c r="M11" s="55"/>
      <c r="N11" s="55"/>
      <c r="O11" s="55"/>
      <c r="P11" s="55"/>
      <c r="Q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  <c r="BN11" s="55"/>
      <c r="BO11" s="55"/>
      <c r="BP11" s="55"/>
      <c r="BQ11" s="55"/>
      <c r="BR11" s="55"/>
      <c r="BS11" s="55"/>
      <c r="BT11" s="55"/>
      <c r="BU11" s="55"/>
      <c r="BV11" s="55"/>
      <c r="BW11" s="55"/>
      <c r="BX11" s="55"/>
      <c r="BY11" s="55"/>
      <c r="BZ11" s="55"/>
      <c r="CA11" s="55"/>
      <c r="CB11" s="55"/>
      <c r="CC11" s="55"/>
      <c r="CD11" s="55"/>
      <c r="CE11" s="55"/>
      <c r="CF11" s="55"/>
      <c r="CG11" s="55"/>
      <c r="CH11" s="55"/>
    </row>
    <row r="12" spans="2:86" ht="15.6" x14ac:dyDescent="0.3">
      <c r="B12" s="46" t="s">
        <v>280</v>
      </c>
      <c r="C12" s="131" t="s">
        <v>292</v>
      </c>
      <c r="D12" s="129"/>
      <c r="E12" s="130" t="s">
        <v>2657</v>
      </c>
      <c r="F12" s="131" t="s">
        <v>1502</v>
      </c>
      <c r="G12" s="40"/>
      <c r="K12" s="55"/>
      <c r="L12" s="55"/>
      <c r="M12" s="55"/>
      <c r="N12" s="55"/>
      <c r="O12" s="55"/>
      <c r="P12" s="55"/>
      <c r="Q12" s="55"/>
      <c r="AA12" s="55"/>
      <c r="AB12" s="55"/>
      <c r="AC12" s="55"/>
      <c r="AD12" s="55"/>
      <c r="AE12" s="55"/>
      <c r="AF12" s="55"/>
      <c r="AG12" s="55"/>
      <c r="AH12" s="55"/>
      <c r="AI12" s="55"/>
      <c r="AJ12" s="55"/>
      <c r="AK12" s="55"/>
      <c r="AL12" s="55"/>
      <c r="AM12" s="55"/>
      <c r="AN12" s="55"/>
      <c r="AO12" s="55"/>
      <c r="AP12" s="55"/>
      <c r="AQ12" s="55"/>
      <c r="AR12" s="55"/>
      <c r="AS12" s="55"/>
      <c r="AT12" s="55"/>
      <c r="AU12" s="55"/>
      <c r="AV12" s="55"/>
      <c r="AW12" s="55"/>
      <c r="AX12" s="55"/>
      <c r="AY12" s="55"/>
      <c r="AZ12" s="55"/>
      <c r="BA12" s="55"/>
      <c r="BB12" s="55"/>
      <c r="BC12" s="55"/>
      <c r="BD12" s="55"/>
      <c r="BE12" s="55"/>
      <c r="BF12" s="55"/>
      <c r="BG12" s="55"/>
      <c r="BH12" s="55"/>
      <c r="BI12" s="55"/>
      <c r="BJ12" s="55"/>
      <c r="BK12" s="55"/>
      <c r="BL12" s="55"/>
      <c r="BM12" s="55"/>
      <c r="BN12" s="55"/>
      <c r="BO12" s="55"/>
      <c r="BP12" s="55"/>
      <c r="BQ12" s="55"/>
      <c r="BR12" s="55"/>
      <c r="BS12" s="55"/>
      <c r="BT12" s="55"/>
      <c r="BU12" s="55"/>
      <c r="BV12" s="55"/>
      <c r="BW12" s="55"/>
      <c r="BX12" s="55"/>
      <c r="BY12" s="55"/>
      <c r="BZ12" s="55"/>
      <c r="CA12" s="55"/>
      <c r="CB12" s="55"/>
      <c r="CC12" s="55"/>
      <c r="CD12" s="55"/>
      <c r="CE12" s="55"/>
      <c r="CF12" s="55"/>
      <c r="CG12" s="55"/>
      <c r="CH12" s="55"/>
    </row>
    <row r="13" spans="2:86" ht="15.6" x14ac:dyDescent="0.3">
      <c r="B13" s="46" t="s">
        <v>1484</v>
      </c>
      <c r="C13" s="131" t="s">
        <v>415</v>
      </c>
      <c r="D13" s="129"/>
      <c r="E13" s="130" t="s">
        <v>1494</v>
      </c>
      <c r="F13" s="131" t="s">
        <v>1512</v>
      </c>
      <c r="G13" s="40"/>
      <c r="K13" s="55"/>
      <c r="L13" s="55"/>
      <c r="M13" s="55"/>
      <c r="N13" s="55"/>
      <c r="O13" s="55"/>
      <c r="P13" s="55"/>
      <c r="Q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55"/>
      <c r="BI13" s="55"/>
      <c r="BJ13" s="55"/>
      <c r="BK13" s="55"/>
      <c r="BL13" s="55"/>
      <c r="BM13" s="55"/>
      <c r="BN13" s="55"/>
      <c r="BO13" s="55"/>
      <c r="BP13" s="55"/>
      <c r="BQ13" s="55"/>
      <c r="BR13" s="55"/>
      <c r="BS13" s="55"/>
      <c r="BT13" s="55"/>
      <c r="BU13" s="55"/>
      <c r="BV13" s="55"/>
      <c r="BW13" s="55"/>
      <c r="BX13" s="55"/>
      <c r="BY13" s="55"/>
      <c r="BZ13" s="55"/>
      <c r="CA13" s="55"/>
      <c r="CB13" s="55"/>
      <c r="CC13" s="55"/>
      <c r="CD13" s="55"/>
      <c r="CE13" s="55"/>
      <c r="CF13" s="55"/>
      <c r="CG13" s="55"/>
      <c r="CH13" s="55"/>
    </row>
    <row r="14" spans="2:86" ht="15.6" x14ac:dyDescent="0.3">
      <c r="B14" s="46" t="s">
        <v>1397</v>
      </c>
      <c r="C14" s="131" t="s">
        <v>434</v>
      </c>
      <c r="D14" s="129"/>
      <c r="E14" s="130" t="s">
        <v>2655</v>
      </c>
      <c r="F14" s="131" t="s">
        <v>1506</v>
      </c>
      <c r="G14" s="40"/>
      <c r="K14" s="55"/>
      <c r="L14" s="55"/>
      <c r="M14" s="55"/>
      <c r="N14" s="55"/>
      <c r="O14" s="55"/>
      <c r="P14" s="55"/>
      <c r="Q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55"/>
      <c r="BI14" s="55"/>
      <c r="BJ14" s="55"/>
      <c r="BK14" s="55"/>
      <c r="BL14" s="55"/>
      <c r="BM14" s="55"/>
      <c r="BN14" s="55"/>
      <c r="BO14" s="55"/>
      <c r="BP14" s="55"/>
      <c r="BQ14" s="55"/>
      <c r="BR14" s="55"/>
      <c r="BS14" s="55"/>
      <c r="BT14" s="55"/>
      <c r="BU14" s="55"/>
      <c r="BV14" s="55"/>
      <c r="BW14" s="55"/>
      <c r="BX14" s="55"/>
      <c r="BY14" s="55"/>
      <c r="BZ14" s="55"/>
      <c r="CA14" s="55"/>
      <c r="CB14" s="55"/>
      <c r="CC14" s="55"/>
      <c r="CD14" s="55"/>
      <c r="CE14" s="55"/>
      <c r="CF14" s="55"/>
      <c r="CG14" s="55"/>
      <c r="CH14" s="55"/>
    </row>
    <row r="15" spans="2:86" ht="15.6" x14ac:dyDescent="0.3">
      <c r="B15" s="46" t="s">
        <v>283</v>
      </c>
      <c r="C15" s="131" t="s">
        <v>1579</v>
      </c>
      <c r="D15" s="129"/>
      <c r="E15" s="130" t="s">
        <v>2656</v>
      </c>
      <c r="F15" s="131" t="s">
        <v>1506</v>
      </c>
      <c r="G15" s="40"/>
      <c r="K15" s="55"/>
      <c r="L15" s="55"/>
      <c r="M15" s="55"/>
      <c r="N15" s="55"/>
      <c r="O15" s="55"/>
      <c r="P15" s="55"/>
      <c r="Q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55"/>
      <c r="BI15" s="55"/>
      <c r="BJ15" s="55"/>
      <c r="BK15" s="55"/>
      <c r="BL15" s="55"/>
      <c r="BM15" s="55"/>
      <c r="BN15" s="55"/>
      <c r="BO15" s="55"/>
      <c r="BP15" s="55"/>
      <c r="BQ15" s="55"/>
      <c r="BR15" s="55"/>
      <c r="BS15" s="55"/>
      <c r="BT15" s="55"/>
      <c r="BU15" s="55"/>
      <c r="BV15" s="55"/>
      <c r="BW15" s="55"/>
      <c r="BX15" s="55"/>
      <c r="BY15" s="55"/>
      <c r="BZ15" s="55"/>
      <c r="CA15" s="55"/>
      <c r="CB15" s="55"/>
      <c r="CC15" s="55"/>
      <c r="CD15" s="55"/>
      <c r="CE15" s="55"/>
      <c r="CF15" s="55"/>
      <c r="CG15" s="55"/>
      <c r="CH15" s="55"/>
    </row>
    <row r="16" spans="2:86" ht="15.6" x14ac:dyDescent="0.3">
      <c r="B16" s="46" t="s">
        <v>1485</v>
      </c>
      <c r="C16" s="131" t="s">
        <v>290</v>
      </c>
      <c r="D16" s="129"/>
      <c r="E16" s="130" t="s">
        <v>1495</v>
      </c>
      <c r="F16" s="131" t="s">
        <v>161</v>
      </c>
      <c r="G16" s="40"/>
      <c r="K16" s="55"/>
      <c r="L16" s="55"/>
      <c r="M16" s="55"/>
      <c r="N16" s="55"/>
      <c r="O16" s="55"/>
      <c r="P16" s="55"/>
      <c r="Q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55"/>
      <c r="BI16" s="55"/>
      <c r="BJ16" s="55"/>
      <c r="BK16" s="55"/>
      <c r="BL16" s="55"/>
      <c r="BM16" s="55"/>
      <c r="BN16" s="55"/>
      <c r="BO16" s="55"/>
      <c r="BP16" s="55"/>
      <c r="BQ16" s="55"/>
      <c r="BR16" s="55"/>
      <c r="BS16" s="55"/>
      <c r="BT16" s="55"/>
      <c r="BU16" s="55"/>
      <c r="BV16" s="55"/>
      <c r="BW16" s="55"/>
      <c r="BX16" s="55"/>
      <c r="BY16" s="55"/>
      <c r="BZ16" s="55"/>
      <c r="CA16" s="55"/>
      <c r="CB16" s="55"/>
      <c r="CC16" s="55"/>
      <c r="CD16" s="55"/>
      <c r="CE16" s="55"/>
      <c r="CF16" s="55"/>
      <c r="CG16" s="55"/>
      <c r="CH16" s="55"/>
    </row>
    <row r="17" spans="2:89" ht="15.6" x14ac:dyDescent="0.3">
      <c r="B17" s="46" t="s">
        <v>265</v>
      </c>
      <c r="C17" s="131" t="s">
        <v>160</v>
      </c>
      <c r="D17" s="129"/>
      <c r="E17" s="130" t="s">
        <v>1496</v>
      </c>
      <c r="F17" s="131" t="s">
        <v>1508</v>
      </c>
      <c r="G17" s="40"/>
      <c r="K17" s="55"/>
      <c r="L17" s="55"/>
      <c r="M17" s="55"/>
      <c r="N17" s="55"/>
      <c r="O17" s="55"/>
      <c r="P17" s="55"/>
      <c r="Q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55"/>
      <c r="BI17" s="55"/>
      <c r="BJ17" s="55"/>
      <c r="BK17" s="55"/>
      <c r="BL17" s="55"/>
      <c r="BM17" s="55"/>
      <c r="BN17" s="55"/>
      <c r="BO17" s="55"/>
      <c r="BP17" s="55"/>
      <c r="BQ17" s="55"/>
      <c r="BR17" s="55"/>
      <c r="BS17" s="55"/>
      <c r="BT17" s="55"/>
      <c r="BU17" s="55"/>
      <c r="BV17" s="55"/>
      <c r="BW17" s="55"/>
      <c r="BX17" s="55"/>
      <c r="BY17" s="55"/>
      <c r="BZ17" s="55"/>
      <c r="CA17" s="55"/>
      <c r="CB17" s="55"/>
      <c r="CC17" s="55"/>
      <c r="CD17" s="55"/>
      <c r="CE17" s="55"/>
      <c r="CF17" s="55"/>
      <c r="CG17" s="55"/>
      <c r="CH17" s="55"/>
    </row>
    <row r="18" spans="2:89" ht="15.6" x14ac:dyDescent="0.3">
      <c r="B18" s="46" t="s">
        <v>4591</v>
      </c>
      <c r="C18" s="131" t="s">
        <v>4593</v>
      </c>
      <c r="D18" s="129"/>
      <c r="E18" s="130" t="s">
        <v>4574</v>
      </c>
      <c r="F18" s="131"/>
      <c r="G18" s="94"/>
      <c r="K18" s="55"/>
      <c r="L18" s="55"/>
      <c r="M18" s="55"/>
      <c r="N18" s="55"/>
      <c r="O18" s="55"/>
      <c r="P18" s="55"/>
      <c r="Q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55"/>
      <c r="BI18" s="55"/>
      <c r="BJ18" s="55"/>
      <c r="BK18" s="55"/>
      <c r="BL18" s="55"/>
      <c r="BM18" s="55"/>
      <c r="BN18" s="55"/>
      <c r="BO18" s="55"/>
      <c r="BP18" s="55"/>
      <c r="BQ18" s="55"/>
      <c r="BR18" s="55"/>
      <c r="BS18" s="55"/>
      <c r="BT18" s="55"/>
      <c r="BU18" s="55"/>
      <c r="BV18" s="55"/>
      <c r="BW18" s="55"/>
      <c r="BX18" s="55"/>
      <c r="BY18" s="55"/>
      <c r="BZ18" s="55"/>
      <c r="CA18" s="55"/>
      <c r="CB18" s="55"/>
      <c r="CC18" s="55"/>
      <c r="CD18" s="55"/>
      <c r="CE18" s="55"/>
      <c r="CF18" s="55"/>
      <c r="CG18" s="55"/>
      <c r="CH18" s="55"/>
    </row>
    <row r="19" spans="2:89" ht="15.6" x14ac:dyDescent="0.3">
      <c r="B19" s="46" t="s">
        <v>1239</v>
      </c>
      <c r="C19" s="131" t="s">
        <v>1516</v>
      </c>
      <c r="D19" s="129"/>
      <c r="E19" s="130"/>
      <c r="F19" s="131"/>
      <c r="G19" s="94"/>
      <c r="K19" s="55"/>
      <c r="L19" s="55"/>
      <c r="M19" s="55"/>
      <c r="N19" s="55"/>
      <c r="O19" s="55"/>
      <c r="P19" s="55"/>
      <c r="Q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55"/>
      <c r="BI19" s="55"/>
      <c r="BJ19" s="55"/>
      <c r="BK19" s="55"/>
      <c r="BL19" s="55"/>
      <c r="BM19" s="55"/>
      <c r="BN19" s="55"/>
      <c r="BO19" s="55"/>
      <c r="BP19" s="55"/>
      <c r="BQ19" s="55"/>
      <c r="BR19" s="55"/>
      <c r="BS19" s="55"/>
      <c r="BT19" s="55"/>
      <c r="BU19" s="55"/>
      <c r="BV19" s="55"/>
      <c r="BW19" s="55"/>
      <c r="BX19" s="55"/>
      <c r="BY19" s="55"/>
      <c r="BZ19" s="55"/>
      <c r="CA19" s="55"/>
      <c r="CB19" s="55"/>
      <c r="CC19" s="55"/>
      <c r="CD19" s="55"/>
      <c r="CE19" s="55"/>
      <c r="CF19" s="55"/>
      <c r="CG19" s="55"/>
      <c r="CH19" s="55"/>
    </row>
    <row r="20" spans="2:89" ht="16.2" thickBot="1" x14ac:dyDescent="0.35">
      <c r="B20" s="29"/>
      <c r="C20" s="112"/>
      <c r="D20" s="42"/>
      <c r="E20" s="112"/>
      <c r="F20" s="112"/>
      <c r="G20" s="113"/>
      <c r="K20" s="55"/>
      <c r="L20" s="55"/>
      <c r="M20" s="55"/>
      <c r="N20" s="55"/>
      <c r="O20" s="55"/>
      <c r="P20" s="55"/>
      <c r="Q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  <c r="BN20" s="55"/>
      <c r="BO20" s="55"/>
      <c r="BP20" s="55"/>
      <c r="BQ20" s="55"/>
      <c r="BR20" s="55"/>
      <c r="BS20" s="55"/>
      <c r="BT20" s="55"/>
      <c r="BU20" s="55"/>
      <c r="BV20" s="55"/>
      <c r="BW20" s="55"/>
      <c r="BX20" s="55"/>
      <c r="BY20" s="55"/>
      <c r="BZ20" s="55"/>
      <c r="CA20" s="55"/>
      <c r="CB20" s="55"/>
      <c r="CC20" s="55"/>
      <c r="CD20" s="55"/>
      <c r="CE20" s="55"/>
      <c r="CF20" s="55"/>
      <c r="CG20" s="55"/>
      <c r="CH20" s="55"/>
    </row>
    <row r="21" spans="2:89" ht="15.6" x14ac:dyDescent="0.3">
      <c r="D21" s="92"/>
      <c r="E21" s="92"/>
      <c r="F21" s="92"/>
      <c r="K21" s="55"/>
      <c r="L21" s="55"/>
      <c r="M21" s="55"/>
      <c r="N21" s="55"/>
      <c r="O21" s="55"/>
      <c r="P21" s="55"/>
      <c r="Q21" s="55"/>
      <c r="AA21" s="55"/>
      <c r="AB21" s="55"/>
      <c r="AC21" s="55"/>
      <c r="AD21" s="55"/>
      <c r="AE21" s="55"/>
      <c r="AF21" s="55"/>
      <c r="AG21" s="55"/>
      <c r="AH21" s="55"/>
      <c r="AI21" s="55"/>
      <c r="AJ21" s="55"/>
      <c r="AK21" s="55"/>
      <c r="AL21" s="55"/>
      <c r="AM21" s="55"/>
      <c r="AN21" s="55"/>
      <c r="AO21" s="55"/>
      <c r="AP21" s="55"/>
      <c r="AQ21" s="55"/>
      <c r="AR21" s="55"/>
      <c r="AS21" s="55"/>
      <c r="AT21" s="55"/>
      <c r="AU21" s="55"/>
      <c r="AV21" s="55"/>
      <c r="AW21" s="55"/>
      <c r="AX21" s="55"/>
      <c r="AY21" s="55"/>
      <c r="AZ21" s="55"/>
      <c r="BA21" s="55"/>
      <c r="BB21" s="55"/>
      <c r="BC21" s="55"/>
      <c r="BD21" s="55"/>
      <c r="BE21" s="55"/>
      <c r="BF21" s="55"/>
      <c r="BG21" s="55"/>
      <c r="BH21" s="55"/>
      <c r="BI21" s="55"/>
      <c r="BJ21" s="55"/>
      <c r="BK21" s="55"/>
      <c r="BL21" s="55"/>
      <c r="BM21" s="55"/>
      <c r="BN21" s="55"/>
      <c r="BO21" s="55"/>
      <c r="BP21" s="55"/>
      <c r="BQ21" s="55"/>
      <c r="BR21" s="55"/>
      <c r="BS21" s="55"/>
      <c r="BT21" s="55"/>
      <c r="BU21" s="55"/>
      <c r="BV21" s="55"/>
      <c r="BW21" s="55"/>
      <c r="BX21" s="55"/>
      <c r="BY21" s="55"/>
      <c r="BZ21" s="55"/>
      <c r="CA21" s="55"/>
      <c r="CB21" s="55"/>
      <c r="CC21" s="55"/>
      <c r="CD21" s="55"/>
      <c r="CE21" s="55"/>
      <c r="CF21" s="55"/>
      <c r="CG21" s="55"/>
      <c r="CH21" s="55"/>
    </row>
    <row r="22" spans="2:89" x14ac:dyDescent="0.3">
      <c r="K22" s="55"/>
      <c r="L22" s="55"/>
      <c r="M22" s="55"/>
      <c r="N22" s="55"/>
      <c r="O22" s="55"/>
      <c r="P22" s="55"/>
      <c r="Q22" s="55"/>
      <c r="AA22" s="55"/>
      <c r="AB22" s="55"/>
      <c r="AC22" s="55"/>
      <c r="AD22" s="55"/>
      <c r="AE22" s="55"/>
      <c r="AF22" s="55"/>
      <c r="AG22" s="55"/>
      <c r="AH22" s="55"/>
      <c r="AI22" s="55"/>
      <c r="AJ22" s="55"/>
      <c r="AK22" s="55"/>
      <c r="AL22" s="55"/>
      <c r="AM22" s="55"/>
      <c r="AN22" s="55"/>
      <c r="AO22" s="55"/>
      <c r="AP22" s="55"/>
      <c r="AQ22" s="55"/>
      <c r="AR22" s="55"/>
      <c r="AS22" s="55"/>
      <c r="AT22" s="55"/>
      <c r="AU22" s="55"/>
      <c r="AV22" s="55"/>
      <c r="AW22" s="55"/>
      <c r="AX22" s="55"/>
      <c r="AY22" s="55"/>
      <c r="AZ22" s="55"/>
      <c r="BA22" s="55"/>
      <c r="BB22" s="55"/>
      <c r="BC22" s="55"/>
      <c r="BD22" s="55"/>
      <c r="BE22" s="55"/>
      <c r="BF22" s="55"/>
      <c r="BG22" s="55"/>
      <c r="BH22" s="55"/>
      <c r="BI22" s="55"/>
      <c r="BJ22" s="55"/>
      <c r="BK22" s="55"/>
      <c r="BL22" s="55"/>
      <c r="BM22" s="55"/>
      <c r="BN22" s="55"/>
      <c r="BO22" s="55"/>
      <c r="BP22" s="55"/>
      <c r="BQ22" s="55"/>
      <c r="BR22" s="55"/>
      <c r="BS22" s="55"/>
      <c r="BT22" s="55"/>
      <c r="BU22" s="55"/>
      <c r="BV22" s="55"/>
      <c r="BW22" s="55"/>
      <c r="BX22" s="55"/>
      <c r="BY22" s="55"/>
      <c r="BZ22" s="55"/>
      <c r="CA22" s="55"/>
      <c r="CB22" s="55"/>
      <c r="CC22" s="55"/>
      <c r="CD22" s="55"/>
      <c r="CE22" s="55"/>
      <c r="CF22" s="55"/>
      <c r="CG22" s="55"/>
      <c r="CH22" s="55"/>
    </row>
    <row r="23" spans="2:89" s="102" customFormat="1" ht="16.5" customHeight="1" x14ac:dyDescent="0.3">
      <c r="B23" s="311" t="s">
        <v>1594</v>
      </c>
      <c r="C23" s="311"/>
      <c r="D23" s="311"/>
      <c r="E23" s="311"/>
      <c r="F23" s="311"/>
      <c r="G23" s="311"/>
      <c r="R23" s="103"/>
    </row>
    <row r="24" spans="2:89" x14ac:dyDescent="0.3">
      <c r="K24" s="55"/>
      <c r="L24" s="55"/>
      <c r="M24" s="55"/>
      <c r="N24" s="55"/>
      <c r="O24" s="55"/>
      <c r="P24" s="55"/>
      <c r="Q24" s="55"/>
      <c r="AA24" s="55"/>
      <c r="AB24" s="55"/>
      <c r="AC24" s="55"/>
      <c r="AD24" s="55"/>
      <c r="AE24" s="55"/>
      <c r="AF24" s="55"/>
      <c r="AG24" s="55"/>
      <c r="AH24" s="55"/>
      <c r="AI24" s="55"/>
      <c r="AJ24" s="55"/>
      <c r="AK24" s="55"/>
      <c r="AL24" s="55"/>
      <c r="AM24" s="55"/>
      <c r="AN24" s="55"/>
      <c r="AO24" s="55"/>
      <c r="AP24" s="55"/>
      <c r="AQ24" s="55"/>
      <c r="AR24" s="55"/>
      <c r="AS24" s="55"/>
      <c r="AT24" s="55"/>
      <c r="AU24" s="55"/>
      <c r="AV24" s="55"/>
      <c r="AW24" s="55"/>
      <c r="AX24" s="55"/>
      <c r="AY24" s="55"/>
      <c r="AZ24" s="55"/>
      <c r="BA24" s="55"/>
      <c r="BB24" s="55"/>
      <c r="BC24" s="55"/>
      <c r="BD24" s="55"/>
      <c r="BE24" s="55"/>
      <c r="BF24" s="55"/>
      <c r="BG24" s="55"/>
      <c r="BH24" s="55"/>
      <c r="BI24" s="55"/>
      <c r="BJ24" s="55"/>
      <c r="BK24" s="55"/>
      <c r="BL24" s="55"/>
      <c r="BM24" s="55"/>
      <c r="BN24" s="55"/>
      <c r="BO24" s="55"/>
      <c r="BP24" s="55"/>
      <c r="BQ24" s="55"/>
      <c r="BR24" s="55"/>
      <c r="BS24" s="55"/>
      <c r="BT24" s="55"/>
      <c r="BU24" s="55"/>
      <c r="BV24" s="55"/>
      <c r="BW24" s="55"/>
      <c r="BX24" s="55"/>
      <c r="BY24" s="55"/>
      <c r="BZ24" s="55"/>
      <c r="CA24" s="55"/>
      <c r="CB24" s="55"/>
      <c r="CC24" s="55"/>
      <c r="CD24" s="55"/>
      <c r="CE24" s="55"/>
      <c r="CF24" s="55"/>
      <c r="CG24" s="55"/>
      <c r="CH24" s="55"/>
    </row>
    <row r="25" spans="2:89" s="101" customFormat="1" x14ac:dyDescent="0.3">
      <c r="B25" s="36" t="s">
        <v>1597</v>
      </c>
      <c r="C25" s="36" t="s">
        <v>4578</v>
      </c>
      <c r="D25" s="36" t="s">
        <v>280</v>
      </c>
      <c r="E25" s="36" t="s">
        <v>1484</v>
      </c>
      <c r="F25" s="36" t="s">
        <v>1397</v>
      </c>
      <c r="G25" s="36" t="s">
        <v>283</v>
      </c>
      <c r="H25" s="36" t="s">
        <v>1485</v>
      </c>
      <c r="I25" s="36" t="s">
        <v>265</v>
      </c>
      <c r="J25" s="36" t="s">
        <v>4591</v>
      </c>
      <c r="K25" s="36" t="s">
        <v>1239</v>
      </c>
      <c r="L25" s="36" t="s">
        <v>1486</v>
      </c>
      <c r="M25" s="36" t="s">
        <v>1487</v>
      </c>
      <c r="N25" s="36" t="s">
        <v>1488</v>
      </c>
      <c r="O25" s="36" t="s">
        <v>1489</v>
      </c>
      <c r="P25" s="36" t="s">
        <v>379</v>
      </c>
      <c r="Q25" s="36" t="s">
        <v>1490</v>
      </c>
      <c r="R25" s="36" t="s">
        <v>1491</v>
      </c>
      <c r="S25" s="36" t="s">
        <v>279</v>
      </c>
      <c r="T25" s="36" t="s">
        <v>1493</v>
      </c>
      <c r="U25" s="36" t="s">
        <v>2657</v>
      </c>
      <c r="V25" s="36" t="s">
        <v>1494</v>
      </c>
      <c r="W25" s="36" t="s">
        <v>2655</v>
      </c>
      <c r="X25" s="36" t="s">
        <v>2656</v>
      </c>
      <c r="Y25" s="36" t="s">
        <v>1495</v>
      </c>
      <c r="Z25" s="36" t="s">
        <v>1496</v>
      </c>
      <c r="AA25" s="36" t="s">
        <v>4574</v>
      </c>
      <c r="AB25" s="126" t="s">
        <v>1492</v>
      </c>
      <c r="AC25" s="126" t="s">
        <v>1497</v>
      </c>
      <c r="AD25" s="127" t="s">
        <v>529</v>
      </c>
      <c r="AE25" s="127" t="s">
        <v>530</v>
      </c>
      <c r="AF25" s="127" t="s">
        <v>531</v>
      </c>
      <c r="AG25" s="127" t="s">
        <v>532</v>
      </c>
      <c r="AH25" s="127" t="s">
        <v>533</v>
      </c>
      <c r="AI25" s="127" t="s">
        <v>534</v>
      </c>
      <c r="AJ25" s="127" t="s">
        <v>535</v>
      </c>
      <c r="AK25" s="127" t="s">
        <v>536</v>
      </c>
      <c r="AL25" s="127" t="s">
        <v>537</v>
      </c>
      <c r="AM25" s="127" t="s">
        <v>538</v>
      </c>
      <c r="AN25" s="127" t="s">
        <v>539</v>
      </c>
      <c r="AO25" s="127" t="s">
        <v>540</v>
      </c>
      <c r="AP25" s="127" t="s">
        <v>541</v>
      </c>
      <c r="AQ25" s="127" t="s">
        <v>542</v>
      </c>
      <c r="AR25" s="127" t="s">
        <v>543</v>
      </c>
      <c r="AS25" s="127" t="s">
        <v>544</v>
      </c>
      <c r="AT25" s="127" t="s">
        <v>545</v>
      </c>
      <c r="AU25" s="127" t="s">
        <v>546</v>
      </c>
      <c r="AV25" s="127" t="s">
        <v>547</v>
      </c>
      <c r="AW25" s="127" t="s">
        <v>548</v>
      </c>
      <c r="AX25" s="127" t="s">
        <v>549</v>
      </c>
      <c r="AY25" s="127" t="s">
        <v>550</v>
      </c>
      <c r="AZ25" s="127" t="s">
        <v>551</v>
      </c>
      <c r="BA25" s="127" t="s">
        <v>552</v>
      </c>
      <c r="BB25" s="127" t="s">
        <v>553</v>
      </c>
      <c r="BC25" s="127" t="s">
        <v>554</v>
      </c>
      <c r="BD25" s="127" t="s">
        <v>555</v>
      </c>
      <c r="BE25" s="127" t="s">
        <v>556</v>
      </c>
      <c r="BF25" s="127" t="s">
        <v>557</v>
      </c>
      <c r="BG25" s="127" t="s">
        <v>558</v>
      </c>
      <c r="BH25" s="127" t="s">
        <v>559</v>
      </c>
      <c r="BI25" s="127" t="s">
        <v>560</v>
      </c>
      <c r="BJ25" s="127" t="s">
        <v>561</v>
      </c>
      <c r="BK25" s="127" t="s">
        <v>562</v>
      </c>
      <c r="BL25" s="127" t="s">
        <v>563</v>
      </c>
      <c r="BM25" s="127" t="s">
        <v>564</v>
      </c>
      <c r="BN25" s="127" t="s">
        <v>565</v>
      </c>
      <c r="BO25" s="127" t="s">
        <v>566</v>
      </c>
      <c r="BP25" s="127" t="s">
        <v>567</v>
      </c>
      <c r="BQ25" s="127" t="s">
        <v>568</v>
      </c>
      <c r="BR25" s="127" t="s">
        <v>569</v>
      </c>
      <c r="BS25" s="127" t="s">
        <v>570</v>
      </c>
      <c r="BT25" s="127" t="s">
        <v>571</v>
      </c>
      <c r="BU25" s="127" t="s">
        <v>572</v>
      </c>
      <c r="BV25" s="127" t="s">
        <v>573</v>
      </c>
      <c r="BW25" s="127" t="s">
        <v>574</v>
      </c>
      <c r="BX25" s="127" t="s">
        <v>575</v>
      </c>
      <c r="BY25" s="127" t="s">
        <v>576</v>
      </c>
      <c r="BZ25" s="127" t="s">
        <v>577</v>
      </c>
      <c r="CA25" s="127" t="s">
        <v>578</v>
      </c>
      <c r="CB25" s="127" t="s">
        <v>579</v>
      </c>
      <c r="CC25" s="127" t="s">
        <v>580</v>
      </c>
      <c r="CD25" s="127" t="s">
        <v>581</v>
      </c>
      <c r="CE25" s="127" t="s">
        <v>582</v>
      </c>
      <c r="CF25" s="127" t="s">
        <v>583</v>
      </c>
      <c r="CG25" s="127" t="s">
        <v>584</v>
      </c>
      <c r="CH25" s="127" t="s">
        <v>585</v>
      </c>
      <c r="CI25" s="127" t="s">
        <v>586</v>
      </c>
      <c r="CJ25" s="127" t="s">
        <v>587</v>
      </c>
      <c r="CK25" s="127" t="s">
        <v>588</v>
      </c>
    </row>
    <row r="26" spans="2:89" x14ac:dyDescent="0.3">
      <c r="B26" s="105" t="s">
        <v>1547</v>
      </c>
      <c r="C26" s="106" t="s">
        <v>4579</v>
      </c>
      <c r="D26" s="106" t="s">
        <v>292</v>
      </c>
      <c r="E26" s="106" t="s">
        <v>434</v>
      </c>
      <c r="F26" s="106" t="s">
        <v>434</v>
      </c>
      <c r="G26" s="106" t="s">
        <v>865</v>
      </c>
      <c r="H26" s="106" t="s">
        <v>290</v>
      </c>
      <c r="I26" s="106" t="s">
        <v>160</v>
      </c>
      <c r="J26" s="106" t="s">
        <v>16</v>
      </c>
      <c r="K26" s="106" t="s">
        <v>1515</v>
      </c>
      <c r="L26" s="107" t="s">
        <v>290</v>
      </c>
      <c r="M26" s="107" t="s">
        <v>413</v>
      </c>
      <c r="N26" s="107" t="s">
        <v>290</v>
      </c>
      <c r="O26" s="107" t="s">
        <v>290</v>
      </c>
      <c r="P26" s="107" t="s">
        <v>290</v>
      </c>
      <c r="Q26" s="107" t="s">
        <v>290</v>
      </c>
      <c r="R26" s="107">
        <v>100</v>
      </c>
      <c r="S26" s="114"/>
      <c r="T26" s="114"/>
      <c r="U26" s="114"/>
      <c r="V26" s="114"/>
      <c r="W26" s="114"/>
      <c r="X26" s="114"/>
      <c r="Y26" s="114"/>
      <c r="Z26" s="114"/>
      <c r="AA26" s="114"/>
      <c r="AB26" s="123" t="s">
        <v>4576</v>
      </c>
      <c r="AC26" s="123" t="s">
        <v>1168</v>
      </c>
      <c r="AD26" s="117">
        <v>100000000</v>
      </c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7"/>
      <c r="CB26" s="117"/>
      <c r="CC26" s="117"/>
      <c r="CD26" s="117"/>
      <c r="CE26" s="117"/>
      <c r="CF26" s="117"/>
      <c r="CG26" s="117"/>
      <c r="CH26" s="117"/>
      <c r="CI26" s="117"/>
      <c r="CJ26" s="117"/>
      <c r="CK26" s="118"/>
    </row>
    <row r="27" spans="2:89" x14ac:dyDescent="0.3">
      <c r="B27" s="108" t="s">
        <v>1547</v>
      </c>
      <c r="C27" s="153" t="s">
        <v>4579</v>
      </c>
      <c r="D27" s="55" t="s">
        <v>292</v>
      </c>
      <c r="E27" s="55" t="s">
        <v>434</v>
      </c>
      <c r="F27" s="55" t="s">
        <v>434</v>
      </c>
      <c r="G27" s="55" t="s">
        <v>865</v>
      </c>
      <c r="H27" s="55" t="s">
        <v>290</v>
      </c>
      <c r="I27" s="55" t="s">
        <v>160</v>
      </c>
      <c r="J27" s="55" t="s">
        <v>16</v>
      </c>
      <c r="K27" s="55" t="s">
        <v>1515</v>
      </c>
      <c r="L27" s="45" t="s">
        <v>290</v>
      </c>
      <c r="M27" s="45" t="s">
        <v>413</v>
      </c>
      <c r="N27" s="45" t="s">
        <v>290</v>
      </c>
      <c r="O27" s="45" t="s">
        <v>290</v>
      </c>
      <c r="P27" s="45" t="s">
        <v>290</v>
      </c>
      <c r="Q27" s="45" t="s">
        <v>290</v>
      </c>
      <c r="R27" s="45">
        <v>100</v>
      </c>
      <c r="S27" s="116"/>
      <c r="T27" s="116"/>
      <c r="U27" s="116"/>
      <c r="V27" s="116"/>
      <c r="W27" s="116"/>
      <c r="X27" s="116"/>
      <c r="Y27" s="116"/>
      <c r="Z27" s="116"/>
      <c r="AA27" s="116"/>
      <c r="AB27" s="124" t="s">
        <v>4576</v>
      </c>
      <c r="AC27" s="124" t="s">
        <v>220</v>
      </c>
      <c r="AD27" s="119">
        <v>110</v>
      </c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19"/>
      <c r="AR27" s="119"/>
      <c r="AS27" s="119"/>
      <c r="AT27" s="119"/>
      <c r="AU27" s="119"/>
      <c r="AV27" s="119"/>
      <c r="AW27" s="119"/>
      <c r="AX27" s="119"/>
      <c r="AY27" s="119"/>
      <c r="AZ27" s="119"/>
      <c r="BA27" s="119"/>
      <c r="BB27" s="119"/>
      <c r="BC27" s="119"/>
      <c r="BD27" s="119"/>
      <c r="BE27" s="119"/>
      <c r="BF27" s="119"/>
      <c r="BG27" s="119"/>
      <c r="BH27" s="119"/>
      <c r="BI27" s="119"/>
      <c r="BJ27" s="119"/>
      <c r="BK27" s="119"/>
      <c r="BL27" s="119"/>
      <c r="BM27" s="119"/>
      <c r="BN27" s="119"/>
      <c r="BO27" s="119"/>
      <c r="BP27" s="119"/>
      <c r="BQ27" s="119"/>
      <c r="BR27" s="119"/>
      <c r="BS27" s="119"/>
      <c r="BT27" s="119"/>
      <c r="BU27" s="119"/>
      <c r="BV27" s="119"/>
      <c r="BW27" s="119"/>
      <c r="BX27" s="119"/>
      <c r="BY27" s="119"/>
      <c r="BZ27" s="119"/>
      <c r="CA27" s="119"/>
      <c r="CB27" s="119"/>
      <c r="CC27" s="119"/>
      <c r="CD27" s="119"/>
      <c r="CE27" s="119"/>
      <c r="CF27" s="119"/>
      <c r="CG27" s="119"/>
      <c r="CH27" s="119"/>
      <c r="CI27" s="119"/>
      <c r="CJ27" s="119"/>
      <c r="CK27" s="120"/>
    </row>
    <row r="28" spans="2:89" x14ac:dyDescent="0.3">
      <c r="B28" s="109" t="s">
        <v>1547</v>
      </c>
      <c r="C28" s="110" t="s">
        <v>4579</v>
      </c>
      <c r="D28" s="110" t="s">
        <v>292</v>
      </c>
      <c r="E28" s="110" t="s">
        <v>434</v>
      </c>
      <c r="F28" s="110" t="s">
        <v>434</v>
      </c>
      <c r="G28" s="110" t="s">
        <v>865</v>
      </c>
      <c r="H28" s="110" t="s">
        <v>290</v>
      </c>
      <c r="I28" s="110" t="s">
        <v>160</v>
      </c>
      <c r="J28" s="110" t="s">
        <v>16</v>
      </c>
      <c r="K28" s="110" t="s">
        <v>1515</v>
      </c>
      <c r="L28" s="111" t="s">
        <v>290</v>
      </c>
      <c r="M28" s="111" t="s">
        <v>413</v>
      </c>
      <c r="N28" s="111" t="s">
        <v>290</v>
      </c>
      <c r="O28" s="111" t="s">
        <v>290</v>
      </c>
      <c r="P28" s="111" t="s">
        <v>290</v>
      </c>
      <c r="Q28" s="111" t="s">
        <v>290</v>
      </c>
      <c r="R28" s="111">
        <v>100</v>
      </c>
      <c r="S28" s="115"/>
      <c r="T28" s="115"/>
      <c r="U28" s="115"/>
      <c r="V28" s="115"/>
      <c r="W28" s="115"/>
      <c r="X28" s="115"/>
      <c r="Y28" s="115"/>
      <c r="Z28" s="115"/>
      <c r="AA28" s="115"/>
      <c r="AB28" s="125" t="s">
        <v>4576</v>
      </c>
      <c r="AC28" s="125" t="s">
        <v>221</v>
      </c>
      <c r="AD28" s="121">
        <v>200</v>
      </c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1"/>
      <c r="BK28" s="121"/>
      <c r="BL28" s="121"/>
      <c r="BM28" s="121"/>
      <c r="BN28" s="121"/>
      <c r="BO28" s="121"/>
      <c r="BP28" s="121"/>
      <c r="BQ28" s="121"/>
      <c r="BR28" s="121"/>
      <c r="BS28" s="121"/>
      <c r="BT28" s="121"/>
      <c r="BU28" s="121"/>
      <c r="BV28" s="121"/>
      <c r="BW28" s="121"/>
      <c r="BX28" s="121"/>
      <c r="BY28" s="121"/>
      <c r="BZ28" s="121"/>
      <c r="CA28" s="121"/>
      <c r="CB28" s="121"/>
      <c r="CC28" s="121"/>
      <c r="CD28" s="121"/>
      <c r="CE28" s="121"/>
      <c r="CF28" s="121"/>
      <c r="CG28" s="121"/>
      <c r="CH28" s="121"/>
      <c r="CI28" s="121"/>
      <c r="CJ28" s="121"/>
      <c r="CK28" s="122"/>
    </row>
    <row r="29" spans="2:89" x14ac:dyDescent="0.3">
      <c r="B29" s="105" t="s">
        <v>1547</v>
      </c>
      <c r="C29" s="106" t="s">
        <v>4580</v>
      </c>
      <c r="D29" s="106" t="s">
        <v>292</v>
      </c>
      <c r="E29" s="106" t="s">
        <v>434</v>
      </c>
      <c r="F29" s="106" t="s">
        <v>434</v>
      </c>
      <c r="G29" s="106" t="s">
        <v>865</v>
      </c>
      <c r="H29" s="106" t="s">
        <v>290</v>
      </c>
      <c r="I29" s="106" t="s">
        <v>160</v>
      </c>
      <c r="J29" s="106" t="s">
        <v>16</v>
      </c>
      <c r="K29" s="106" t="s">
        <v>1516</v>
      </c>
      <c r="L29" s="107" t="s">
        <v>290</v>
      </c>
      <c r="M29" s="107" t="s">
        <v>290</v>
      </c>
      <c r="N29" s="107" t="s">
        <v>290</v>
      </c>
      <c r="O29" s="107" t="s">
        <v>290</v>
      </c>
      <c r="P29" s="107" t="s">
        <v>290</v>
      </c>
      <c r="Q29" s="107" t="s">
        <v>290</v>
      </c>
      <c r="R29" s="107">
        <v>100</v>
      </c>
      <c r="S29" s="114"/>
      <c r="T29" s="114"/>
      <c r="U29" s="114"/>
      <c r="V29" s="114"/>
      <c r="W29" s="114"/>
      <c r="X29" s="114"/>
      <c r="Y29" s="114"/>
      <c r="Z29" s="114"/>
      <c r="AA29" s="114"/>
      <c r="AB29" s="123" t="s">
        <v>4581</v>
      </c>
      <c r="AC29" s="123" t="s">
        <v>1168</v>
      </c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7"/>
      <c r="CB29" s="117"/>
      <c r="CC29" s="117"/>
      <c r="CD29" s="117"/>
      <c r="CE29" s="117"/>
      <c r="CF29" s="117"/>
      <c r="CG29" s="117"/>
      <c r="CH29" s="117"/>
      <c r="CI29" s="117"/>
      <c r="CJ29" s="117"/>
      <c r="CK29" s="118"/>
    </row>
    <row r="30" spans="2:89" x14ac:dyDescent="0.3">
      <c r="B30" s="108" t="s">
        <v>1547</v>
      </c>
      <c r="C30" s="153" t="s">
        <v>4580</v>
      </c>
      <c r="D30" s="55" t="s">
        <v>292</v>
      </c>
      <c r="E30" s="55" t="s">
        <v>434</v>
      </c>
      <c r="F30" s="55" t="s">
        <v>434</v>
      </c>
      <c r="G30" s="55" t="s">
        <v>865</v>
      </c>
      <c r="H30" s="55" t="s">
        <v>290</v>
      </c>
      <c r="I30" s="55" t="s">
        <v>160</v>
      </c>
      <c r="J30" s="55" t="s">
        <v>16</v>
      </c>
      <c r="K30" s="55" t="s">
        <v>1516</v>
      </c>
      <c r="L30" s="45" t="s">
        <v>290</v>
      </c>
      <c r="M30" s="45" t="s">
        <v>290</v>
      </c>
      <c r="N30" s="45" t="s">
        <v>290</v>
      </c>
      <c r="O30" s="45" t="s">
        <v>290</v>
      </c>
      <c r="P30" s="45" t="s">
        <v>290</v>
      </c>
      <c r="Q30" s="45" t="s">
        <v>290</v>
      </c>
      <c r="R30" s="45">
        <v>100</v>
      </c>
      <c r="S30" s="116"/>
      <c r="T30" s="116"/>
      <c r="U30" s="116"/>
      <c r="V30" s="116"/>
      <c r="W30" s="116"/>
      <c r="X30" s="116"/>
      <c r="Y30" s="116"/>
      <c r="Z30" s="116"/>
      <c r="AA30" s="116"/>
      <c r="AB30" s="124" t="s">
        <v>4581</v>
      </c>
      <c r="AC30" s="124" t="s">
        <v>220</v>
      </c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19"/>
      <c r="AR30" s="119"/>
      <c r="AS30" s="119"/>
      <c r="AT30" s="119"/>
      <c r="AU30" s="119"/>
      <c r="AV30" s="119"/>
      <c r="AW30" s="119"/>
      <c r="AX30" s="119"/>
      <c r="AY30" s="119"/>
      <c r="AZ30" s="119"/>
      <c r="BA30" s="119"/>
      <c r="BB30" s="119"/>
      <c r="BC30" s="119"/>
      <c r="BD30" s="119"/>
      <c r="BE30" s="119"/>
      <c r="BF30" s="119"/>
      <c r="BG30" s="119"/>
      <c r="BH30" s="119"/>
      <c r="BI30" s="119"/>
      <c r="BJ30" s="119"/>
      <c r="BK30" s="119"/>
      <c r="BL30" s="119"/>
      <c r="BM30" s="119"/>
      <c r="BN30" s="119"/>
      <c r="BO30" s="119"/>
      <c r="BP30" s="119"/>
      <c r="BQ30" s="119"/>
      <c r="BR30" s="119"/>
      <c r="BS30" s="119"/>
      <c r="BT30" s="119"/>
      <c r="BU30" s="119"/>
      <c r="BV30" s="119"/>
      <c r="BW30" s="119"/>
      <c r="BX30" s="119"/>
      <c r="BY30" s="119"/>
      <c r="BZ30" s="119"/>
      <c r="CA30" s="119"/>
      <c r="CB30" s="119"/>
      <c r="CC30" s="119"/>
      <c r="CD30" s="119"/>
      <c r="CE30" s="119"/>
      <c r="CF30" s="119"/>
      <c r="CG30" s="119"/>
      <c r="CH30" s="119"/>
      <c r="CI30" s="119"/>
      <c r="CJ30" s="119"/>
      <c r="CK30" s="120"/>
    </row>
    <row r="31" spans="2:89" x14ac:dyDescent="0.3">
      <c r="B31" s="109" t="s">
        <v>1547</v>
      </c>
      <c r="C31" s="110" t="s">
        <v>4580</v>
      </c>
      <c r="D31" s="110" t="s">
        <v>292</v>
      </c>
      <c r="E31" s="110" t="s">
        <v>434</v>
      </c>
      <c r="F31" s="110" t="s">
        <v>434</v>
      </c>
      <c r="G31" s="110" t="s">
        <v>865</v>
      </c>
      <c r="H31" s="110" t="s">
        <v>290</v>
      </c>
      <c r="I31" s="110" t="s">
        <v>160</v>
      </c>
      <c r="J31" s="110" t="s">
        <v>16</v>
      </c>
      <c r="K31" s="110" t="s">
        <v>1516</v>
      </c>
      <c r="L31" s="111" t="s">
        <v>290</v>
      </c>
      <c r="M31" s="111" t="s">
        <v>290</v>
      </c>
      <c r="N31" s="111" t="s">
        <v>290</v>
      </c>
      <c r="O31" s="111" t="s">
        <v>290</v>
      </c>
      <c r="P31" s="111" t="s">
        <v>290</v>
      </c>
      <c r="Q31" s="111" t="s">
        <v>290</v>
      </c>
      <c r="R31" s="111">
        <v>100</v>
      </c>
      <c r="S31" s="115"/>
      <c r="T31" s="115"/>
      <c r="U31" s="115"/>
      <c r="V31" s="115"/>
      <c r="W31" s="115"/>
      <c r="X31" s="115"/>
      <c r="Y31" s="115"/>
      <c r="Z31" s="115"/>
      <c r="AA31" s="115"/>
      <c r="AB31" s="125" t="s">
        <v>4581</v>
      </c>
      <c r="AC31" s="125" t="s">
        <v>221</v>
      </c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1"/>
      <c r="BK31" s="121"/>
      <c r="BL31" s="121"/>
      <c r="BM31" s="121"/>
      <c r="BN31" s="121"/>
      <c r="BO31" s="121"/>
      <c r="BP31" s="121"/>
      <c r="BQ31" s="121"/>
      <c r="BR31" s="121"/>
      <c r="BS31" s="121"/>
      <c r="BT31" s="121"/>
      <c r="BU31" s="121"/>
      <c r="BV31" s="121"/>
      <c r="BW31" s="121"/>
      <c r="BX31" s="121"/>
      <c r="BY31" s="121"/>
      <c r="BZ31" s="121"/>
      <c r="CA31" s="121"/>
      <c r="CB31" s="121"/>
      <c r="CC31" s="121"/>
      <c r="CD31" s="121"/>
      <c r="CE31" s="121"/>
      <c r="CF31" s="121"/>
      <c r="CG31" s="121"/>
      <c r="CH31" s="121"/>
      <c r="CI31" s="121"/>
      <c r="CJ31" s="121"/>
      <c r="CK31" s="122"/>
    </row>
    <row r="32" spans="2:89" x14ac:dyDescent="0.3">
      <c r="B32" s="105" t="s">
        <v>1547</v>
      </c>
      <c r="C32" s="106" t="s">
        <v>4580</v>
      </c>
      <c r="D32" s="106" t="s">
        <v>202</v>
      </c>
      <c r="E32" s="106" t="s">
        <v>434</v>
      </c>
      <c r="F32" s="106" t="s">
        <v>434</v>
      </c>
      <c r="G32" s="106" t="s">
        <v>639</v>
      </c>
      <c r="H32" s="106" t="s">
        <v>290</v>
      </c>
      <c r="I32" s="106" t="s">
        <v>160</v>
      </c>
      <c r="J32" s="106" t="s">
        <v>16</v>
      </c>
      <c r="K32" s="106" t="s">
        <v>1516</v>
      </c>
      <c r="L32" s="107" t="s">
        <v>290</v>
      </c>
      <c r="M32" s="107" t="s">
        <v>290</v>
      </c>
      <c r="N32" s="107" t="s">
        <v>290</v>
      </c>
      <c r="O32" s="107" t="s">
        <v>290</v>
      </c>
      <c r="P32" s="107" t="s">
        <v>290</v>
      </c>
      <c r="Q32" s="107" t="s">
        <v>290</v>
      </c>
      <c r="R32" s="107">
        <v>100</v>
      </c>
      <c r="S32" s="106">
        <v>1</v>
      </c>
      <c r="T32" s="106">
        <v>1</v>
      </c>
      <c r="U32" s="106" t="s">
        <v>1501</v>
      </c>
      <c r="V32" s="106" t="s">
        <v>1509</v>
      </c>
      <c r="W32" s="106" t="s">
        <v>1504</v>
      </c>
      <c r="X32" s="106" t="s">
        <v>1505</v>
      </c>
      <c r="Y32" s="106" t="s">
        <v>163</v>
      </c>
      <c r="Z32" s="106" t="s">
        <v>1505</v>
      </c>
      <c r="AA32" s="106">
        <v>0</v>
      </c>
      <c r="AB32" s="123" t="s">
        <v>4583</v>
      </c>
      <c r="AC32" s="123" t="s">
        <v>4573</v>
      </c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7"/>
      <c r="AO32" s="117"/>
      <c r="AP32" s="117"/>
      <c r="AQ32" s="117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  <c r="BG32" s="117"/>
      <c r="BH32" s="117"/>
      <c r="BI32" s="117"/>
      <c r="BJ32" s="117"/>
      <c r="BK32" s="117"/>
      <c r="BL32" s="117"/>
      <c r="BM32" s="117"/>
      <c r="BN32" s="117"/>
      <c r="BO32" s="117"/>
      <c r="BP32" s="117"/>
      <c r="BQ32" s="117"/>
      <c r="BR32" s="117"/>
      <c r="BS32" s="117"/>
      <c r="BT32" s="117"/>
      <c r="BU32" s="117"/>
      <c r="BV32" s="117"/>
      <c r="BW32" s="117"/>
      <c r="BX32" s="117"/>
      <c r="BY32" s="117"/>
      <c r="BZ32" s="117"/>
      <c r="CA32" s="117"/>
      <c r="CB32" s="117"/>
      <c r="CC32" s="117"/>
      <c r="CD32" s="117"/>
      <c r="CE32" s="117"/>
      <c r="CF32" s="117"/>
      <c r="CG32" s="117"/>
      <c r="CH32" s="117"/>
      <c r="CI32" s="117"/>
      <c r="CJ32" s="117"/>
      <c r="CK32" s="118"/>
    </row>
    <row r="33" spans="2:89" x14ac:dyDescent="0.3">
      <c r="B33" s="108" t="s">
        <v>1547</v>
      </c>
      <c r="C33" s="153" t="s">
        <v>4580</v>
      </c>
      <c r="D33" s="55" t="s">
        <v>202</v>
      </c>
      <c r="E33" s="55" t="s">
        <v>434</v>
      </c>
      <c r="F33" s="55" t="s">
        <v>434</v>
      </c>
      <c r="G33" s="55" t="s">
        <v>639</v>
      </c>
      <c r="H33" s="55" t="s">
        <v>290</v>
      </c>
      <c r="I33" s="55" t="s">
        <v>160</v>
      </c>
      <c r="J33" s="55" t="s">
        <v>16</v>
      </c>
      <c r="K33" s="55" t="s">
        <v>1516</v>
      </c>
      <c r="L33" s="45" t="s">
        <v>290</v>
      </c>
      <c r="M33" s="45" t="s">
        <v>290</v>
      </c>
      <c r="N33" s="45" t="s">
        <v>290</v>
      </c>
      <c r="O33" s="45" t="s">
        <v>290</v>
      </c>
      <c r="P33" s="45" t="s">
        <v>290</v>
      </c>
      <c r="Q33" s="45" t="s">
        <v>290</v>
      </c>
      <c r="R33" s="45">
        <v>100</v>
      </c>
      <c r="S33" s="55">
        <v>1</v>
      </c>
      <c r="T33" s="55">
        <v>1</v>
      </c>
      <c r="U33" s="55" t="s">
        <v>1501</v>
      </c>
      <c r="V33" s="55" t="s">
        <v>1509</v>
      </c>
      <c r="W33" s="55" t="s">
        <v>1504</v>
      </c>
      <c r="X33" s="55" t="s">
        <v>1505</v>
      </c>
      <c r="Y33" s="55" t="s">
        <v>163</v>
      </c>
      <c r="Z33" s="55" t="s">
        <v>1505</v>
      </c>
      <c r="AA33" s="55">
        <v>0</v>
      </c>
      <c r="AB33" s="124" t="s">
        <v>4583</v>
      </c>
      <c r="AC33" s="124" t="s">
        <v>224</v>
      </c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19"/>
      <c r="AR33" s="119"/>
      <c r="AS33" s="119"/>
      <c r="AT33" s="119"/>
      <c r="AU33" s="119"/>
      <c r="AV33" s="119"/>
      <c r="AW33" s="119"/>
      <c r="AX33" s="119"/>
      <c r="AY33" s="119"/>
      <c r="AZ33" s="119"/>
      <c r="BA33" s="119"/>
      <c r="BB33" s="119"/>
      <c r="BC33" s="119"/>
      <c r="BD33" s="119"/>
      <c r="BE33" s="119"/>
      <c r="BF33" s="119"/>
      <c r="BG33" s="119"/>
      <c r="BH33" s="119"/>
      <c r="BI33" s="119"/>
      <c r="BJ33" s="119"/>
      <c r="BK33" s="119"/>
      <c r="BL33" s="119"/>
      <c r="BM33" s="119"/>
      <c r="BN33" s="119"/>
      <c r="BO33" s="119"/>
      <c r="BP33" s="119"/>
      <c r="BQ33" s="119"/>
      <c r="BR33" s="119"/>
      <c r="BS33" s="119"/>
      <c r="BT33" s="119"/>
      <c r="BU33" s="119"/>
      <c r="BV33" s="119"/>
      <c r="BW33" s="119"/>
      <c r="BX33" s="119"/>
      <c r="BY33" s="119"/>
      <c r="BZ33" s="119"/>
      <c r="CA33" s="119"/>
      <c r="CB33" s="119"/>
      <c r="CC33" s="119"/>
      <c r="CD33" s="119"/>
      <c r="CE33" s="119"/>
      <c r="CF33" s="119"/>
      <c r="CG33" s="119"/>
      <c r="CH33" s="119"/>
      <c r="CI33" s="119"/>
      <c r="CJ33" s="119"/>
      <c r="CK33" s="120"/>
    </row>
    <row r="34" spans="2:89" x14ac:dyDescent="0.3">
      <c r="B34" s="108" t="s">
        <v>1547</v>
      </c>
      <c r="C34" s="153" t="s">
        <v>4580</v>
      </c>
      <c r="D34" s="55" t="s">
        <v>202</v>
      </c>
      <c r="E34" s="55" t="s">
        <v>434</v>
      </c>
      <c r="F34" s="55" t="s">
        <v>434</v>
      </c>
      <c r="G34" s="55" t="s">
        <v>639</v>
      </c>
      <c r="H34" s="55" t="s">
        <v>290</v>
      </c>
      <c r="I34" s="55" t="s">
        <v>160</v>
      </c>
      <c r="J34" s="55" t="s">
        <v>16</v>
      </c>
      <c r="K34" s="55" t="s">
        <v>1516</v>
      </c>
      <c r="L34" s="45" t="s">
        <v>290</v>
      </c>
      <c r="M34" s="45" t="s">
        <v>290</v>
      </c>
      <c r="N34" s="45" t="s">
        <v>290</v>
      </c>
      <c r="O34" s="45" t="s">
        <v>290</v>
      </c>
      <c r="P34" s="45" t="s">
        <v>290</v>
      </c>
      <c r="Q34" s="45" t="s">
        <v>290</v>
      </c>
      <c r="R34" s="45">
        <v>100</v>
      </c>
      <c r="S34" s="55">
        <v>1</v>
      </c>
      <c r="T34" s="55">
        <v>1</v>
      </c>
      <c r="U34" s="55" t="s">
        <v>1501</v>
      </c>
      <c r="V34" s="55" t="s">
        <v>1509</v>
      </c>
      <c r="W34" s="55" t="s">
        <v>1504</v>
      </c>
      <c r="X34" s="55" t="s">
        <v>1505</v>
      </c>
      <c r="Y34" s="55" t="s">
        <v>163</v>
      </c>
      <c r="Z34" s="55" t="s">
        <v>1505</v>
      </c>
      <c r="AA34" s="55">
        <v>0</v>
      </c>
      <c r="AB34" s="124" t="s">
        <v>4583</v>
      </c>
      <c r="AC34" s="124" t="s">
        <v>220</v>
      </c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19"/>
      <c r="AR34" s="119"/>
      <c r="AS34" s="119"/>
      <c r="AT34" s="119"/>
      <c r="AU34" s="119"/>
      <c r="AV34" s="119"/>
      <c r="AW34" s="119"/>
      <c r="AX34" s="119"/>
      <c r="AY34" s="119"/>
      <c r="AZ34" s="119"/>
      <c r="BA34" s="119"/>
      <c r="BB34" s="119"/>
      <c r="BC34" s="119"/>
      <c r="BD34" s="119"/>
      <c r="BE34" s="119"/>
      <c r="BF34" s="119"/>
      <c r="BG34" s="119"/>
      <c r="BH34" s="119"/>
      <c r="BI34" s="119"/>
      <c r="BJ34" s="119"/>
      <c r="BK34" s="119"/>
      <c r="BL34" s="119"/>
      <c r="BM34" s="119"/>
      <c r="BN34" s="119"/>
      <c r="BO34" s="119"/>
      <c r="BP34" s="119"/>
      <c r="BQ34" s="119"/>
      <c r="BR34" s="119"/>
      <c r="BS34" s="119"/>
      <c r="BT34" s="119"/>
      <c r="BU34" s="119"/>
      <c r="BV34" s="119"/>
      <c r="BW34" s="119"/>
      <c r="BX34" s="119"/>
      <c r="BY34" s="119"/>
      <c r="BZ34" s="119"/>
      <c r="CA34" s="119"/>
      <c r="CB34" s="119"/>
      <c r="CC34" s="119"/>
      <c r="CD34" s="119"/>
      <c r="CE34" s="119"/>
      <c r="CF34" s="119"/>
      <c r="CG34" s="119"/>
      <c r="CH34" s="119"/>
      <c r="CI34" s="119"/>
      <c r="CJ34" s="119"/>
      <c r="CK34" s="120"/>
    </row>
    <row r="35" spans="2:89" x14ac:dyDescent="0.3">
      <c r="B35" s="109" t="s">
        <v>1547</v>
      </c>
      <c r="C35" s="110" t="s">
        <v>4580</v>
      </c>
      <c r="D35" s="110" t="s">
        <v>202</v>
      </c>
      <c r="E35" s="110" t="s">
        <v>434</v>
      </c>
      <c r="F35" s="110" t="s">
        <v>434</v>
      </c>
      <c r="G35" s="110" t="s">
        <v>639</v>
      </c>
      <c r="H35" s="110" t="s">
        <v>290</v>
      </c>
      <c r="I35" s="110" t="s">
        <v>160</v>
      </c>
      <c r="J35" s="110" t="s">
        <v>16</v>
      </c>
      <c r="K35" s="110" t="s">
        <v>1516</v>
      </c>
      <c r="L35" s="111" t="s">
        <v>290</v>
      </c>
      <c r="M35" s="111" t="s">
        <v>290</v>
      </c>
      <c r="N35" s="111" t="s">
        <v>290</v>
      </c>
      <c r="O35" s="111" t="s">
        <v>290</v>
      </c>
      <c r="P35" s="111" t="s">
        <v>290</v>
      </c>
      <c r="Q35" s="111" t="s">
        <v>290</v>
      </c>
      <c r="R35" s="111">
        <v>100</v>
      </c>
      <c r="S35" s="110">
        <v>1</v>
      </c>
      <c r="T35" s="110">
        <v>1</v>
      </c>
      <c r="U35" s="110" t="s">
        <v>1501</v>
      </c>
      <c r="V35" s="110" t="s">
        <v>1509</v>
      </c>
      <c r="W35" s="110" t="s">
        <v>1504</v>
      </c>
      <c r="X35" s="110" t="s">
        <v>1505</v>
      </c>
      <c r="Y35" s="110" t="s">
        <v>163</v>
      </c>
      <c r="Z35" s="110" t="s">
        <v>1505</v>
      </c>
      <c r="AA35" s="110">
        <v>0</v>
      </c>
      <c r="AB35" s="125" t="s">
        <v>4583</v>
      </c>
      <c r="AC35" s="125" t="s">
        <v>221</v>
      </c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2"/>
    </row>
    <row r="36" spans="2:89" x14ac:dyDescent="0.3">
      <c r="B36" s="105" t="s">
        <v>1547</v>
      </c>
      <c r="C36" s="106" t="s">
        <v>4579</v>
      </c>
      <c r="D36" s="106" t="s">
        <v>202</v>
      </c>
      <c r="E36" s="106" t="s">
        <v>434</v>
      </c>
      <c r="F36" s="106" t="s">
        <v>434</v>
      </c>
      <c r="G36" s="106" t="s">
        <v>639</v>
      </c>
      <c r="H36" s="106" t="s">
        <v>290</v>
      </c>
      <c r="I36" s="106" t="s">
        <v>160</v>
      </c>
      <c r="J36" s="106" t="s">
        <v>16</v>
      </c>
      <c r="K36" s="106" t="s">
        <v>1516</v>
      </c>
      <c r="L36" s="107" t="s">
        <v>290</v>
      </c>
      <c r="M36" s="107" t="s">
        <v>290</v>
      </c>
      <c r="N36" s="107" t="s">
        <v>290</v>
      </c>
      <c r="O36" s="107" t="s">
        <v>290</v>
      </c>
      <c r="P36" s="107" t="s">
        <v>290</v>
      </c>
      <c r="Q36" s="107" t="s">
        <v>290</v>
      </c>
      <c r="R36" s="107">
        <v>100</v>
      </c>
      <c r="S36" s="106">
        <v>1</v>
      </c>
      <c r="T36" s="106">
        <v>1</v>
      </c>
      <c r="U36" s="106" t="s">
        <v>1501</v>
      </c>
      <c r="V36" s="106" t="s">
        <v>1509</v>
      </c>
      <c r="W36" s="106" t="s">
        <v>1504</v>
      </c>
      <c r="X36" s="106" t="s">
        <v>1505</v>
      </c>
      <c r="Y36" s="106" t="s">
        <v>163</v>
      </c>
      <c r="Z36" s="106" t="s">
        <v>1505</v>
      </c>
      <c r="AA36" s="106">
        <v>0</v>
      </c>
      <c r="AB36" s="123" t="s">
        <v>4584</v>
      </c>
      <c r="AC36" s="123" t="s">
        <v>4573</v>
      </c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7"/>
      <c r="AO36" s="117"/>
      <c r="AP36" s="117"/>
      <c r="AQ36" s="117"/>
      <c r="AR36" s="117"/>
      <c r="AS36" s="117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17"/>
      <c r="BE36" s="117"/>
      <c r="BF36" s="117"/>
      <c r="BG36" s="117"/>
      <c r="BH36" s="117"/>
      <c r="BI36" s="117"/>
      <c r="BJ36" s="117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117"/>
      <c r="BW36" s="117"/>
      <c r="BX36" s="117"/>
      <c r="BY36" s="117"/>
      <c r="BZ36" s="117"/>
      <c r="CA36" s="117"/>
      <c r="CB36" s="117"/>
      <c r="CC36" s="117"/>
      <c r="CD36" s="117"/>
      <c r="CE36" s="117"/>
      <c r="CF36" s="117"/>
      <c r="CG36" s="117"/>
      <c r="CH36" s="117"/>
      <c r="CI36" s="117"/>
      <c r="CJ36" s="117"/>
      <c r="CK36" s="118"/>
    </row>
    <row r="37" spans="2:89" x14ac:dyDescent="0.3">
      <c r="B37" s="108" t="s">
        <v>1547</v>
      </c>
      <c r="C37" s="153" t="s">
        <v>4579</v>
      </c>
      <c r="D37" s="55" t="s">
        <v>202</v>
      </c>
      <c r="E37" s="55" t="s">
        <v>434</v>
      </c>
      <c r="F37" s="55" t="s">
        <v>434</v>
      </c>
      <c r="G37" s="55" t="s">
        <v>639</v>
      </c>
      <c r="H37" s="55" t="s">
        <v>290</v>
      </c>
      <c r="I37" s="55" t="s">
        <v>160</v>
      </c>
      <c r="J37" s="55" t="s">
        <v>16</v>
      </c>
      <c r="K37" s="55" t="s">
        <v>1516</v>
      </c>
      <c r="L37" s="45" t="s">
        <v>290</v>
      </c>
      <c r="M37" s="45" t="s">
        <v>290</v>
      </c>
      <c r="N37" s="45" t="s">
        <v>290</v>
      </c>
      <c r="O37" s="45" t="s">
        <v>290</v>
      </c>
      <c r="P37" s="45" t="s">
        <v>290</v>
      </c>
      <c r="Q37" s="45" t="s">
        <v>290</v>
      </c>
      <c r="R37" s="45">
        <v>100</v>
      </c>
      <c r="S37" s="55">
        <v>1</v>
      </c>
      <c r="T37" s="55">
        <v>1</v>
      </c>
      <c r="U37" s="55" t="s">
        <v>1501</v>
      </c>
      <c r="V37" s="55" t="s">
        <v>1509</v>
      </c>
      <c r="W37" s="55" t="s">
        <v>1504</v>
      </c>
      <c r="X37" s="55" t="s">
        <v>1505</v>
      </c>
      <c r="Y37" s="55" t="s">
        <v>163</v>
      </c>
      <c r="Z37" s="55" t="s">
        <v>1505</v>
      </c>
      <c r="AA37" s="55">
        <v>0</v>
      </c>
      <c r="AB37" s="124" t="s">
        <v>4584</v>
      </c>
      <c r="AC37" s="124" t="s">
        <v>224</v>
      </c>
      <c r="AD37" s="119"/>
      <c r="AE37" s="119"/>
      <c r="AF37" s="119"/>
      <c r="AG37" s="119"/>
      <c r="AH37" s="119"/>
      <c r="AI37" s="119"/>
      <c r="AJ37" s="119"/>
      <c r="AK37" s="119"/>
      <c r="AL37" s="119"/>
      <c r="AM37" s="119"/>
      <c r="AN37" s="119"/>
      <c r="AO37" s="119"/>
      <c r="AP37" s="119"/>
      <c r="AQ37" s="119"/>
      <c r="AR37" s="119"/>
      <c r="AS37" s="119"/>
      <c r="AT37" s="119"/>
      <c r="AU37" s="119"/>
      <c r="AV37" s="119"/>
      <c r="AW37" s="119"/>
      <c r="AX37" s="119"/>
      <c r="AY37" s="119"/>
      <c r="AZ37" s="119"/>
      <c r="BA37" s="119"/>
      <c r="BB37" s="119"/>
      <c r="BC37" s="119"/>
      <c r="BD37" s="119"/>
      <c r="BE37" s="119"/>
      <c r="BF37" s="119"/>
      <c r="BG37" s="119"/>
      <c r="BH37" s="119"/>
      <c r="BI37" s="119"/>
      <c r="BJ37" s="119"/>
      <c r="BK37" s="119"/>
      <c r="BL37" s="119"/>
      <c r="BM37" s="119"/>
      <c r="BN37" s="119"/>
      <c r="BO37" s="119"/>
      <c r="BP37" s="119"/>
      <c r="BQ37" s="119"/>
      <c r="BR37" s="119"/>
      <c r="BS37" s="119"/>
      <c r="BT37" s="119"/>
      <c r="BU37" s="119"/>
      <c r="BV37" s="119"/>
      <c r="BW37" s="119"/>
      <c r="BX37" s="119"/>
      <c r="BY37" s="119"/>
      <c r="BZ37" s="119"/>
      <c r="CA37" s="119"/>
      <c r="CB37" s="119"/>
      <c r="CC37" s="119"/>
      <c r="CD37" s="119"/>
      <c r="CE37" s="119"/>
      <c r="CF37" s="119"/>
      <c r="CG37" s="119"/>
      <c r="CH37" s="119"/>
      <c r="CI37" s="119"/>
      <c r="CJ37" s="119"/>
      <c r="CK37" s="120"/>
    </row>
    <row r="38" spans="2:89" x14ac:dyDescent="0.3">
      <c r="B38" s="108" t="s">
        <v>1547</v>
      </c>
      <c r="C38" s="153" t="s">
        <v>4579</v>
      </c>
      <c r="D38" s="55" t="s">
        <v>202</v>
      </c>
      <c r="E38" s="55" t="s">
        <v>434</v>
      </c>
      <c r="F38" s="55" t="s">
        <v>434</v>
      </c>
      <c r="G38" s="55" t="s">
        <v>639</v>
      </c>
      <c r="H38" s="55" t="s">
        <v>290</v>
      </c>
      <c r="I38" s="55" t="s">
        <v>160</v>
      </c>
      <c r="J38" s="55" t="s">
        <v>16</v>
      </c>
      <c r="K38" s="55" t="s">
        <v>1516</v>
      </c>
      <c r="L38" s="45" t="s">
        <v>290</v>
      </c>
      <c r="M38" s="45" t="s">
        <v>290</v>
      </c>
      <c r="N38" s="45" t="s">
        <v>290</v>
      </c>
      <c r="O38" s="45" t="s">
        <v>290</v>
      </c>
      <c r="P38" s="45" t="s">
        <v>290</v>
      </c>
      <c r="Q38" s="45" t="s">
        <v>290</v>
      </c>
      <c r="R38" s="45">
        <v>100</v>
      </c>
      <c r="S38" s="55">
        <v>1</v>
      </c>
      <c r="T38" s="55">
        <v>1</v>
      </c>
      <c r="U38" s="55" t="s">
        <v>1501</v>
      </c>
      <c r="V38" s="55" t="s">
        <v>1509</v>
      </c>
      <c r="W38" s="55" t="s">
        <v>1504</v>
      </c>
      <c r="X38" s="55" t="s">
        <v>1505</v>
      </c>
      <c r="Y38" s="55" t="s">
        <v>163</v>
      </c>
      <c r="Z38" s="55" t="s">
        <v>1505</v>
      </c>
      <c r="AA38" s="55">
        <v>0</v>
      </c>
      <c r="AB38" s="124" t="s">
        <v>4584</v>
      </c>
      <c r="AC38" s="124" t="s">
        <v>220</v>
      </c>
      <c r="AD38" s="119"/>
      <c r="AE38" s="119"/>
      <c r="AF38" s="119"/>
      <c r="AG38" s="119"/>
      <c r="AH38" s="119"/>
      <c r="AI38" s="119"/>
      <c r="AJ38" s="119"/>
      <c r="AK38" s="119"/>
      <c r="AL38" s="119"/>
      <c r="AM38" s="119"/>
      <c r="AN38" s="119"/>
      <c r="AO38" s="119"/>
      <c r="AP38" s="119"/>
      <c r="AQ38" s="119"/>
      <c r="AR38" s="119"/>
      <c r="AS38" s="119"/>
      <c r="AT38" s="119"/>
      <c r="AU38" s="119"/>
      <c r="AV38" s="119"/>
      <c r="AW38" s="119"/>
      <c r="AX38" s="119"/>
      <c r="AY38" s="119"/>
      <c r="AZ38" s="119"/>
      <c r="BA38" s="119"/>
      <c r="BB38" s="119"/>
      <c r="BC38" s="119"/>
      <c r="BD38" s="119"/>
      <c r="BE38" s="119"/>
      <c r="BF38" s="119"/>
      <c r="BG38" s="119"/>
      <c r="BH38" s="119"/>
      <c r="BI38" s="119"/>
      <c r="BJ38" s="119"/>
      <c r="BK38" s="119"/>
      <c r="BL38" s="119"/>
      <c r="BM38" s="119"/>
      <c r="BN38" s="119"/>
      <c r="BO38" s="119"/>
      <c r="BP38" s="119"/>
      <c r="BQ38" s="119"/>
      <c r="BR38" s="119"/>
      <c r="BS38" s="119"/>
      <c r="BT38" s="119"/>
      <c r="BU38" s="119"/>
      <c r="BV38" s="119"/>
      <c r="BW38" s="119"/>
      <c r="BX38" s="119"/>
      <c r="BY38" s="119"/>
      <c r="BZ38" s="119"/>
      <c r="CA38" s="119"/>
      <c r="CB38" s="119"/>
      <c r="CC38" s="119"/>
      <c r="CD38" s="119"/>
      <c r="CE38" s="119"/>
      <c r="CF38" s="119"/>
      <c r="CG38" s="119"/>
      <c r="CH38" s="119"/>
      <c r="CI38" s="119"/>
      <c r="CJ38" s="119"/>
      <c r="CK38" s="120"/>
    </row>
    <row r="39" spans="2:89" x14ac:dyDescent="0.3">
      <c r="B39" s="109" t="s">
        <v>1547</v>
      </c>
      <c r="C39" s="110" t="s">
        <v>4579</v>
      </c>
      <c r="D39" s="110" t="s">
        <v>202</v>
      </c>
      <c r="E39" s="110" t="s">
        <v>434</v>
      </c>
      <c r="F39" s="110" t="s">
        <v>434</v>
      </c>
      <c r="G39" s="110" t="s">
        <v>639</v>
      </c>
      <c r="H39" s="110" t="s">
        <v>290</v>
      </c>
      <c r="I39" s="110" t="s">
        <v>160</v>
      </c>
      <c r="J39" s="110" t="s">
        <v>16</v>
      </c>
      <c r="K39" s="110" t="s">
        <v>1516</v>
      </c>
      <c r="L39" s="111" t="s">
        <v>290</v>
      </c>
      <c r="M39" s="111" t="s">
        <v>290</v>
      </c>
      <c r="N39" s="111" t="s">
        <v>290</v>
      </c>
      <c r="O39" s="111" t="s">
        <v>290</v>
      </c>
      <c r="P39" s="111" t="s">
        <v>290</v>
      </c>
      <c r="Q39" s="111" t="s">
        <v>290</v>
      </c>
      <c r="R39" s="111">
        <v>100</v>
      </c>
      <c r="S39" s="110">
        <v>1</v>
      </c>
      <c r="T39" s="110">
        <v>1</v>
      </c>
      <c r="U39" s="110" t="s">
        <v>1501</v>
      </c>
      <c r="V39" s="110" t="s">
        <v>1509</v>
      </c>
      <c r="W39" s="110" t="s">
        <v>1504</v>
      </c>
      <c r="X39" s="110" t="s">
        <v>1505</v>
      </c>
      <c r="Y39" s="110" t="s">
        <v>163</v>
      </c>
      <c r="Z39" s="110" t="s">
        <v>1505</v>
      </c>
      <c r="AA39" s="110">
        <v>0</v>
      </c>
      <c r="AB39" s="125" t="s">
        <v>4584</v>
      </c>
      <c r="AC39" s="125" t="s">
        <v>221</v>
      </c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1"/>
      <c r="BK39" s="121"/>
      <c r="BL39" s="121"/>
      <c r="BM39" s="121"/>
      <c r="BN39" s="121"/>
      <c r="BO39" s="121"/>
      <c r="BP39" s="121"/>
      <c r="BQ39" s="121"/>
      <c r="BR39" s="121"/>
      <c r="BS39" s="121"/>
      <c r="BT39" s="121"/>
      <c r="BU39" s="121"/>
      <c r="BV39" s="121"/>
      <c r="BW39" s="121"/>
      <c r="BX39" s="121"/>
      <c r="BY39" s="121"/>
      <c r="BZ39" s="121"/>
      <c r="CA39" s="121"/>
      <c r="CB39" s="121"/>
      <c r="CC39" s="121"/>
      <c r="CD39" s="121"/>
      <c r="CE39" s="121"/>
      <c r="CF39" s="121"/>
      <c r="CG39" s="121"/>
      <c r="CH39" s="121"/>
      <c r="CI39" s="121"/>
      <c r="CJ39" s="121"/>
      <c r="CK39" s="122"/>
    </row>
    <row r="40" spans="2:89" x14ac:dyDescent="0.3">
      <c r="B40" s="105" t="s">
        <v>1547</v>
      </c>
      <c r="C40" s="106" t="s">
        <v>4579</v>
      </c>
      <c r="D40" s="106" t="s">
        <v>202</v>
      </c>
      <c r="E40" s="106" t="s">
        <v>434</v>
      </c>
      <c r="F40" s="106" t="s">
        <v>434</v>
      </c>
      <c r="G40" s="106" t="s">
        <v>210</v>
      </c>
      <c r="H40" s="106" t="s">
        <v>1499</v>
      </c>
      <c r="I40" s="106" t="s">
        <v>160</v>
      </c>
      <c r="J40" s="106" t="s">
        <v>16</v>
      </c>
      <c r="K40" s="106" t="s">
        <v>1516</v>
      </c>
      <c r="L40" s="107" t="s">
        <v>290</v>
      </c>
      <c r="M40" s="107" t="s">
        <v>290</v>
      </c>
      <c r="N40" s="107" t="s">
        <v>290</v>
      </c>
      <c r="O40" s="107" t="s">
        <v>290</v>
      </c>
      <c r="P40" s="107" t="s">
        <v>290</v>
      </c>
      <c r="Q40" s="107" t="s">
        <v>290</v>
      </c>
      <c r="R40" s="107">
        <v>100</v>
      </c>
      <c r="S40" s="106">
        <v>120</v>
      </c>
      <c r="T40" s="106">
        <v>15</v>
      </c>
      <c r="U40" s="106" t="s">
        <v>1502</v>
      </c>
      <c r="V40" s="106" t="s">
        <v>1512</v>
      </c>
      <c r="W40" s="106" t="s">
        <v>1506</v>
      </c>
      <c r="X40" s="106" t="s">
        <v>1506</v>
      </c>
      <c r="Y40" s="106" t="s">
        <v>161</v>
      </c>
      <c r="Z40" s="106" t="s">
        <v>1508</v>
      </c>
      <c r="AA40" s="106"/>
      <c r="AB40" s="123" t="s">
        <v>4585</v>
      </c>
      <c r="AC40" s="123" t="s">
        <v>4573</v>
      </c>
      <c r="AD40" s="117">
        <v>1000000</v>
      </c>
      <c r="AE40" s="117"/>
      <c r="AF40" s="117"/>
      <c r="AG40" s="117"/>
      <c r="AH40" s="117"/>
      <c r="AI40" s="117"/>
      <c r="AJ40" s="117"/>
      <c r="AK40" s="117"/>
      <c r="AL40" s="117"/>
      <c r="AM40" s="117"/>
      <c r="AN40" s="117"/>
      <c r="AO40" s="117"/>
      <c r="AP40" s="117"/>
      <c r="AQ40" s="117"/>
      <c r="AR40" s="117"/>
      <c r="AS40" s="117"/>
      <c r="AT40" s="117"/>
      <c r="AU40" s="117"/>
      <c r="AV40" s="117"/>
      <c r="AW40" s="117"/>
      <c r="AX40" s="117"/>
      <c r="AY40" s="117"/>
      <c r="AZ40" s="117"/>
      <c r="BA40" s="117"/>
      <c r="BB40" s="117"/>
      <c r="BC40" s="117"/>
      <c r="BD40" s="117"/>
      <c r="BE40" s="117"/>
      <c r="BF40" s="117"/>
      <c r="BG40" s="117"/>
      <c r="BH40" s="117"/>
      <c r="BI40" s="117"/>
      <c r="BJ40" s="117"/>
      <c r="BK40" s="117"/>
      <c r="BL40" s="117"/>
      <c r="BM40" s="117"/>
      <c r="BN40" s="117"/>
      <c r="BO40" s="117"/>
      <c r="BP40" s="117"/>
      <c r="BQ40" s="117"/>
      <c r="BR40" s="117"/>
      <c r="BS40" s="117"/>
      <c r="BT40" s="117"/>
      <c r="BU40" s="117"/>
      <c r="BV40" s="117"/>
      <c r="BW40" s="117"/>
      <c r="BX40" s="117"/>
      <c r="BY40" s="117"/>
      <c r="BZ40" s="117"/>
      <c r="CA40" s="117"/>
      <c r="CB40" s="117"/>
      <c r="CC40" s="117"/>
      <c r="CD40" s="117"/>
      <c r="CE40" s="117"/>
      <c r="CF40" s="117"/>
      <c r="CG40" s="117"/>
      <c r="CH40" s="117"/>
      <c r="CI40" s="117"/>
      <c r="CJ40" s="117"/>
      <c r="CK40" s="118"/>
    </row>
    <row r="41" spans="2:89" x14ac:dyDescent="0.3">
      <c r="B41" s="108" t="s">
        <v>1547</v>
      </c>
      <c r="C41" s="153" t="s">
        <v>4579</v>
      </c>
      <c r="D41" s="55" t="s">
        <v>202</v>
      </c>
      <c r="E41" s="55" t="s">
        <v>434</v>
      </c>
      <c r="F41" s="55" t="s">
        <v>434</v>
      </c>
      <c r="G41" s="55" t="s">
        <v>210</v>
      </c>
      <c r="H41" s="55" t="s">
        <v>1499</v>
      </c>
      <c r="I41" s="55" t="s">
        <v>160</v>
      </c>
      <c r="J41" s="55" t="s">
        <v>16</v>
      </c>
      <c r="K41" s="55" t="s">
        <v>1516</v>
      </c>
      <c r="L41" s="45" t="s">
        <v>290</v>
      </c>
      <c r="M41" s="45" t="s">
        <v>290</v>
      </c>
      <c r="N41" s="45" t="s">
        <v>290</v>
      </c>
      <c r="O41" s="45" t="s">
        <v>290</v>
      </c>
      <c r="P41" s="45" t="s">
        <v>290</v>
      </c>
      <c r="Q41" s="45" t="s">
        <v>290</v>
      </c>
      <c r="R41" s="45">
        <v>100</v>
      </c>
      <c r="S41" s="55">
        <v>120</v>
      </c>
      <c r="T41" s="55">
        <v>15</v>
      </c>
      <c r="U41" s="55" t="s">
        <v>1502</v>
      </c>
      <c r="V41" s="55" t="s">
        <v>1512</v>
      </c>
      <c r="W41" s="55" t="s">
        <v>1506</v>
      </c>
      <c r="X41" s="55" t="s">
        <v>1506</v>
      </c>
      <c r="Y41" s="55" t="s">
        <v>161</v>
      </c>
      <c r="Z41" s="55" t="s">
        <v>1508</v>
      </c>
      <c r="AA41" s="55"/>
      <c r="AB41" s="124" t="s">
        <v>4585</v>
      </c>
      <c r="AC41" s="124" t="s">
        <v>224</v>
      </c>
      <c r="AD41" s="119">
        <v>100</v>
      </c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119"/>
      <c r="BB41" s="119"/>
      <c r="BC41" s="119"/>
      <c r="BD41" s="119"/>
      <c r="BE41" s="119"/>
      <c r="BF41" s="119"/>
      <c r="BG41" s="119"/>
      <c r="BH41" s="119"/>
      <c r="BI41" s="119"/>
      <c r="BJ41" s="119"/>
      <c r="BK41" s="119"/>
      <c r="BL41" s="119"/>
      <c r="BM41" s="119"/>
      <c r="BN41" s="119"/>
      <c r="BO41" s="119"/>
      <c r="BP41" s="119"/>
      <c r="BQ41" s="119"/>
      <c r="BR41" s="119"/>
      <c r="BS41" s="119"/>
      <c r="BT41" s="119"/>
      <c r="BU41" s="119"/>
      <c r="BV41" s="119"/>
      <c r="BW41" s="119"/>
      <c r="BX41" s="119"/>
      <c r="BY41" s="119"/>
      <c r="BZ41" s="119"/>
      <c r="CA41" s="119"/>
      <c r="CB41" s="119"/>
      <c r="CC41" s="119"/>
      <c r="CD41" s="119"/>
      <c r="CE41" s="119"/>
      <c r="CF41" s="119"/>
      <c r="CG41" s="119"/>
      <c r="CH41" s="119"/>
      <c r="CI41" s="119"/>
      <c r="CJ41" s="119"/>
      <c r="CK41" s="120"/>
    </row>
    <row r="42" spans="2:89" x14ac:dyDescent="0.3">
      <c r="B42" s="108" t="s">
        <v>1547</v>
      </c>
      <c r="C42" s="153" t="s">
        <v>4579</v>
      </c>
      <c r="D42" s="55" t="s">
        <v>202</v>
      </c>
      <c r="E42" s="55" t="s">
        <v>434</v>
      </c>
      <c r="F42" s="55" t="s">
        <v>434</v>
      </c>
      <c r="G42" s="55" t="s">
        <v>210</v>
      </c>
      <c r="H42" s="55" t="s">
        <v>1499</v>
      </c>
      <c r="I42" s="55" t="s">
        <v>160</v>
      </c>
      <c r="J42" s="55" t="s">
        <v>16</v>
      </c>
      <c r="K42" s="55" t="s">
        <v>1516</v>
      </c>
      <c r="L42" s="45" t="s">
        <v>290</v>
      </c>
      <c r="M42" s="45" t="s">
        <v>290</v>
      </c>
      <c r="N42" s="45" t="s">
        <v>290</v>
      </c>
      <c r="O42" s="45" t="s">
        <v>290</v>
      </c>
      <c r="P42" s="45" t="s">
        <v>290</v>
      </c>
      <c r="Q42" s="45" t="s">
        <v>290</v>
      </c>
      <c r="R42" s="45">
        <v>100</v>
      </c>
      <c r="S42" s="55">
        <v>120</v>
      </c>
      <c r="T42" s="55">
        <v>15</v>
      </c>
      <c r="U42" s="55" t="s">
        <v>1502</v>
      </c>
      <c r="V42" s="55" t="s">
        <v>1512</v>
      </c>
      <c r="W42" s="55" t="s">
        <v>1506</v>
      </c>
      <c r="X42" s="55" t="s">
        <v>1506</v>
      </c>
      <c r="Y42" s="55" t="s">
        <v>161</v>
      </c>
      <c r="Z42" s="55" t="s">
        <v>1508</v>
      </c>
      <c r="AA42" s="55"/>
      <c r="AB42" s="124" t="s">
        <v>4585</v>
      </c>
      <c r="AC42" s="124" t="s">
        <v>220</v>
      </c>
      <c r="AD42" s="119">
        <v>100</v>
      </c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20"/>
    </row>
    <row r="43" spans="2:89" x14ac:dyDescent="0.3">
      <c r="B43" s="109" t="s">
        <v>1547</v>
      </c>
      <c r="C43" s="110" t="s">
        <v>4579</v>
      </c>
      <c r="D43" s="110" t="s">
        <v>202</v>
      </c>
      <c r="E43" s="110" t="s">
        <v>434</v>
      </c>
      <c r="F43" s="110" t="s">
        <v>434</v>
      </c>
      <c r="G43" s="110" t="s">
        <v>210</v>
      </c>
      <c r="H43" s="110" t="s">
        <v>1499</v>
      </c>
      <c r="I43" s="110" t="s">
        <v>160</v>
      </c>
      <c r="J43" s="110" t="s">
        <v>16</v>
      </c>
      <c r="K43" s="110" t="s">
        <v>1516</v>
      </c>
      <c r="L43" s="111" t="s">
        <v>290</v>
      </c>
      <c r="M43" s="111" t="s">
        <v>290</v>
      </c>
      <c r="N43" s="111" t="s">
        <v>290</v>
      </c>
      <c r="O43" s="111" t="s">
        <v>290</v>
      </c>
      <c r="P43" s="111" t="s">
        <v>290</v>
      </c>
      <c r="Q43" s="111" t="s">
        <v>290</v>
      </c>
      <c r="R43" s="111">
        <v>100</v>
      </c>
      <c r="S43" s="110">
        <v>120</v>
      </c>
      <c r="T43" s="110">
        <v>15</v>
      </c>
      <c r="U43" s="110" t="s">
        <v>1502</v>
      </c>
      <c r="V43" s="110" t="s">
        <v>1512</v>
      </c>
      <c r="W43" s="110" t="s">
        <v>1506</v>
      </c>
      <c r="X43" s="110" t="s">
        <v>1506</v>
      </c>
      <c r="Y43" s="110" t="s">
        <v>161</v>
      </c>
      <c r="Z43" s="110" t="s">
        <v>1508</v>
      </c>
      <c r="AA43" s="110"/>
      <c r="AB43" s="125" t="s">
        <v>4585</v>
      </c>
      <c r="AC43" s="125" t="s">
        <v>221</v>
      </c>
      <c r="AD43" s="121">
        <v>100</v>
      </c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2"/>
    </row>
    <row r="44" spans="2:89" x14ac:dyDescent="0.3">
      <c r="B44" s="105" t="s">
        <v>1547</v>
      </c>
      <c r="C44" s="106" t="s">
        <v>4580</v>
      </c>
      <c r="D44" s="106" t="s">
        <v>292</v>
      </c>
      <c r="E44" s="106" t="s">
        <v>434</v>
      </c>
      <c r="F44" s="106" t="s">
        <v>434</v>
      </c>
      <c r="G44" s="106" t="s">
        <v>1579</v>
      </c>
      <c r="H44" s="106" t="s">
        <v>290</v>
      </c>
      <c r="I44" s="106" t="s">
        <v>160</v>
      </c>
      <c r="J44" s="106" t="s">
        <v>4582</v>
      </c>
      <c r="K44" s="106" t="s">
        <v>1515</v>
      </c>
      <c r="L44" s="107" t="s">
        <v>290</v>
      </c>
      <c r="M44" s="107" t="s">
        <v>290</v>
      </c>
      <c r="N44" s="107" t="s">
        <v>290</v>
      </c>
      <c r="O44" s="107" t="s">
        <v>290</v>
      </c>
      <c r="P44" s="107" t="s">
        <v>290</v>
      </c>
      <c r="Q44" s="107" t="s">
        <v>290</v>
      </c>
      <c r="R44" s="107">
        <v>100</v>
      </c>
      <c r="S44" s="114"/>
      <c r="T44" s="114"/>
      <c r="U44" s="114"/>
      <c r="V44" s="114"/>
      <c r="W44" s="114"/>
      <c r="X44" s="114"/>
      <c r="Y44" s="114"/>
      <c r="Z44" s="114"/>
      <c r="AA44" s="114"/>
      <c r="AB44" s="123" t="s">
        <v>4586</v>
      </c>
      <c r="AC44" s="123" t="s">
        <v>1168</v>
      </c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7"/>
      <c r="AO44" s="117"/>
      <c r="AP44" s="117"/>
      <c r="AQ44" s="117"/>
      <c r="AR44" s="117"/>
      <c r="AS44" s="117"/>
      <c r="AT44" s="117"/>
      <c r="AU44" s="117"/>
      <c r="AV44" s="117"/>
      <c r="AW44" s="117"/>
      <c r="AX44" s="117"/>
      <c r="AY44" s="117"/>
      <c r="AZ44" s="117"/>
      <c r="BA44" s="117"/>
      <c r="BB44" s="117"/>
      <c r="BC44" s="117"/>
      <c r="BD44" s="117"/>
      <c r="BE44" s="117"/>
      <c r="BF44" s="117"/>
      <c r="BG44" s="117"/>
      <c r="BH44" s="117"/>
      <c r="BI44" s="117"/>
      <c r="BJ44" s="117"/>
      <c r="BK44" s="117"/>
      <c r="BL44" s="117"/>
      <c r="BM44" s="117"/>
      <c r="BN44" s="117"/>
      <c r="BO44" s="117"/>
      <c r="BP44" s="117"/>
      <c r="BQ44" s="117"/>
      <c r="BR44" s="117"/>
      <c r="BS44" s="117"/>
      <c r="BT44" s="117"/>
      <c r="BU44" s="117"/>
      <c r="BV44" s="117"/>
      <c r="BW44" s="117"/>
      <c r="BX44" s="117"/>
      <c r="BY44" s="117"/>
      <c r="BZ44" s="117"/>
      <c r="CA44" s="117"/>
      <c r="CB44" s="117"/>
      <c r="CC44" s="117"/>
      <c r="CD44" s="117"/>
      <c r="CE44" s="117"/>
      <c r="CF44" s="117"/>
      <c r="CG44" s="117"/>
      <c r="CH44" s="117"/>
      <c r="CI44" s="117"/>
      <c r="CJ44" s="117"/>
      <c r="CK44" s="118"/>
    </row>
    <row r="45" spans="2:89" x14ac:dyDescent="0.3">
      <c r="B45" s="108" t="s">
        <v>1547</v>
      </c>
      <c r="C45" s="153" t="s">
        <v>4580</v>
      </c>
      <c r="D45" s="55" t="s">
        <v>292</v>
      </c>
      <c r="E45" s="55" t="s">
        <v>434</v>
      </c>
      <c r="F45" s="55" t="s">
        <v>434</v>
      </c>
      <c r="G45" s="55" t="s">
        <v>1579</v>
      </c>
      <c r="H45" s="55" t="s">
        <v>290</v>
      </c>
      <c r="I45" s="55" t="s">
        <v>160</v>
      </c>
      <c r="J45" s="55" t="s">
        <v>4582</v>
      </c>
      <c r="K45" s="55" t="s">
        <v>1515</v>
      </c>
      <c r="L45" s="45" t="s">
        <v>290</v>
      </c>
      <c r="M45" s="45" t="s">
        <v>290</v>
      </c>
      <c r="N45" s="45" t="s">
        <v>290</v>
      </c>
      <c r="O45" s="45" t="s">
        <v>290</v>
      </c>
      <c r="P45" s="45" t="s">
        <v>290</v>
      </c>
      <c r="Q45" s="45" t="s">
        <v>290</v>
      </c>
      <c r="R45" s="45">
        <v>100</v>
      </c>
      <c r="S45" s="116"/>
      <c r="T45" s="116"/>
      <c r="U45" s="116"/>
      <c r="V45" s="116"/>
      <c r="W45" s="116"/>
      <c r="X45" s="116"/>
      <c r="Y45" s="116"/>
      <c r="Z45" s="116"/>
      <c r="AA45" s="116"/>
      <c r="AB45" s="124" t="s">
        <v>4586</v>
      </c>
      <c r="AC45" s="124" t="s">
        <v>220</v>
      </c>
      <c r="AD45" s="119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  <c r="BC45" s="119"/>
      <c r="BD45" s="119"/>
      <c r="BE45" s="119"/>
      <c r="BF45" s="119"/>
      <c r="BG45" s="119"/>
      <c r="BH45" s="119"/>
      <c r="BI45" s="119"/>
      <c r="BJ45" s="119"/>
      <c r="BK45" s="119"/>
      <c r="BL45" s="119"/>
      <c r="BM45" s="119"/>
      <c r="BN45" s="119"/>
      <c r="BO45" s="119"/>
      <c r="BP45" s="119"/>
      <c r="BQ45" s="119"/>
      <c r="BR45" s="119"/>
      <c r="BS45" s="119"/>
      <c r="BT45" s="119"/>
      <c r="BU45" s="119"/>
      <c r="BV45" s="119"/>
      <c r="BW45" s="119"/>
      <c r="BX45" s="119"/>
      <c r="BY45" s="119"/>
      <c r="BZ45" s="119"/>
      <c r="CA45" s="119"/>
      <c r="CB45" s="119"/>
      <c r="CC45" s="119"/>
      <c r="CD45" s="119"/>
      <c r="CE45" s="119"/>
      <c r="CF45" s="119"/>
      <c r="CG45" s="119"/>
      <c r="CH45" s="119"/>
      <c r="CI45" s="119"/>
      <c r="CJ45" s="119"/>
      <c r="CK45" s="120"/>
    </row>
    <row r="46" spans="2:89" x14ac:dyDescent="0.3">
      <c r="B46" s="109" t="s">
        <v>1547</v>
      </c>
      <c r="C46" s="110" t="s">
        <v>4580</v>
      </c>
      <c r="D46" s="110" t="s">
        <v>292</v>
      </c>
      <c r="E46" s="110" t="s">
        <v>434</v>
      </c>
      <c r="F46" s="110" t="s">
        <v>434</v>
      </c>
      <c r="G46" s="110" t="s">
        <v>1579</v>
      </c>
      <c r="H46" s="110" t="s">
        <v>290</v>
      </c>
      <c r="I46" s="110" t="s">
        <v>160</v>
      </c>
      <c r="J46" s="110" t="s">
        <v>4582</v>
      </c>
      <c r="K46" s="110" t="s">
        <v>1515</v>
      </c>
      <c r="L46" s="111" t="s">
        <v>290</v>
      </c>
      <c r="M46" s="111" t="s">
        <v>290</v>
      </c>
      <c r="N46" s="111" t="s">
        <v>290</v>
      </c>
      <c r="O46" s="111" t="s">
        <v>290</v>
      </c>
      <c r="P46" s="111" t="s">
        <v>290</v>
      </c>
      <c r="Q46" s="111" t="s">
        <v>290</v>
      </c>
      <c r="R46" s="111">
        <v>100</v>
      </c>
      <c r="S46" s="115"/>
      <c r="T46" s="115"/>
      <c r="U46" s="115"/>
      <c r="V46" s="115"/>
      <c r="W46" s="115"/>
      <c r="X46" s="115"/>
      <c r="Y46" s="115"/>
      <c r="Z46" s="115"/>
      <c r="AA46" s="115"/>
      <c r="AB46" s="125" t="s">
        <v>4586</v>
      </c>
      <c r="AC46" s="125" t="s">
        <v>221</v>
      </c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1"/>
      <c r="BK46" s="121"/>
      <c r="BL46" s="121"/>
      <c r="BM46" s="121"/>
      <c r="BN46" s="121"/>
      <c r="BO46" s="121"/>
      <c r="BP46" s="121"/>
      <c r="BQ46" s="121"/>
      <c r="BR46" s="121"/>
      <c r="BS46" s="121"/>
      <c r="BT46" s="121"/>
      <c r="BU46" s="121"/>
      <c r="BV46" s="121"/>
      <c r="BW46" s="121"/>
      <c r="BX46" s="121"/>
      <c r="BY46" s="121"/>
      <c r="BZ46" s="121"/>
      <c r="CA46" s="121"/>
      <c r="CB46" s="121"/>
      <c r="CC46" s="121"/>
      <c r="CD46" s="121"/>
      <c r="CE46" s="121"/>
      <c r="CF46" s="121"/>
      <c r="CG46" s="121"/>
      <c r="CH46" s="121"/>
      <c r="CI46" s="121"/>
      <c r="CJ46" s="121"/>
      <c r="CK46" s="122"/>
    </row>
    <row r="47" spans="2:89" x14ac:dyDescent="0.3">
      <c r="B47" s="105" t="s">
        <v>1547</v>
      </c>
      <c r="C47" s="106" t="s">
        <v>4580</v>
      </c>
      <c r="D47" s="106" t="s">
        <v>292</v>
      </c>
      <c r="E47" s="106" t="s">
        <v>434</v>
      </c>
      <c r="F47" s="106" t="s">
        <v>434</v>
      </c>
      <c r="G47" s="106" t="s">
        <v>1579</v>
      </c>
      <c r="H47" s="106" t="s">
        <v>290</v>
      </c>
      <c r="I47" s="106" t="s">
        <v>160</v>
      </c>
      <c r="J47" s="106" t="s">
        <v>4582</v>
      </c>
      <c r="K47" s="106" t="s">
        <v>1516</v>
      </c>
      <c r="L47" s="107" t="s">
        <v>290</v>
      </c>
      <c r="M47" s="107" t="s">
        <v>290</v>
      </c>
      <c r="N47" s="107" t="s">
        <v>290</v>
      </c>
      <c r="O47" s="107" t="s">
        <v>290</v>
      </c>
      <c r="P47" s="107" t="s">
        <v>290</v>
      </c>
      <c r="Q47" s="107" t="s">
        <v>290</v>
      </c>
      <c r="R47" s="107">
        <v>100</v>
      </c>
      <c r="S47" s="114"/>
      <c r="T47" s="114"/>
      <c r="U47" s="114"/>
      <c r="V47" s="114"/>
      <c r="W47" s="114"/>
      <c r="X47" s="114"/>
      <c r="Y47" s="114"/>
      <c r="Z47" s="114"/>
      <c r="AA47" s="114"/>
      <c r="AB47" s="123" t="s">
        <v>4587</v>
      </c>
      <c r="AC47" s="123" t="s">
        <v>1168</v>
      </c>
      <c r="AD47" s="117"/>
      <c r="AE47" s="117"/>
      <c r="AF47" s="117"/>
      <c r="AG47" s="117"/>
      <c r="AH47" s="117"/>
      <c r="AI47" s="117"/>
      <c r="AJ47" s="117"/>
      <c r="AK47" s="117"/>
      <c r="AL47" s="117"/>
      <c r="AM47" s="117"/>
      <c r="AN47" s="117"/>
      <c r="AO47" s="117"/>
      <c r="AP47" s="117"/>
      <c r="AQ47" s="117"/>
      <c r="AR47" s="117"/>
      <c r="AS47" s="117"/>
      <c r="AT47" s="117"/>
      <c r="AU47" s="117"/>
      <c r="AV47" s="117"/>
      <c r="AW47" s="117"/>
      <c r="AX47" s="117"/>
      <c r="AY47" s="117"/>
      <c r="AZ47" s="117"/>
      <c r="BA47" s="117"/>
      <c r="BB47" s="117"/>
      <c r="BC47" s="117"/>
      <c r="BD47" s="117"/>
      <c r="BE47" s="117"/>
      <c r="BF47" s="117"/>
      <c r="BG47" s="117"/>
      <c r="BH47" s="117"/>
      <c r="BI47" s="117"/>
      <c r="BJ47" s="117"/>
      <c r="BK47" s="117"/>
      <c r="BL47" s="117"/>
      <c r="BM47" s="117"/>
      <c r="BN47" s="117"/>
      <c r="BO47" s="117"/>
      <c r="BP47" s="117"/>
      <c r="BQ47" s="117"/>
      <c r="BR47" s="117"/>
      <c r="BS47" s="117"/>
      <c r="BT47" s="117"/>
      <c r="BU47" s="117"/>
      <c r="BV47" s="117"/>
      <c r="BW47" s="117"/>
      <c r="BX47" s="117"/>
      <c r="BY47" s="117"/>
      <c r="BZ47" s="117"/>
      <c r="CA47" s="117"/>
      <c r="CB47" s="117"/>
      <c r="CC47" s="117"/>
      <c r="CD47" s="117"/>
      <c r="CE47" s="117"/>
      <c r="CF47" s="117"/>
      <c r="CG47" s="117"/>
      <c r="CH47" s="117"/>
      <c r="CI47" s="117"/>
      <c r="CJ47" s="117"/>
      <c r="CK47" s="118"/>
    </row>
    <row r="48" spans="2:89" x14ac:dyDescent="0.3">
      <c r="B48" s="108" t="s">
        <v>1547</v>
      </c>
      <c r="C48" s="153" t="s">
        <v>4580</v>
      </c>
      <c r="D48" s="55" t="s">
        <v>292</v>
      </c>
      <c r="E48" s="55" t="s">
        <v>434</v>
      </c>
      <c r="F48" s="55" t="s">
        <v>434</v>
      </c>
      <c r="G48" s="55" t="s">
        <v>1579</v>
      </c>
      <c r="H48" s="55" t="s">
        <v>290</v>
      </c>
      <c r="I48" s="55" t="s">
        <v>160</v>
      </c>
      <c r="J48" s="55" t="s">
        <v>4582</v>
      </c>
      <c r="K48" s="55" t="s">
        <v>1516</v>
      </c>
      <c r="L48" s="45" t="s">
        <v>290</v>
      </c>
      <c r="M48" s="45" t="s">
        <v>290</v>
      </c>
      <c r="N48" s="45" t="s">
        <v>290</v>
      </c>
      <c r="O48" s="45" t="s">
        <v>290</v>
      </c>
      <c r="P48" s="45" t="s">
        <v>290</v>
      </c>
      <c r="Q48" s="45" t="s">
        <v>290</v>
      </c>
      <c r="R48" s="45">
        <v>100</v>
      </c>
      <c r="S48" s="116"/>
      <c r="T48" s="116"/>
      <c r="U48" s="116"/>
      <c r="V48" s="116"/>
      <c r="W48" s="116"/>
      <c r="X48" s="116"/>
      <c r="Y48" s="116"/>
      <c r="Z48" s="116"/>
      <c r="AA48" s="116"/>
      <c r="AB48" s="124" t="s">
        <v>4587</v>
      </c>
      <c r="AC48" s="124" t="s">
        <v>220</v>
      </c>
      <c r="AD48" s="119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119"/>
      <c r="BB48" s="119"/>
      <c r="BC48" s="119"/>
      <c r="BD48" s="119"/>
      <c r="BE48" s="119"/>
      <c r="BF48" s="119"/>
      <c r="BG48" s="119"/>
      <c r="BH48" s="119"/>
      <c r="BI48" s="119"/>
      <c r="BJ48" s="119"/>
      <c r="BK48" s="119"/>
      <c r="BL48" s="119"/>
      <c r="BM48" s="119"/>
      <c r="BN48" s="119"/>
      <c r="BO48" s="119"/>
      <c r="BP48" s="119"/>
      <c r="BQ48" s="119"/>
      <c r="BR48" s="119"/>
      <c r="BS48" s="119"/>
      <c r="BT48" s="119"/>
      <c r="BU48" s="119"/>
      <c r="BV48" s="119"/>
      <c r="BW48" s="119"/>
      <c r="BX48" s="119"/>
      <c r="BY48" s="119"/>
      <c r="BZ48" s="119"/>
      <c r="CA48" s="119"/>
      <c r="CB48" s="119"/>
      <c r="CC48" s="119"/>
      <c r="CD48" s="119"/>
      <c r="CE48" s="119"/>
      <c r="CF48" s="119"/>
      <c r="CG48" s="119"/>
      <c r="CH48" s="119"/>
      <c r="CI48" s="119"/>
      <c r="CJ48" s="119"/>
      <c r="CK48" s="120"/>
    </row>
    <row r="49" spans="2:89" x14ac:dyDescent="0.3">
      <c r="B49" s="109" t="s">
        <v>1547</v>
      </c>
      <c r="C49" s="110" t="s">
        <v>4580</v>
      </c>
      <c r="D49" s="110" t="s">
        <v>292</v>
      </c>
      <c r="E49" s="110" t="s">
        <v>434</v>
      </c>
      <c r="F49" s="110" t="s">
        <v>434</v>
      </c>
      <c r="G49" s="110" t="s">
        <v>1579</v>
      </c>
      <c r="H49" s="110" t="s">
        <v>290</v>
      </c>
      <c r="I49" s="110" t="s">
        <v>160</v>
      </c>
      <c r="J49" s="110" t="s">
        <v>4582</v>
      </c>
      <c r="K49" s="110" t="s">
        <v>1516</v>
      </c>
      <c r="L49" s="111" t="s">
        <v>290</v>
      </c>
      <c r="M49" s="111" t="s">
        <v>290</v>
      </c>
      <c r="N49" s="111" t="s">
        <v>290</v>
      </c>
      <c r="O49" s="111" t="s">
        <v>290</v>
      </c>
      <c r="P49" s="111" t="s">
        <v>290</v>
      </c>
      <c r="Q49" s="111" t="s">
        <v>290</v>
      </c>
      <c r="R49" s="111">
        <v>100</v>
      </c>
      <c r="S49" s="115"/>
      <c r="T49" s="115"/>
      <c r="U49" s="115"/>
      <c r="V49" s="115"/>
      <c r="W49" s="115"/>
      <c r="X49" s="115"/>
      <c r="Y49" s="115"/>
      <c r="Z49" s="115"/>
      <c r="AA49" s="115"/>
      <c r="AB49" s="125" t="s">
        <v>4587</v>
      </c>
      <c r="AC49" s="125" t="s">
        <v>221</v>
      </c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1"/>
      <c r="BK49" s="121"/>
      <c r="BL49" s="121"/>
      <c r="BM49" s="121"/>
      <c r="BN49" s="121"/>
      <c r="BO49" s="121"/>
      <c r="BP49" s="121"/>
      <c r="BQ49" s="121"/>
      <c r="BR49" s="121"/>
      <c r="BS49" s="121"/>
      <c r="BT49" s="121"/>
      <c r="BU49" s="121"/>
      <c r="BV49" s="121"/>
      <c r="BW49" s="121"/>
      <c r="BX49" s="121"/>
      <c r="BY49" s="121"/>
      <c r="BZ49" s="121"/>
      <c r="CA49" s="121"/>
      <c r="CB49" s="121"/>
      <c r="CC49" s="121"/>
      <c r="CD49" s="121"/>
      <c r="CE49" s="121"/>
      <c r="CF49" s="121"/>
      <c r="CG49" s="121"/>
      <c r="CH49" s="121"/>
      <c r="CI49" s="121"/>
      <c r="CJ49" s="121"/>
      <c r="CK49" s="122"/>
    </row>
  </sheetData>
  <mergeCells count="2">
    <mergeCell ref="B7:G7"/>
    <mergeCell ref="B23:G23"/>
  </mergeCells>
  <conditionalFormatting sqref="E10:F19">
    <cfRule type="expression" dxfId="8" priority="25">
      <formula>$C$12="PN NMD"</formula>
    </cfRule>
  </conditionalFormatting>
  <dataValidations count="26">
    <dataValidation type="list" allowBlank="1" showInputMessage="1" showErrorMessage="1" sqref="C12" xr:uid="{788C48CD-CCEF-4C14-A06C-2AC7E14F52CB}">
      <formula1>_STRESS_PN_TYPE</formula1>
    </dataValidation>
    <dataValidation type="list" allowBlank="1" showInputMessage="1" showErrorMessage="1" sqref="C14" xr:uid="{850072AA-AB82-4CB5-B75F-F5ADD97770AB}">
      <formula1>_STRESS_PN_ETAB</formula1>
    </dataValidation>
    <dataValidation type="list" allowBlank="1" showInputMessage="1" sqref="F15" xr:uid="{FF118BB9-127E-46BB-B1CF-267CDF6E9F13}">
      <formula1>_STRESS_PN_PERIODE_INTERETS</formula1>
    </dataValidation>
    <dataValidation type="list" allowBlank="1" showInputMessage="1" sqref="F14" xr:uid="{F1ED29BB-940E-4720-ABCA-1D4D2441A26D}">
      <formula1>_STRESS_PN_PERIODE_PROFIL</formula1>
    </dataValidation>
    <dataValidation type="list" allowBlank="1" showInputMessage="1" sqref="F13" xr:uid="{75881A76-7EBC-42CC-8776-F83A13C569AB}">
      <formula1>_STRESS_PN_BASE_CALC</formula1>
    </dataValidation>
    <dataValidation type="list" allowBlank="1" showInputMessage="1" sqref="F12" xr:uid="{28CA64CE-1DD6-48FB-82F9-EDD0CE6599A0}">
      <formula1>_STRESS_PN_PROFIL_EC</formula1>
    </dataValidation>
    <dataValidation type="list" allowBlank="1" showInputMessage="1" showErrorMessage="1" sqref="C17" xr:uid="{1776332C-9280-4B56-8010-1351DEBF7810}">
      <formula1>_STRESS_PN_DEVISE2</formula1>
    </dataValidation>
    <dataValidation type="list" allowBlank="1" showInputMessage="1" sqref="F11" xr:uid="{8DB68FDA-05B1-44D4-8FE0-23421609EF00}">
      <formula1>_STRESS_PN_JRPN</formula1>
    </dataValidation>
    <dataValidation type="list" allowBlank="1" showInputMessage="1" sqref="C18" xr:uid="{E47DF259-43DD-4C36-A9A0-0F10D521B8D1}">
      <formula1>_STRESS_PN_INDEX2</formula1>
    </dataValidation>
    <dataValidation type="list" allowBlank="1" showInputMessage="1" sqref="C15" xr:uid="{BB70A98C-2C8F-4EAF-B87C-E8210ED0EB1B}">
      <formula1>IF(C12="PN NMD",_STRESS_PN_CONTRAT_NMD,_STRESS_PN_CONTRAT_ECH)</formula1>
    </dataValidation>
    <dataValidation type="list" allowBlank="1" showInputMessage="1" showErrorMessage="1" sqref="F17" xr:uid="{C961DE58-829B-413E-BDEB-2BF27ADFA8F1}">
      <formula1>_STRESS_PN_PERIODE_CAPI</formula1>
    </dataValidation>
    <dataValidation type="list" allowBlank="1" showInputMessage="1" sqref="C16" xr:uid="{F5373F32-6125-4FE6-A787-13D9AAAD8B75}">
      <formula1>_STRESS_PN_MATUR</formula1>
    </dataValidation>
    <dataValidation type="whole" allowBlank="1" showInputMessage="1" showErrorMessage="1" sqref="F10" xr:uid="{C63E6183-9A60-4F9C-B94E-A17718034934}">
      <formula1>1</formula1>
      <formula2>360</formula2>
    </dataValidation>
    <dataValidation type="list" allowBlank="1" showInputMessage="1" showErrorMessage="1" sqref="C13" xr:uid="{CD27B1E8-D20B-43AF-AA54-64CB8DF3EA7D}">
      <formula1>_STRESS_PN_BASSIN</formula1>
    </dataValidation>
    <dataValidation type="list" allowBlank="1" showInputMessage="1" sqref="F16" xr:uid="{FF18598E-C2E7-4B59-9305-D71D14F8AD2F}">
      <formula1>_STRESS_PN_PERIODE_FIXING</formula1>
    </dataValidation>
    <dataValidation type="list" allowBlank="1" showInputMessage="1" showErrorMessage="1" sqref="F18:F19" xr:uid="{048D4AF6-93DF-40DB-84ED-824AD0223498}">
      <formula1>",0,1,2,3,4,5,6,7,8,9,10,11,12,13,14,15,16,17,18,19,20,21,22,23,24"</formula1>
    </dataValidation>
    <dataValidation type="list" allowBlank="1" showInputMessage="1" sqref="C19" xr:uid="{3C6F8464-E2D8-430A-9B79-D77581E197CD}">
      <formula1>_STRESS_PN_MARCHE</formula1>
    </dataValidation>
    <dataValidation type="list" allowBlank="1" showInputMessage="1" showErrorMessage="1" sqref="C11" xr:uid="{3BB66568-82EF-41B3-A9A5-719759090FCA}">
      <formula1>"AJOUT,REMPLACEMENT"</formula1>
    </dataValidation>
    <dataValidation type="custom" allowBlank="1" showInputMessage="1" showErrorMessage="1" sqref="AC26 AC29 AC44 AC47" xr:uid="{0C9856DD-9288-46E0-8120-DC248A72A127}">
      <formula1>"ECM"</formula1>
    </dataValidation>
    <dataValidation type="custom" allowBlank="1" showInputMessage="1" showErrorMessage="1" sqref="AB28:AC28 AB31:AC31 AB35:AC35 AB39:AC39 AB43:AC43 AB46:AC46 AB49:AC49" xr:uid="{9DDBD354-51A3-49AD-9DDC-EC9A5C2BC884}">
      <formula1>"TxProdCible(bps)"</formula1>
    </dataValidation>
    <dataValidation type="custom" allowBlank="1" showInputMessage="1" showErrorMessage="1" sqref="AB27:AC27 AB30:AC30 AB34:AC34 AB38:AC38 AB42:AC42 AB45:AC45 AB48:AC48" xr:uid="{9EDBDFF9-116F-4337-AF10-5C3C7A923F10}">
      <formula1>"TxSpPN(bps)"</formula1>
    </dataValidation>
    <dataValidation type="custom" allowBlank="1" showInputMessage="1" showErrorMessage="1" sqref="AB26 AB29 AB32 AB36 AB40 AB44 AB47" xr:uid="{C45B1620-A4E0-4311-A2F2-9F6CF8840880}">
      <formula1>"DEM"</formula1>
    </dataValidation>
    <dataValidation type="decimal" allowBlank="1" showInputMessage="1" showErrorMessage="1" sqref="S32:S43 R26:R49" xr:uid="{BC806072-0B91-4A76-B171-E8773347CC90}">
      <formula1>0</formula1>
      <formula2>100</formula2>
    </dataValidation>
    <dataValidation type="custom" allowBlank="1" showInputMessage="1" showErrorMessage="1" sqref="AC32 AC36 AC40" xr:uid="{FF05A5A0-8732-4C0A-A6C3-4C01835D9E2C}">
      <formula1>"'FlEM'"</formula1>
    </dataValidation>
    <dataValidation type="custom" allowBlank="1" showInputMessage="1" showErrorMessage="1" sqref="AB33:AC33 AB37:AC37 AB41:AC41" xr:uid="{EB20CC51-2437-4C84-83F7-3A3943EB1FB0}">
      <formula1>"MargeCo(bps)"</formula1>
    </dataValidation>
    <dataValidation type="decimal" allowBlank="1" showInputMessage="1" showErrorMessage="1" sqref="AD26:CK49" xr:uid="{8F19922F-085D-4C40-87A5-9401D8060E14}">
      <formula1>-10000000000000000000</formula1>
      <formula2>10000000000000000000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D474D-3E26-417C-BDEE-62410DC983DF}">
  <sheetPr codeName="Feuil7">
    <tabColor theme="1" tint="0.34998626667073579"/>
  </sheetPr>
  <dimension ref="A1:CJ10"/>
  <sheetViews>
    <sheetView showGridLines="0" workbookViewId="0">
      <selection activeCell="B13" sqref="B13"/>
    </sheetView>
  </sheetViews>
  <sheetFormatPr baseColWidth="10" defaultRowHeight="14.4" x14ac:dyDescent="0.3"/>
  <cols>
    <col min="1" max="2" width="17.88671875" customWidth="1"/>
    <col min="17" max="17" width="17.88671875" customWidth="1"/>
    <col min="18" max="18" width="16.44140625" customWidth="1"/>
    <col min="19" max="25" width="15.44140625" customWidth="1"/>
    <col min="26" max="26" width="17.5546875" customWidth="1"/>
    <col min="27" max="27" width="15.44140625" customWidth="1"/>
    <col min="28" max="28" width="13.88671875" customWidth="1"/>
  </cols>
  <sheetData>
    <row r="1" spans="1:88" s="104" customFormat="1" x14ac:dyDescent="0.3">
      <c r="A1" s="97" t="s">
        <v>262</v>
      </c>
      <c r="B1" s="97" t="s">
        <v>4578</v>
      </c>
      <c r="C1" s="97" t="s">
        <v>280</v>
      </c>
      <c r="D1" s="97" t="s">
        <v>1484</v>
      </c>
      <c r="E1" s="97" t="s">
        <v>1397</v>
      </c>
      <c r="F1" s="97" t="s">
        <v>283</v>
      </c>
      <c r="G1" s="97" t="s">
        <v>1485</v>
      </c>
      <c r="H1" s="97" t="s">
        <v>265</v>
      </c>
      <c r="I1" s="97" t="s">
        <v>282</v>
      </c>
      <c r="J1" s="97" t="s">
        <v>1239</v>
      </c>
      <c r="K1" s="97" t="s">
        <v>1486</v>
      </c>
      <c r="L1" s="97" t="s">
        <v>1487</v>
      </c>
      <c r="M1" s="97" t="s">
        <v>1488</v>
      </c>
      <c r="N1" s="97" t="s">
        <v>1489</v>
      </c>
      <c r="O1" s="97" t="s">
        <v>379</v>
      </c>
      <c r="P1" s="97" t="s">
        <v>1490</v>
      </c>
      <c r="Q1" s="97" t="s">
        <v>1491</v>
      </c>
      <c r="R1" s="98" t="s">
        <v>279</v>
      </c>
      <c r="S1" s="98" t="s">
        <v>1493</v>
      </c>
      <c r="T1" s="98" t="s">
        <v>2657</v>
      </c>
      <c r="U1" s="98" t="s">
        <v>1494</v>
      </c>
      <c r="V1" s="98" t="s">
        <v>2655</v>
      </c>
      <c r="W1" s="98" t="s">
        <v>2656</v>
      </c>
      <c r="X1" s="98" t="s">
        <v>1495</v>
      </c>
      <c r="Y1" s="98" t="s">
        <v>1496</v>
      </c>
      <c r="Z1" s="98" t="s">
        <v>4574</v>
      </c>
      <c r="AA1" s="99" t="s">
        <v>1492</v>
      </c>
      <c r="AB1" s="151" t="s">
        <v>1497</v>
      </c>
      <c r="AC1" s="100" t="s">
        <v>529</v>
      </c>
      <c r="AD1" s="100" t="s">
        <v>530</v>
      </c>
      <c r="AE1" s="100" t="s">
        <v>531</v>
      </c>
      <c r="AF1" s="100" t="s">
        <v>532</v>
      </c>
      <c r="AG1" s="100" t="s">
        <v>533</v>
      </c>
      <c r="AH1" s="100" t="s">
        <v>534</v>
      </c>
      <c r="AI1" s="100" t="s">
        <v>535</v>
      </c>
      <c r="AJ1" s="100" t="s">
        <v>536</v>
      </c>
      <c r="AK1" s="100" t="s">
        <v>537</v>
      </c>
      <c r="AL1" s="100" t="s">
        <v>538</v>
      </c>
      <c r="AM1" s="100" t="s">
        <v>539</v>
      </c>
      <c r="AN1" s="100" t="s">
        <v>540</v>
      </c>
      <c r="AO1" s="100" t="s">
        <v>541</v>
      </c>
      <c r="AP1" s="100" t="s">
        <v>542</v>
      </c>
      <c r="AQ1" s="100" t="s">
        <v>543</v>
      </c>
      <c r="AR1" s="100" t="s">
        <v>544</v>
      </c>
      <c r="AS1" s="100" t="s">
        <v>545</v>
      </c>
      <c r="AT1" s="100" t="s">
        <v>546</v>
      </c>
      <c r="AU1" s="100" t="s">
        <v>547</v>
      </c>
      <c r="AV1" s="100" t="s">
        <v>548</v>
      </c>
      <c r="AW1" s="100" t="s">
        <v>549</v>
      </c>
      <c r="AX1" s="100" t="s">
        <v>550</v>
      </c>
      <c r="AY1" s="100" t="s">
        <v>551</v>
      </c>
      <c r="AZ1" s="100" t="s">
        <v>552</v>
      </c>
      <c r="BA1" s="100" t="s">
        <v>553</v>
      </c>
      <c r="BB1" s="100" t="s">
        <v>554</v>
      </c>
      <c r="BC1" s="100" t="s">
        <v>555</v>
      </c>
      <c r="BD1" s="100" t="s">
        <v>556</v>
      </c>
      <c r="BE1" s="100" t="s">
        <v>557</v>
      </c>
      <c r="BF1" s="100" t="s">
        <v>558</v>
      </c>
      <c r="BG1" s="100" t="s">
        <v>559</v>
      </c>
      <c r="BH1" s="100" t="s">
        <v>560</v>
      </c>
      <c r="BI1" s="100" t="s">
        <v>561</v>
      </c>
      <c r="BJ1" s="100" t="s">
        <v>562</v>
      </c>
      <c r="BK1" s="100" t="s">
        <v>563</v>
      </c>
      <c r="BL1" s="100" t="s">
        <v>564</v>
      </c>
      <c r="BM1" s="100" t="s">
        <v>565</v>
      </c>
      <c r="BN1" s="100" t="s">
        <v>566</v>
      </c>
      <c r="BO1" s="100" t="s">
        <v>567</v>
      </c>
      <c r="BP1" s="100" t="s">
        <v>568</v>
      </c>
      <c r="BQ1" s="100" t="s">
        <v>569</v>
      </c>
      <c r="BR1" s="100" t="s">
        <v>570</v>
      </c>
      <c r="BS1" s="100" t="s">
        <v>571</v>
      </c>
      <c r="BT1" s="100" t="s">
        <v>572</v>
      </c>
      <c r="BU1" s="100" t="s">
        <v>573</v>
      </c>
      <c r="BV1" s="100" t="s">
        <v>574</v>
      </c>
      <c r="BW1" s="100" t="s">
        <v>575</v>
      </c>
      <c r="BX1" s="100" t="s">
        <v>576</v>
      </c>
      <c r="BY1" s="100" t="s">
        <v>577</v>
      </c>
      <c r="BZ1" s="100" t="s">
        <v>578</v>
      </c>
      <c r="CA1" s="100" t="s">
        <v>579</v>
      </c>
      <c r="CB1" s="100" t="s">
        <v>580</v>
      </c>
      <c r="CC1" s="100" t="s">
        <v>581</v>
      </c>
      <c r="CD1" s="100" t="s">
        <v>582</v>
      </c>
      <c r="CE1" s="100" t="s">
        <v>583</v>
      </c>
      <c r="CF1" s="100" t="s">
        <v>584</v>
      </c>
      <c r="CG1" s="100" t="s">
        <v>585</v>
      </c>
      <c r="CH1" s="100" t="s">
        <v>586</v>
      </c>
      <c r="CI1" s="100" t="s">
        <v>587</v>
      </c>
      <c r="CJ1" s="100" t="s">
        <v>588</v>
      </c>
    </row>
    <row r="2" spans="1:88" s="55" customFormat="1" x14ac:dyDescent="0.3">
      <c r="A2" s="105"/>
      <c r="B2" s="106"/>
      <c r="C2" s="106"/>
      <c r="D2" s="106"/>
      <c r="E2" s="106"/>
      <c r="F2" s="106"/>
      <c r="G2" s="106"/>
      <c r="H2" s="106"/>
      <c r="I2" s="106"/>
      <c r="J2" s="106"/>
      <c r="K2" s="107" t="s">
        <v>290</v>
      </c>
      <c r="L2" s="107" t="s">
        <v>290</v>
      </c>
      <c r="M2" s="107" t="s">
        <v>290</v>
      </c>
      <c r="N2" s="107" t="s">
        <v>290</v>
      </c>
      <c r="O2" s="107" t="s">
        <v>290</v>
      </c>
      <c r="P2" s="107" t="s">
        <v>290</v>
      </c>
      <c r="Q2" s="107">
        <v>100</v>
      </c>
      <c r="R2" s="106"/>
      <c r="S2" s="106"/>
      <c r="T2" s="106"/>
      <c r="U2" s="106"/>
      <c r="V2" s="106"/>
      <c r="W2" s="106"/>
      <c r="X2" s="106"/>
      <c r="Y2" s="106"/>
      <c r="Z2" s="106"/>
      <c r="AA2" s="123"/>
      <c r="AB2" s="123" t="s">
        <v>4573</v>
      </c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8"/>
    </row>
    <row r="3" spans="1:88" s="55" customFormat="1" x14ac:dyDescent="0.3">
      <c r="A3" s="108"/>
      <c r="B3" s="153"/>
      <c r="K3" s="45" t="s">
        <v>290</v>
      </c>
      <c r="L3" s="45" t="s">
        <v>290</v>
      </c>
      <c r="M3" s="45" t="s">
        <v>290</v>
      </c>
      <c r="N3" s="45" t="s">
        <v>290</v>
      </c>
      <c r="O3" s="45" t="s">
        <v>290</v>
      </c>
      <c r="P3" s="45" t="s">
        <v>290</v>
      </c>
      <c r="Q3" s="45">
        <v>100</v>
      </c>
      <c r="AA3" s="124"/>
      <c r="AB3" s="124" t="s">
        <v>224</v>
      </c>
      <c r="AC3" s="119"/>
      <c r="AD3" s="119"/>
      <c r="AE3" s="119"/>
      <c r="AF3" s="119"/>
      <c r="AG3" s="119"/>
      <c r="AH3" s="119"/>
      <c r="AI3" s="119"/>
      <c r="AJ3" s="119"/>
      <c r="AK3" s="119"/>
      <c r="AL3" s="119"/>
      <c r="AM3" s="119"/>
      <c r="AN3" s="119"/>
      <c r="AO3" s="119"/>
      <c r="AP3" s="119"/>
      <c r="AQ3" s="119"/>
      <c r="AR3" s="119"/>
      <c r="AS3" s="119"/>
      <c r="AT3" s="119"/>
      <c r="AU3" s="119"/>
      <c r="AV3" s="119"/>
      <c r="AW3" s="119"/>
      <c r="AX3" s="119"/>
      <c r="AY3" s="119"/>
      <c r="AZ3" s="119"/>
      <c r="BA3" s="119"/>
      <c r="BB3" s="119"/>
      <c r="BC3" s="119"/>
      <c r="BD3" s="119"/>
      <c r="BE3" s="119"/>
      <c r="BF3" s="119"/>
      <c r="BG3" s="119"/>
      <c r="BH3" s="119"/>
      <c r="BI3" s="119"/>
      <c r="BJ3" s="119"/>
      <c r="BK3" s="119"/>
      <c r="BL3" s="119"/>
      <c r="BM3" s="119"/>
      <c r="BN3" s="119"/>
      <c r="BO3" s="119"/>
      <c r="BP3" s="119"/>
      <c r="BQ3" s="119"/>
      <c r="BR3" s="119"/>
      <c r="BS3" s="119"/>
      <c r="BT3" s="119"/>
      <c r="BU3" s="119"/>
      <c r="BV3" s="119"/>
      <c r="BW3" s="119"/>
      <c r="BX3" s="119"/>
      <c r="BY3" s="119"/>
      <c r="BZ3" s="119"/>
      <c r="CA3" s="119"/>
      <c r="CB3" s="119"/>
      <c r="CC3" s="119"/>
      <c r="CD3" s="119"/>
      <c r="CE3" s="119"/>
      <c r="CF3" s="119"/>
      <c r="CG3" s="119"/>
      <c r="CH3" s="119"/>
      <c r="CI3" s="119"/>
      <c r="CJ3" s="120"/>
    </row>
    <row r="4" spans="1:88" s="55" customFormat="1" x14ac:dyDescent="0.3">
      <c r="A4" s="108"/>
      <c r="B4" s="153"/>
      <c r="K4" s="45" t="s">
        <v>290</v>
      </c>
      <c r="L4" s="45" t="s">
        <v>290</v>
      </c>
      <c r="M4" s="45" t="s">
        <v>290</v>
      </c>
      <c r="N4" s="45" t="s">
        <v>290</v>
      </c>
      <c r="O4" s="45" t="s">
        <v>290</v>
      </c>
      <c r="P4" s="45" t="s">
        <v>290</v>
      </c>
      <c r="Q4" s="45">
        <v>100</v>
      </c>
      <c r="AA4" s="124"/>
      <c r="AB4" s="124" t="s">
        <v>220</v>
      </c>
      <c r="AC4" s="119"/>
      <c r="AD4" s="119"/>
      <c r="AE4" s="119"/>
      <c r="AF4" s="119"/>
      <c r="AG4" s="119"/>
      <c r="AH4" s="119"/>
      <c r="AI4" s="119"/>
      <c r="AJ4" s="119"/>
      <c r="AK4" s="119"/>
      <c r="AL4" s="119"/>
      <c r="AM4" s="119"/>
      <c r="AN4" s="119"/>
      <c r="AO4" s="119"/>
      <c r="AP4" s="119"/>
      <c r="AQ4" s="119"/>
      <c r="AR4" s="119"/>
      <c r="AS4" s="119"/>
      <c r="AT4" s="119"/>
      <c r="AU4" s="119"/>
      <c r="AV4" s="119"/>
      <c r="AW4" s="119"/>
      <c r="AX4" s="119"/>
      <c r="AY4" s="119"/>
      <c r="AZ4" s="119"/>
      <c r="BA4" s="119"/>
      <c r="BB4" s="119"/>
      <c r="BC4" s="119"/>
      <c r="BD4" s="119"/>
      <c r="BE4" s="119"/>
      <c r="BF4" s="119"/>
      <c r="BG4" s="119"/>
      <c r="BH4" s="119"/>
      <c r="BI4" s="119"/>
      <c r="BJ4" s="119"/>
      <c r="BK4" s="119"/>
      <c r="BL4" s="119"/>
      <c r="BM4" s="119"/>
      <c r="BN4" s="119"/>
      <c r="BO4" s="119"/>
      <c r="BP4" s="119"/>
      <c r="BQ4" s="119"/>
      <c r="BR4" s="119"/>
      <c r="BS4" s="119"/>
      <c r="BT4" s="119"/>
      <c r="BU4" s="119"/>
      <c r="BV4" s="119"/>
      <c r="BW4" s="119"/>
      <c r="BX4" s="119"/>
      <c r="BY4" s="119"/>
      <c r="BZ4" s="119"/>
      <c r="CA4" s="119"/>
      <c r="CB4" s="119"/>
      <c r="CC4" s="119"/>
      <c r="CD4" s="119"/>
      <c r="CE4" s="119"/>
      <c r="CF4" s="119"/>
      <c r="CG4" s="119"/>
      <c r="CH4" s="119"/>
      <c r="CI4" s="119"/>
      <c r="CJ4" s="120"/>
    </row>
    <row r="5" spans="1:88" s="55" customFormat="1" x14ac:dyDescent="0.3">
      <c r="A5" s="109"/>
      <c r="B5" s="110"/>
      <c r="C5" s="110"/>
      <c r="D5" s="110"/>
      <c r="E5" s="110"/>
      <c r="F5" s="110"/>
      <c r="G5" s="110"/>
      <c r="H5" s="110"/>
      <c r="I5" s="110"/>
      <c r="J5" s="110"/>
      <c r="K5" s="111" t="s">
        <v>290</v>
      </c>
      <c r="L5" s="111" t="s">
        <v>290</v>
      </c>
      <c r="M5" s="111" t="s">
        <v>290</v>
      </c>
      <c r="N5" s="111" t="s">
        <v>290</v>
      </c>
      <c r="O5" s="111" t="s">
        <v>290</v>
      </c>
      <c r="P5" s="111" t="s">
        <v>290</v>
      </c>
      <c r="Q5" s="111">
        <v>100</v>
      </c>
      <c r="R5" s="110"/>
      <c r="S5" s="110"/>
      <c r="T5" s="110"/>
      <c r="U5" s="110"/>
      <c r="V5" s="110"/>
      <c r="W5" s="110"/>
      <c r="X5" s="110"/>
      <c r="Y5" s="110"/>
      <c r="Z5" s="110"/>
      <c r="AA5" s="125"/>
      <c r="AB5" s="125" t="s">
        <v>221</v>
      </c>
      <c r="AC5" s="121"/>
      <c r="AD5" s="121"/>
      <c r="AE5" s="121"/>
      <c r="AF5" s="121"/>
      <c r="AG5" s="121"/>
      <c r="AH5" s="121"/>
      <c r="AI5" s="121"/>
      <c r="AJ5" s="121"/>
      <c r="AK5" s="121"/>
      <c r="AL5" s="121"/>
      <c r="AM5" s="121"/>
      <c r="AN5" s="121"/>
      <c r="AO5" s="121"/>
      <c r="AP5" s="121"/>
      <c r="AQ5" s="121"/>
      <c r="AR5" s="121"/>
      <c r="AS5" s="121"/>
      <c r="AT5" s="121"/>
      <c r="AU5" s="121"/>
      <c r="AV5" s="121"/>
      <c r="AW5" s="121"/>
      <c r="AX5" s="121"/>
      <c r="AY5" s="121"/>
      <c r="AZ5" s="121"/>
      <c r="BA5" s="121"/>
      <c r="BB5" s="121"/>
      <c r="BC5" s="121"/>
      <c r="BD5" s="121"/>
      <c r="BE5" s="121"/>
      <c r="BF5" s="121"/>
      <c r="BG5" s="121"/>
      <c r="BH5" s="121"/>
      <c r="BI5" s="121"/>
      <c r="BJ5" s="121"/>
      <c r="BK5" s="121"/>
      <c r="BL5" s="121"/>
      <c r="BM5" s="121"/>
      <c r="BN5" s="121"/>
      <c r="BO5" s="121"/>
      <c r="BP5" s="121"/>
      <c r="BQ5" s="121"/>
      <c r="BR5" s="121"/>
      <c r="BS5" s="121"/>
      <c r="BT5" s="121"/>
      <c r="BU5" s="121"/>
      <c r="BV5" s="121"/>
      <c r="BW5" s="121"/>
      <c r="BX5" s="121"/>
      <c r="BY5" s="121"/>
      <c r="BZ5" s="121"/>
      <c r="CA5" s="121"/>
      <c r="CB5" s="121"/>
      <c r="CC5" s="121"/>
      <c r="CD5" s="121"/>
      <c r="CE5" s="121"/>
      <c r="CF5" s="121"/>
      <c r="CG5" s="121"/>
      <c r="CH5" s="121"/>
      <c r="CI5" s="121"/>
      <c r="CJ5" s="122"/>
    </row>
    <row r="6" spans="1:88" x14ac:dyDescent="0.3">
      <c r="AB6" s="8"/>
    </row>
    <row r="7" spans="1:88" s="104" customFormat="1" x14ac:dyDescent="0.3">
      <c r="A7" s="97" t="s">
        <v>262</v>
      </c>
      <c r="B7" s="97" t="s">
        <v>4578</v>
      </c>
      <c r="C7" s="97" t="s">
        <v>280</v>
      </c>
      <c r="D7" s="97" t="s">
        <v>1484</v>
      </c>
      <c r="E7" s="97" t="s">
        <v>1397</v>
      </c>
      <c r="F7" s="97" t="s">
        <v>283</v>
      </c>
      <c r="G7" s="97" t="s">
        <v>1485</v>
      </c>
      <c r="H7" s="97" t="s">
        <v>265</v>
      </c>
      <c r="I7" s="97" t="s">
        <v>282</v>
      </c>
      <c r="J7" s="97" t="s">
        <v>1239</v>
      </c>
      <c r="K7" s="97" t="s">
        <v>1486</v>
      </c>
      <c r="L7" s="97" t="s">
        <v>1487</v>
      </c>
      <c r="M7" s="97" t="s">
        <v>1488</v>
      </c>
      <c r="N7" s="97" t="s">
        <v>1489</v>
      </c>
      <c r="O7" s="97" t="s">
        <v>379</v>
      </c>
      <c r="P7" s="97" t="s">
        <v>1490</v>
      </c>
      <c r="Q7" s="97" t="s">
        <v>1491</v>
      </c>
      <c r="R7" s="98" t="s">
        <v>279</v>
      </c>
      <c r="S7" s="98" t="s">
        <v>1493</v>
      </c>
      <c r="T7" s="98" t="s">
        <v>2657</v>
      </c>
      <c r="U7" s="98" t="s">
        <v>1494</v>
      </c>
      <c r="V7" s="98" t="s">
        <v>2655</v>
      </c>
      <c r="W7" s="98" t="s">
        <v>2656</v>
      </c>
      <c r="X7" s="98" t="s">
        <v>1495</v>
      </c>
      <c r="Y7" s="98" t="s">
        <v>1496</v>
      </c>
      <c r="Z7" s="98" t="s">
        <v>4574</v>
      </c>
      <c r="AA7" s="99" t="s">
        <v>1492</v>
      </c>
      <c r="AB7" s="151" t="s">
        <v>1497</v>
      </c>
      <c r="AC7" s="100" t="s">
        <v>529</v>
      </c>
      <c r="AD7" s="100" t="s">
        <v>530</v>
      </c>
      <c r="AE7" s="100" t="s">
        <v>531</v>
      </c>
      <c r="AF7" s="100" t="s">
        <v>532</v>
      </c>
      <c r="AG7" s="100" t="s">
        <v>533</v>
      </c>
      <c r="AH7" s="100" t="s">
        <v>534</v>
      </c>
      <c r="AI7" s="100" t="s">
        <v>535</v>
      </c>
      <c r="AJ7" s="100" t="s">
        <v>536</v>
      </c>
      <c r="AK7" s="100" t="s">
        <v>537</v>
      </c>
      <c r="AL7" s="100" t="s">
        <v>538</v>
      </c>
      <c r="AM7" s="100" t="s">
        <v>539</v>
      </c>
      <c r="AN7" s="100" t="s">
        <v>540</v>
      </c>
      <c r="AO7" s="100" t="s">
        <v>541</v>
      </c>
      <c r="AP7" s="100" t="s">
        <v>542</v>
      </c>
      <c r="AQ7" s="100" t="s">
        <v>543</v>
      </c>
      <c r="AR7" s="100" t="s">
        <v>544</v>
      </c>
      <c r="AS7" s="100" t="s">
        <v>545</v>
      </c>
      <c r="AT7" s="100" t="s">
        <v>546</v>
      </c>
      <c r="AU7" s="100" t="s">
        <v>547</v>
      </c>
      <c r="AV7" s="100" t="s">
        <v>548</v>
      </c>
      <c r="AW7" s="100" t="s">
        <v>549</v>
      </c>
      <c r="AX7" s="100" t="s">
        <v>550</v>
      </c>
      <c r="AY7" s="100" t="s">
        <v>551</v>
      </c>
      <c r="AZ7" s="100" t="s">
        <v>552</v>
      </c>
      <c r="BA7" s="100" t="s">
        <v>553</v>
      </c>
      <c r="BB7" s="100" t="s">
        <v>554</v>
      </c>
      <c r="BC7" s="100" t="s">
        <v>555</v>
      </c>
      <c r="BD7" s="100" t="s">
        <v>556</v>
      </c>
      <c r="BE7" s="100" t="s">
        <v>557</v>
      </c>
      <c r="BF7" s="100" t="s">
        <v>558</v>
      </c>
      <c r="BG7" s="100" t="s">
        <v>559</v>
      </c>
      <c r="BH7" s="100" t="s">
        <v>560</v>
      </c>
      <c r="BI7" s="100" t="s">
        <v>561</v>
      </c>
      <c r="BJ7" s="100" t="s">
        <v>562</v>
      </c>
      <c r="BK7" s="100" t="s">
        <v>563</v>
      </c>
      <c r="BL7" s="100" t="s">
        <v>564</v>
      </c>
      <c r="BM7" s="100" t="s">
        <v>565</v>
      </c>
      <c r="BN7" s="100" t="s">
        <v>566</v>
      </c>
      <c r="BO7" s="100" t="s">
        <v>567</v>
      </c>
      <c r="BP7" s="100" t="s">
        <v>568</v>
      </c>
      <c r="BQ7" s="100" t="s">
        <v>569</v>
      </c>
      <c r="BR7" s="100" t="s">
        <v>570</v>
      </c>
      <c r="BS7" s="100" t="s">
        <v>571</v>
      </c>
      <c r="BT7" s="100" t="s">
        <v>572</v>
      </c>
      <c r="BU7" s="100" t="s">
        <v>573</v>
      </c>
      <c r="BV7" s="100" t="s">
        <v>574</v>
      </c>
      <c r="BW7" s="100" t="s">
        <v>575</v>
      </c>
      <c r="BX7" s="100" t="s">
        <v>576</v>
      </c>
      <c r="BY7" s="100" t="s">
        <v>577</v>
      </c>
      <c r="BZ7" s="100" t="s">
        <v>578</v>
      </c>
      <c r="CA7" s="100" t="s">
        <v>579</v>
      </c>
      <c r="CB7" s="100" t="s">
        <v>580</v>
      </c>
      <c r="CC7" s="100" t="s">
        <v>581</v>
      </c>
      <c r="CD7" s="100" t="s">
        <v>582</v>
      </c>
      <c r="CE7" s="100" t="s">
        <v>583</v>
      </c>
      <c r="CF7" s="100" t="s">
        <v>584</v>
      </c>
      <c r="CG7" s="100" t="s">
        <v>585</v>
      </c>
      <c r="CH7" s="100" t="s">
        <v>586</v>
      </c>
      <c r="CI7" s="100" t="s">
        <v>587</v>
      </c>
      <c r="CJ7" s="100" t="s">
        <v>588</v>
      </c>
    </row>
    <row r="8" spans="1:88" s="55" customFormat="1" x14ac:dyDescent="0.3">
      <c r="A8" s="105"/>
      <c r="B8" s="106"/>
      <c r="C8" s="106"/>
      <c r="D8" s="106"/>
      <c r="E8" s="106"/>
      <c r="F8" s="106"/>
      <c r="G8" s="106"/>
      <c r="H8" s="106"/>
      <c r="I8" s="106"/>
      <c r="J8" s="106"/>
      <c r="K8" s="107" t="s">
        <v>290</v>
      </c>
      <c r="L8" s="107" t="s">
        <v>290</v>
      </c>
      <c r="M8" s="107" t="s">
        <v>290</v>
      </c>
      <c r="N8" s="107" t="s">
        <v>290</v>
      </c>
      <c r="O8" s="107" t="s">
        <v>290</v>
      </c>
      <c r="P8" s="107" t="s">
        <v>290</v>
      </c>
      <c r="Q8" s="107">
        <v>100</v>
      </c>
      <c r="R8" s="114"/>
      <c r="S8" s="114"/>
      <c r="T8" s="114"/>
      <c r="U8" s="114"/>
      <c r="V8" s="114"/>
      <c r="W8" s="114"/>
      <c r="X8" s="114"/>
      <c r="Y8" s="114"/>
      <c r="Z8" s="114"/>
      <c r="AA8" s="123"/>
      <c r="AB8" s="123" t="s">
        <v>1168</v>
      </c>
      <c r="AC8" s="117"/>
      <c r="AD8" s="117"/>
      <c r="AE8" s="117"/>
      <c r="AF8" s="117"/>
      <c r="AG8" s="117"/>
      <c r="AH8" s="117"/>
      <c r="AI8" s="117"/>
      <c r="AJ8" s="117"/>
      <c r="AK8" s="117"/>
      <c r="AL8" s="117"/>
      <c r="AM8" s="117"/>
      <c r="AN8" s="117"/>
      <c r="AO8" s="117"/>
      <c r="AP8" s="117"/>
      <c r="AQ8" s="117"/>
      <c r="AR8" s="117"/>
      <c r="AS8" s="117"/>
      <c r="AT8" s="117"/>
      <c r="AU8" s="117"/>
      <c r="AV8" s="117"/>
      <c r="AW8" s="117"/>
      <c r="AX8" s="117"/>
      <c r="AY8" s="117"/>
      <c r="AZ8" s="117"/>
      <c r="BA8" s="117"/>
      <c r="BB8" s="117"/>
      <c r="BC8" s="117"/>
      <c r="BD8" s="117"/>
      <c r="BE8" s="117"/>
      <c r="BF8" s="117"/>
      <c r="BG8" s="117"/>
      <c r="BH8" s="117"/>
      <c r="BI8" s="117"/>
      <c r="BJ8" s="117"/>
      <c r="BK8" s="117"/>
      <c r="BL8" s="117"/>
      <c r="BM8" s="117"/>
      <c r="BN8" s="117"/>
      <c r="BO8" s="117"/>
      <c r="BP8" s="117"/>
      <c r="BQ8" s="117"/>
      <c r="BR8" s="117"/>
      <c r="BS8" s="117"/>
      <c r="BT8" s="117"/>
      <c r="BU8" s="117"/>
      <c r="BV8" s="117"/>
      <c r="BW8" s="117"/>
      <c r="BX8" s="117"/>
      <c r="BY8" s="117"/>
      <c r="BZ8" s="117"/>
      <c r="CA8" s="117"/>
      <c r="CB8" s="117"/>
      <c r="CC8" s="117"/>
      <c r="CD8" s="117"/>
      <c r="CE8" s="117"/>
      <c r="CF8" s="117"/>
      <c r="CG8" s="117"/>
      <c r="CH8" s="117"/>
      <c r="CI8" s="117"/>
      <c r="CJ8" s="118"/>
    </row>
    <row r="9" spans="1:88" s="55" customFormat="1" x14ac:dyDescent="0.3">
      <c r="A9" s="108"/>
      <c r="B9" s="153"/>
      <c r="K9" s="45" t="s">
        <v>290</v>
      </c>
      <c r="L9" s="45" t="s">
        <v>290</v>
      </c>
      <c r="M9" s="45" t="s">
        <v>290</v>
      </c>
      <c r="N9" s="45" t="s">
        <v>290</v>
      </c>
      <c r="O9" s="45" t="s">
        <v>290</v>
      </c>
      <c r="P9" s="45" t="s">
        <v>290</v>
      </c>
      <c r="Q9" s="45">
        <v>100</v>
      </c>
      <c r="R9" s="116"/>
      <c r="S9" s="116"/>
      <c r="T9" s="116"/>
      <c r="U9" s="116"/>
      <c r="V9" s="116"/>
      <c r="W9" s="116"/>
      <c r="X9" s="116"/>
      <c r="Y9" s="116"/>
      <c r="Z9" s="116"/>
      <c r="AA9" s="124"/>
      <c r="AB9" s="124" t="s">
        <v>220</v>
      </c>
      <c r="AC9" s="119"/>
      <c r="AD9" s="119"/>
      <c r="AE9" s="119"/>
      <c r="AF9" s="119"/>
      <c r="AG9" s="119"/>
      <c r="AH9" s="119"/>
      <c r="AI9" s="119"/>
      <c r="AJ9" s="119"/>
      <c r="AK9" s="119"/>
      <c r="AL9" s="119"/>
      <c r="AM9" s="119"/>
      <c r="AN9" s="119"/>
      <c r="AO9" s="119"/>
      <c r="AP9" s="119"/>
      <c r="AQ9" s="119"/>
      <c r="AR9" s="119"/>
      <c r="AS9" s="119"/>
      <c r="AT9" s="119"/>
      <c r="AU9" s="119"/>
      <c r="AV9" s="119"/>
      <c r="AW9" s="119"/>
      <c r="AX9" s="119"/>
      <c r="AY9" s="119"/>
      <c r="AZ9" s="119"/>
      <c r="BA9" s="119"/>
      <c r="BB9" s="119"/>
      <c r="BC9" s="119"/>
      <c r="BD9" s="119"/>
      <c r="BE9" s="119"/>
      <c r="BF9" s="119"/>
      <c r="BG9" s="119"/>
      <c r="BH9" s="119"/>
      <c r="BI9" s="119"/>
      <c r="BJ9" s="119"/>
      <c r="BK9" s="119"/>
      <c r="BL9" s="119"/>
      <c r="BM9" s="119"/>
      <c r="BN9" s="119"/>
      <c r="BO9" s="119"/>
      <c r="BP9" s="119"/>
      <c r="BQ9" s="119"/>
      <c r="BR9" s="119"/>
      <c r="BS9" s="119"/>
      <c r="BT9" s="119"/>
      <c r="BU9" s="119"/>
      <c r="BV9" s="119"/>
      <c r="BW9" s="119"/>
      <c r="BX9" s="119"/>
      <c r="BY9" s="119"/>
      <c r="BZ9" s="119"/>
      <c r="CA9" s="119"/>
      <c r="CB9" s="119"/>
      <c r="CC9" s="119"/>
      <c r="CD9" s="119"/>
      <c r="CE9" s="119"/>
      <c r="CF9" s="119"/>
      <c r="CG9" s="119"/>
      <c r="CH9" s="119"/>
      <c r="CI9" s="119"/>
      <c r="CJ9" s="120"/>
    </row>
    <row r="10" spans="1:88" s="55" customFormat="1" x14ac:dyDescent="0.3">
      <c r="A10" s="109"/>
      <c r="B10" s="110"/>
      <c r="C10" s="110"/>
      <c r="D10" s="110"/>
      <c r="E10" s="110"/>
      <c r="F10" s="110"/>
      <c r="G10" s="110"/>
      <c r="H10" s="110"/>
      <c r="I10" s="110"/>
      <c r="J10" s="110"/>
      <c r="K10" s="111" t="s">
        <v>290</v>
      </c>
      <c r="L10" s="111" t="s">
        <v>290</v>
      </c>
      <c r="M10" s="111" t="s">
        <v>290</v>
      </c>
      <c r="N10" s="111" t="s">
        <v>290</v>
      </c>
      <c r="O10" s="111" t="s">
        <v>290</v>
      </c>
      <c r="P10" s="111" t="s">
        <v>290</v>
      </c>
      <c r="Q10" s="111">
        <v>100</v>
      </c>
      <c r="R10" s="115"/>
      <c r="S10" s="115"/>
      <c r="T10" s="115"/>
      <c r="U10" s="115"/>
      <c r="V10" s="115"/>
      <c r="W10" s="115"/>
      <c r="X10" s="115"/>
      <c r="Y10" s="115"/>
      <c r="Z10" s="115"/>
      <c r="AA10" s="125"/>
      <c r="AB10" s="125" t="s">
        <v>221</v>
      </c>
      <c r="AC10" s="121"/>
      <c r="AD10" s="121"/>
      <c r="AE10" s="121"/>
      <c r="AF10" s="121"/>
      <c r="AG10" s="121"/>
      <c r="AH10" s="121"/>
      <c r="AI10" s="121"/>
      <c r="AJ10" s="121"/>
      <c r="AK10" s="121"/>
      <c r="AL10" s="121"/>
      <c r="AM10" s="121"/>
      <c r="AN10" s="121"/>
      <c r="AO10" s="121"/>
      <c r="AP10" s="121"/>
      <c r="AQ10" s="121"/>
      <c r="AR10" s="121"/>
      <c r="AS10" s="121"/>
      <c r="AT10" s="121"/>
      <c r="AU10" s="121"/>
      <c r="AV10" s="121"/>
      <c r="AW10" s="121"/>
      <c r="AX10" s="121"/>
      <c r="AY10" s="121"/>
      <c r="AZ10" s="121"/>
      <c r="BA10" s="121"/>
      <c r="BB10" s="121"/>
      <c r="BC10" s="121"/>
      <c r="BD10" s="121"/>
      <c r="BE10" s="121"/>
      <c r="BF10" s="121"/>
      <c r="BG10" s="121"/>
      <c r="BH10" s="121"/>
      <c r="BI10" s="121"/>
      <c r="BJ10" s="121"/>
      <c r="BK10" s="121"/>
      <c r="BL10" s="121"/>
      <c r="BM10" s="121"/>
      <c r="BN10" s="121"/>
      <c r="BO10" s="121"/>
      <c r="BP10" s="121"/>
      <c r="BQ10" s="121"/>
      <c r="BR10" s="121"/>
      <c r="BS10" s="121"/>
      <c r="BT10" s="121"/>
      <c r="BU10" s="121"/>
      <c r="BV10" s="121"/>
      <c r="BW10" s="121"/>
      <c r="BX10" s="121"/>
      <c r="BY10" s="121"/>
      <c r="BZ10" s="121"/>
      <c r="CA10" s="121"/>
      <c r="CB10" s="121"/>
      <c r="CC10" s="121"/>
      <c r="CD10" s="121"/>
      <c r="CE10" s="121"/>
      <c r="CF10" s="121"/>
      <c r="CG10" s="121"/>
      <c r="CH10" s="121"/>
      <c r="CI10" s="121"/>
      <c r="CJ10" s="122"/>
    </row>
  </sheetData>
  <dataValidations count="8">
    <dataValidation type="decimal" allowBlank="1" showInputMessage="1" showErrorMessage="1" sqref="Q2:R5 Q8:Q10" xr:uid="{F6396055-AF63-4724-A4DA-1F91E517A9F7}">
      <formula1>0</formula1>
      <formula2>100</formula2>
    </dataValidation>
    <dataValidation type="custom" allowBlank="1" showInputMessage="1" showErrorMessage="1" sqref="AA2 AA8" xr:uid="{09B690A9-CA23-4891-B8B9-052F17EC475F}">
      <formula1>"DEM"</formula1>
    </dataValidation>
    <dataValidation type="custom" allowBlank="1" showInputMessage="1" showErrorMessage="1" sqref="AA3:AB3" xr:uid="{377D2349-DBB6-4442-BDFE-E8A3BB66B5C5}">
      <formula1>"MargeCo(bps)"</formula1>
    </dataValidation>
    <dataValidation type="custom" allowBlank="1" showInputMessage="1" showErrorMessage="1" sqref="AA4:AB4 AA9:AB9" xr:uid="{27254A11-1DFF-492A-A2A8-77683788EC8A}">
      <formula1>"TxSpPN(bps)"</formula1>
    </dataValidation>
    <dataValidation type="custom" allowBlank="1" showInputMessage="1" showErrorMessage="1" sqref="AA5:AB5 AA10:AB10" xr:uid="{596F40E4-7BED-4347-A5FF-DCC4B3AD23E1}">
      <formula1>"TxProdCible(bps)"</formula1>
    </dataValidation>
    <dataValidation type="decimal" allowBlank="1" showInputMessage="1" showErrorMessage="1" sqref="AC2:XFD5 AC8:XFD10" xr:uid="{66D89D4B-1ABB-45D8-8A16-A8CEA788EF23}">
      <formula1>-10000000000000000000</formula1>
      <formula2>10000000000000000000</formula2>
    </dataValidation>
    <dataValidation type="custom" allowBlank="1" showInputMessage="1" showErrorMessage="1" sqref="AB2" xr:uid="{D7F88DFD-92FA-45B0-946A-FA537580EB9A}">
      <formula1>"'FlEM'"</formula1>
    </dataValidation>
    <dataValidation type="custom" allowBlank="1" showInputMessage="1" showErrorMessage="1" sqref="AB8" xr:uid="{0130ABB2-EBE7-4B11-BC50-52C9E6A71A57}">
      <formula1>"ECM"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435AC-782E-4CF0-8835-39EC6EFA48B3}">
  <sheetPr codeName="Feuil4">
    <tabColor rgb="FFAC75D5"/>
  </sheetPr>
  <dimension ref="C1:J159"/>
  <sheetViews>
    <sheetView showGridLines="0" zoomScale="80" zoomScaleNormal="80" workbookViewId="0">
      <selection activeCell="F32" sqref="F31:F32"/>
    </sheetView>
  </sheetViews>
  <sheetFormatPr baseColWidth="10" defaultColWidth="11.44140625" defaultRowHeight="14.4" x14ac:dyDescent="0.3"/>
  <cols>
    <col min="3" max="3" width="30.5546875" customWidth="1"/>
    <col min="4" max="4" width="34.88671875" style="72" customWidth="1"/>
    <col min="5" max="5" width="30.44140625" style="78" customWidth="1"/>
    <col min="6" max="6" width="27.5546875" style="78" customWidth="1"/>
    <col min="7" max="7" width="26" style="72" customWidth="1"/>
    <col min="8" max="8" width="21.5546875" style="72" customWidth="1"/>
  </cols>
  <sheetData>
    <row r="1" spans="3:10" x14ac:dyDescent="0.3">
      <c r="D1"/>
      <c r="E1"/>
      <c r="F1"/>
      <c r="G1"/>
      <c r="H1"/>
    </row>
    <row r="2" spans="3:10" x14ac:dyDescent="0.3">
      <c r="D2"/>
      <c r="E2"/>
      <c r="F2"/>
      <c r="G2"/>
      <c r="H2"/>
    </row>
    <row r="3" spans="3:10" x14ac:dyDescent="0.3">
      <c r="D3"/>
      <c r="E3"/>
      <c r="F3"/>
      <c r="G3"/>
      <c r="H3"/>
    </row>
    <row r="4" spans="3:10" x14ac:dyDescent="0.3">
      <c r="D4"/>
      <c r="E4"/>
      <c r="F4"/>
      <c r="G4"/>
      <c r="H4"/>
    </row>
    <row r="5" spans="3:10" s="11" customFormat="1" ht="15.6" x14ac:dyDescent="0.3">
      <c r="C5" s="68" t="s">
        <v>409</v>
      </c>
    </row>
    <row r="6" spans="3:10" ht="11.25" customHeight="1" x14ac:dyDescent="0.3">
      <c r="D6"/>
      <c r="E6"/>
      <c r="F6"/>
      <c r="G6"/>
      <c r="H6"/>
    </row>
    <row r="7" spans="3:10" ht="21.75" customHeight="1" x14ac:dyDescent="0.3">
      <c r="C7" s="67" t="s">
        <v>262</v>
      </c>
      <c r="D7" s="9" t="s">
        <v>4549</v>
      </c>
      <c r="E7"/>
      <c r="F7"/>
      <c r="G7"/>
      <c r="H7"/>
    </row>
    <row r="8" spans="3:10" ht="17.100000000000001" customHeight="1" x14ac:dyDescent="0.3">
      <c r="D8"/>
      <c r="E8"/>
      <c r="F8"/>
      <c r="G8"/>
      <c r="H8"/>
    </row>
    <row r="9" spans="3:10" ht="24" customHeight="1" x14ac:dyDescent="0.3">
      <c r="C9" s="67"/>
      <c r="D9" s="71" t="s">
        <v>4550</v>
      </c>
      <c r="E9" s="70"/>
      <c r="F9" s="70"/>
      <c r="G9" s="70"/>
      <c r="H9" s="70"/>
      <c r="I9" s="70"/>
      <c r="J9" s="70"/>
    </row>
    <row r="10" spans="3:10" ht="17.100000000000001" customHeight="1" x14ac:dyDescent="0.3">
      <c r="D10"/>
      <c r="E10"/>
      <c r="F10"/>
      <c r="G10"/>
      <c r="H10"/>
    </row>
    <row r="11" spans="3:10" ht="18" customHeight="1" x14ac:dyDescent="0.3">
      <c r="C11" s="67"/>
      <c r="D11" s="71" t="s">
        <v>1595</v>
      </c>
      <c r="E11" s="70"/>
      <c r="F11" s="70"/>
      <c r="G11" s="70"/>
      <c r="H11" s="70"/>
      <c r="I11" s="70"/>
      <c r="J11" s="70"/>
    </row>
    <row r="12" spans="3:10" ht="17.100000000000001" customHeight="1" x14ac:dyDescent="0.3">
      <c r="D12"/>
      <c r="E12"/>
      <c r="F12"/>
      <c r="G12"/>
      <c r="H12"/>
    </row>
    <row r="13" spans="3:10" x14ac:dyDescent="0.3">
      <c r="D13"/>
      <c r="E13"/>
      <c r="F13"/>
      <c r="G13"/>
      <c r="H13"/>
    </row>
    <row r="14" spans="3:10" x14ac:dyDescent="0.3">
      <c r="D14"/>
      <c r="E14"/>
      <c r="F14"/>
      <c r="G14"/>
      <c r="H14"/>
    </row>
    <row r="15" spans="3:10" x14ac:dyDescent="0.3">
      <c r="D15"/>
      <c r="E15"/>
      <c r="F15"/>
      <c r="G15"/>
      <c r="H15"/>
    </row>
    <row r="16" spans="3:10" x14ac:dyDescent="0.3">
      <c r="D16"/>
      <c r="E16"/>
      <c r="F16"/>
      <c r="G16"/>
      <c r="H16"/>
    </row>
    <row r="17" spans="4:8" x14ac:dyDescent="0.3">
      <c r="D17" s="36" t="s">
        <v>262</v>
      </c>
      <c r="E17" s="36" t="s">
        <v>408</v>
      </c>
      <c r="F17" s="36" t="s">
        <v>407</v>
      </c>
      <c r="G17"/>
      <c r="H17"/>
    </row>
    <row r="18" spans="4:8" x14ac:dyDescent="0.3">
      <c r="D18" s="51" t="s">
        <v>4549</v>
      </c>
      <c r="E18" s="77" t="s">
        <v>4550</v>
      </c>
      <c r="F18" s="77" t="s">
        <v>1595</v>
      </c>
      <c r="G18"/>
      <c r="H18"/>
    </row>
    <row r="19" spans="4:8" x14ac:dyDescent="0.3">
      <c r="D19" s="51"/>
      <c r="E19" s="77"/>
      <c r="F19" s="77"/>
      <c r="G19"/>
      <c r="H19"/>
    </row>
    <row r="20" spans="4:8" x14ac:dyDescent="0.3">
      <c r="D20" s="51"/>
      <c r="E20" s="77"/>
      <c r="F20" s="77"/>
      <c r="G20"/>
      <c r="H20"/>
    </row>
    <row r="21" spans="4:8" x14ac:dyDescent="0.3">
      <c r="D21" s="51"/>
      <c r="E21" s="77"/>
      <c r="F21" s="77"/>
      <c r="G21"/>
      <c r="H21"/>
    </row>
    <row r="22" spans="4:8" x14ac:dyDescent="0.3">
      <c r="D22" s="51"/>
      <c r="E22" s="77"/>
      <c r="F22" s="77"/>
      <c r="G22"/>
      <c r="H22"/>
    </row>
    <row r="23" spans="4:8" x14ac:dyDescent="0.3">
      <c r="D23" s="51"/>
      <c r="E23" s="77"/>
      <c r="F23" s="77"/>
      <c r="G23"/>
      <c r="H23"/>
    </row>
    <row r="24" spans="4:8" x14ac:dyDescent="0.3">
      <c r="D24" s="51"/>
      <c r="E24" s="77"/>
      <c r="F24" s="77"/>
      <c r="G24"/>
      <c r="H24"/>
    </row>
    <row r="25" spans="4:8" x14ac:dyDescent="0.3">
      <c r="D25" s="51"/>
      <c r="E25" s="77"/>
      <c r="F25" s="77"/>
      <c r="G25"/>
      <c r="H25"/>
    </row>
    <row r="26" spans="4:8" x14ac:dyDescent="0.3">
      <c r="D26" s="51"/>
      <c r="E26" s="77"/>
      <c r="F26" s="77"/>
      <c r="G26"/>
      <c r="H26"/>
    </row>
    <row r="27" spans="4:8" x14ac:dyDescent="0.3">
      <c r="D27" s="51"/>
      <c r="E27" s="77"/>
      <c r="F27" s="77"/>
      <c r="G27"/>
      <c r="H27"/>
    </row>
    <row r="28" spans="4:8" x14ac:dyDescent="0.3">
      <c r="D28" s="51"/>
      <c r="E28" s="77"/>
      <c r="F28" s="77"/>
      <c r="G28"/>
      <c r="H28"/>
    </row>
    <row r="29" spans="4:8" x14ac:dyDescent="0.3">
      <c r="D29" s="51"/>
      <c r="E29" s="77"/>
      <c r="F29" s="77"/>
      <c r="G29"/>
      <c r="H29"/>
    </row>
    <row r="30" spans="4:8" x14ac:dyDescent="0.3">
      <c r="D30" s="51"/>
      <c r="E30" s="77"/>
      <c r="F30" s="77"/>
      <c r="G30"/>
      <c r="H30"/>
    </row>
    <row r="31" spans="4:8" x14ac:dyDescent="0.3">
      <c r="D31" s="51"/>
      <c r="E31" s="77"/>
      <c r="F31" s="77"/>
      <c r="G31"/>
      <c r="H31"/>
    </row>
    <row r="32" spans="4:8" x14ac:dyDescent="0.3">
      <c r="D32" s="51"/>
      <c r="E32" s="77"/>
      <c r="F32" s="77"/>
      <c r="G32"/>
      <c r="H32"/>
    </row>
    <row r="33" spans="4:8" x14ac:dyDescent="0.3">
      <c r="D33" s="51"/>
      <c r="E33" s="77"/>
      <c r="F33" s="77"/>
      <c r="G33"/>
      <c r="H33"/>
    </row>
    <row r="34" spans="4:8" x14ac:dyDescent="0.3">
      <c r="D34" s="51"/>
      <c r="E34" s="77"/>
      <c r="F34" s="77"/>
      <c r="G34"/>
      <c r="H34"/>
    </row>
    <row r="35" spans="4:8" x14ac:dyDescent="0.3">
      <c r="D35" s="51"/>
      <c r="E35" s="77"/>
      <c r="F35" s="77"/>
      <c r="G35"/>
      <c r="H35"/>
    </row>
    <row r="36" spans="4:8" x14ac:dyDescent="0.3">
      <c r="D36" s="51"/>
      <c r="E36" s="77"/>
      <c r="F36" s="77"/>
      <c r="G36"/>
      <c r="H36"/>
    </row>
    <row r="37" spans="4:8" x14ac:dyDescent="0.3">
      <c r="D37" s="51"/>
      <c r="E37" s="77"/>
      <c r="F37" s="77"/>
      <c r="G37"/>
      <c r="H37"/>
    </row>
    <row r="38" spans="4:8" x14ac:dyDescent="0.3">
      <c r="D38" s="51"/>
      <c r="E38" s="77"/>
      <c r="F38" s="77"/>
      <c r="G38"/>
      <c r="H38"/>
    </row>
    <row r="39" spans="4:8" x14ac:dyDescent="0.3">
      <c r="D39" s="51"/>
      <c r="E39" s="77"/>
      <c r="F39" s="77"/>
      <c r="G39"/>
      <c r="H39"/>
    </row>
    <row r="40" spans="4:8" x14ac:dyDescent="0.3">
      <c r="D40" s="51"/>
      <c r="E40" s="77"/>
      <c r="F40" s="77"/>
      <c r="G40"/>
      <c r="H40"/>
    </row>
    <row r="41" spans="4:8" x14ac:dyDescent="0.3">
      <c r="D41" s="51"/>
      <c r="E41" s="77"/>
      <c r="F41" s="77"/>
      <c r="G41"/>
      <c r="H41"/>
    </row>
    <row r="42" spans="4:8" x14ac:dyDescent="0.3">
      <c r="D42" s="51"/>
      <c r="E42" s="77"/>
      <c r="F42" s="77"/>
      <c r="G42"/>
      <c r="H42"/>
    </row>
    <row r="43" spans="4:8" x14ac:dyDescent="0.3">
      <c r="D43" s="51"/>
      <c r="E43" s="77"/>
      <c r="F43" s="77"/>
      <c r="G43"/>
      <c r="H43"/>
    </row>
    <row r="44" spans="4:8" x14ac:dyDescent="0.3">
      <c r="D44" s="51"/>
      <c r="E44" s="77"/>
      <c r="F44" s="77"/>
      <c r="G44"/>
      <c r="H44"/>
    </row>
    <row r="45" spans="4:8" x14ac:dyDescent="0.3">
      <c r="D45" s="51"/>
      <c r="E45" s="77"/>
      <c r="F45" s="77"/>
      <c r="G45"/>
      <c r="H45"/>
    </row>
    <row r="46" spans="4:8" x14ac:dyDescent="0.3">
      <c r="D46" s="51"/>
      <c r="E46" s="77"/>
      <c r="F46" s="77"/>
      <c r="G46"/>
      <c r="H46"/>
    </row>
    <row r="47" spans="4:8" x14ac:dyDescent="0.3">
      <c r="D47" s="51"/>
      <c r="E47" s="77"/>
      <c r="F47" s="77"/>
      <c r="G47"/>
      <c r="H47"/>
    </row>
    <row r="48" spans="4:8" x14ac:dyDescent="0.3">
      <c r="D48" s="51"/>
      <c r="E48" s="77"/>
      <c r="F48" s="77"/>
      <c r="G48"/>
      <c r="H48"/>
    </row>
    <row r="49" spans="4:8" x14ac:dyDescent="0.3">
      <c r="D49" s="51"/>
      <c r="E49" s="77"/>
      <c r="F49" s="77"/>
      <c r="G49"/>
      <c r="H49"/>
    </row>
    <row r="50" spans="4:8" x14ac:dyDescent="0.3">
      <c r="D50" s="51"/>
      <c r="E50" s="77"/>
      <c r="F50" s="77"/>
      <c r="G50"/>
      <c r="H50"/>
    </row>
    <row r="51" spans="4:8" x14ac:dyDescent="0.3">
      <c r="D51" s="51"/>
      <c r="E51" s="77"/>
      <c r="F51" s="77"/>
      <c r="G51"/>
      <c r="H51"/>
    </row>
    <row r="52" spans="4:8" x14ac:dyDescent="0.3">
      <c r="D52" s="51"/>
      <c r="E52" s="77"/>
      <c r="F52" s="77"/>
      <c r="G52"/>
      <c r="H52"/>
    </row>
    <row r="53" spans="4:8" x14ac:dyDescent="0.3">
      <c r="D53" s="51"/>
      <c r="E53" s="77"/>
      <c r="F53" s="77"/>
      <c r="G53"/>
      <c r="H53"/>
    </row>
    <row r="54" spans="4:8" x14ac:dyDescent="0.3">
      <c r="D54" s="51"/>
      <c r="E54" s="77"/>
      <c r="F54" s="77"/>
      <c r="G54"/>
      <c r="H54"/>
    </row>
    <row r="55" spans="4:8" x14ac:dyDescent="0.3">
      <c r="D55" s="51"/>
      <c r="E55" s="77"/>
      <c r="F55" s="77"/>
      <c r="G55"/>
      <c r="H55"/>
    </row>
    <row r="56" spans="4:8" x14ac:dyDescent="0.3">
      <c r="D56" s="51"/>
      <c r="E56" s="77"/>
      <c r="F56" s="77"/>
      <c r="G56"/>
      <c r="H56"/>
    </row>
    <row r="57" spans="4:8" x14ac:dyDescent="0.3">
      <c r="D57" s="51"/>
      <c r="E57" s="77"/>
      <c r="F57" s="77"/>
      <c r="G57"/>
      <c r="H57"/>
    </row>
    <row r="58" spans="4:8" x14ac:dyDescent="0.3">
      <c r="D58" s="51"/>
      <c r="E58" s="77"/>
      <c r="F58" s="77"/>
      <c r="G58"/>
      <c r="H58"/>
    </row>
    <row r="59" spans="4:8" x14ac:dyDescent="0.3">
      <c r="D59" s="51"/>
      <c r="E59" s="77"/>
      <c r="F59" s="77"/>
      <c r="G59"/>
      <c r="H59"/>
    </row>
    <row r="60" spans="4:8" x14ac:dyDescent="0.3">
      <c r="D60" s="51"/>
      <c r="E60" s="77"/>
      <c r="F60" s="77"/>
      <c r="G60"/>
      <c r="H60"/>
    </row>
    <row r="61" spans="4:8" x14ac:dyDescent="0.3">
      <c r="D61" s="51"/>
      <c r="E61" s="77"/>
      <c r="F61" s="77"/>
      <c r="G61"/>
      <c r="H61"/>
    </row>
    <row r="62" spans="4:8" x14ac:dyDescent="0.3">
      <c r="D62" s="51"/>
      <c r="E62" s="77"/>
      <c r="F62" s="77"/>
      <c r="G62"/>
      <c r="H62"/>
    </row>
    <row r="63" spans="4:8" x14ac:dyDescent="0.3">
      <c r="D63" s="51"/>
      <c r="E63" s="77"/>
      <c r="F63" s="77"/>
      <c r="G63"/>
      <c r="H63"/>
    </row>
    <row r="64" spans="4:8" x14ac:dyDescent="0.3">
      <c r="D64" s="51"/>
      <c r="E64" s="77"/>
      <c r="F64" s="77"/>
      <c r="G64"/>
      <c r="H64"/>
    </row>
    <row r="65" spans="4:8" x14ac:dyDescent="0.3">
      <c r="D65" s="51"/>
      <c r="E65" s="77"/>
      <c r="F65" s="77"/>
      <c r="G65"/>
      <c r="H65"/>
    </row>
    <row r="66" spans="4:8" x14ac:dyDescent="0.3">
      <c r="D66" s="51"/>
      <c r="E66" s="77"/>
      <c r="F66" s="77"/>
      <c r="G66"/>
      <c r="H66"/>
    </row>
    <row r="67" spans="4:8" x14ac:dyDescent="0.3">
      <c r="D67" s="51"/>
      <c r="E67" s="77"/>
      <c r="F67" s="77"/>
      <c r="G67"/>
      <c r="H67"/>
    </row>
    <row r="68" spans="4:8" x14ac:dyDescent="0.3">
      <c r="D68" s="51"/>
      <c r="E68" s="77"/>
      <c r="F68" s="77"/>
      <c r="G68"/>
      <c r="H68"/>
    </row>
    <row r="69" spans="4:8" x14ac:dyDescent="0.3">
      <c r="D69" s="51"/>
      <c r="E69" s="77"/>
      <c r="F69" s="77"/>
      <c r="G69"/>
      <c r="H69"/>
    </row>
    <row r="70" spans="4:8" x14ac:dyDescent="0.3">
      <c r="D70" s="51"/>
      <c r="E70" s="77"/>
      <c r="F70" s="77"/>
      <c r="G70"/>
      <c r="H70"/>
    </row>
    <row r="71" spans="4:8" x14ac:dyDescent="0.3">
      <c r="D71" s="51"/>
      <c r="E71" s="77"/>
      <c r="F71" s="77"/>
      <c r="G71"/>
      <c r="H71"/>
    </row>
    <row r="72" spans="4:8" x14ac:dyDescent="0.3">
      <c r="D72" s="51"/>
      <c r="E72" s="77"/>
      <c r="F72" s="77"/>
      <c r="G72"/>
      <c r="H72"/>
    </row>
    <row r="73" spans="4:8" x14ac:dyDescent="0.3">
      <c r="D73" s="51"/>
      <c r="E73" s="77"/>
      <c r="F73" s="77"/>
      <c r="G73"/>
      <c r="H73"/>
    </row>
    <row r="74" spans="4:8" x14ac:dyDescent="0.3">
      <c r="D74" s="51"/>
      <c r="E74" s="77"/>
      <c r="F74" s="77"/>
      <c r="G74"/>
      <c r="H74"/>
    </row>
    <row r="75" spans="4:8" x14ac:dyDescent="0.3">
      <c r="D75" s="51"/>
      <c r="E75" s="77"/>
      <c r="F75" s="77"/>
      <c r="G75"/>
      <c r="H75"/>
    </row>
    <row r="76" spans="4:8" x14ac:dyDescent="0.3">
      <c r="D76" s="51"/>
      <c r="E76" s="77"/>
      <c r="F76" s="77"/>
      <c r="G76"/>
      <c r="H76"/>
    </row>
    <row r="77" spans="4:8" x14ac:dyDescent="0.3">
      <c r="D77" s="51"/>
      <c r="E77" s="77"/>
      <c r="F77" s="77"/>
      <c r="G77"/>
      <c r="H77"/>
    </row>
    <row r="78" spans="4:8" x14ac:dyDescent="0.3">
      <c r="D78" s="51"/>
      <c r="E78" s="77"/>
      <c r="F78" s="77"/>
      <c r="G78"/>
      <c r="H78"/>
    </row>
    <row r="79" spans="4:8" x14ac:dyDescent="0.3">
      <c r="D79" s="51"/>
      <c r="E79" s="77"/>
      <c r="F79" s="77"/>
      <c r="G79"/>
      <c r="H79"/>
    </row>
    <row r="80" spans="4:8" x14ac:dyDescent="0.3">
      <c r="D80" s="51"/>
      <c r="E80" s="77"/>
      <c r="F80" s="77"/>
      <c r="G80"/>
      <c r="H80"/>
    </row>
    <row r="81" spans="4:8" x14ac:dyDescent="0.3">
      <c r="D81" s="51"/>
      <c r="E81" s="77"/>
      <c r="F81" s="77"/>
      <c r="G81"/>
      <c r="H81"/>
    </row>
    <row r="82" spans="4:8" x14ac:dyDescent="0.3">
      <c r="D82" s="51"/>
      <c r="E82" s="77"/>
      <c r="F82" s="77"/>
      <c r="G82"/>
      <c r="H82"/>
    </row>
    <row r="83" spans="4:8" x14ac:dyDescent="0.3">
      <c r="D83" s="51"/>
      <c r="E83" s="77"/>
      <c r="F83" s="77"/>
      <c r="G83"/>
      <c r="H83"/>
    </row>
    <row r="84" spans="4:8" x14ac:dyDescent="0.3">
      <c r="D84" s="51"/>
      <c r="E84" s="77"/>
      <c r="F84" s="77"/>
      <c r="G84"/>
      <c r="H84"/>
    </row>
    <row r="85" spans="4:8" x14ac:dyDescent="0.3">
      <c r="D85" s="51"/>
      <c r="E85" s="77"/>
      <c r="F85" s="77"/>
      <c r="G85"/>
      <c r="H85"/>
    </row>
    <row r="86" spans="4:8" x14ac:dyDescent="0.3">
      <c r="D86" s="51"/>
      <c r="E86" s="77"/>
      <c r="F86" s="77"/>
      <c r="G86"/>
      <c r="H86"/>
    </row>
    <row r="87" spans="4:8" x14ac:dyDescent="0.3">
      <c r="D87" s="51"/>
      <c r="E87" s="77"/>
      <c r="F87" s="77"/>
      <c r="G87"/>
      <c r="H87"/>
    </row>
    <row r="88" spans="4:8" x14ac:dyDescent="0.3">
      <c r="D88" s="51"/>
      <c r="E88" s="77"/>
      <c r="F88" s="77"/>
      <c r="G88"/>
      <c r="H88"/>
    </row>
    <row r="89" spans="4:8" x14ac:dyDescent="0.3">
      <c r="D89" s="51"/>
      <c r="E89" s="77"/>
      <c r="F89" s="77"/>
      <c r="G89"/>
      <c r="H89"/>
    </row>
    <row r="90" spans="4:8" x14ac:dyDescent="0.3">
      <c r="D90" s="51"/>
      <c r="E90" s="77"/>
      <c r="F90" s="77"/>
      <c r="G90"/>
      <c r="H90"/>
    </row>
    <row r="91" spans="4:8" x14ac:dyDescent="0.3">
      <c r="D91" s="51"/>
      <c r="E91" s="77"/>
      <c r="F91" s="77"/>
      <c r="G91"/>
      <c r="H91"/>
    </row>
    <row r="92" spans="4:8" x14ac:dyDescent="0.3">
      <c r="D92" s="51"/>
      <c r="E92" s="77"/>
      <c r="F92" s="77"/>
      <c r="G92"/>
      <c r="H92"/>
    </row>
    <row r="93" spans="4:8" x14ac:dyDescent="0.3">
      <c r="D93" s="51"/>
      <c r="E93" s="77"/>
      <c r="F93" s="77"/>
      <c r="G93"/>
      <c r="H93"/>
    </row>
    <row r="94" spans="4:8" x14ac:dyDescent="0.3">
      <c r="D94" s="51"/>
      <c r="E94" s="77"/>
      <c r="F94" s="77"/>
      <c r="G94"/>
      <c r="H94"/>
    </row>
    <row r="95" spans="4:8" x14ac:dyDescent="0.3">
      <c r="D95" s="51"/>
      <c r="E95" s="77"/>
      <c r="F95" s="77"/>
      <c r="G95"/>
      <c r="H95"/>
    </row>
    <row r="96" spans="4:8" x14ac:dyDescent="0.3">
      <c r="D96" s="51"/>
      <c r="E96" s="77"/>
      <c r="F96" s="77"/>
      <c r="G96"/>
      <c r="H96"/>
    </row>
    <row r="97" spans="4:8" x14ac:dyDescent="0.3">
      <c r="D97" s="51"/>
      <c r="E97" s="77"/>
      <c r="F97" s="77"/>
      <c r="G97"/>
      <c r="H97"/>
    </row>
    <row r="98" spans="4:8" x14ac:dyDescent="0.3">
      <c r="D98" s="51"/>
      <c r="E98" s="77"/>
      <c r="F98" s="77"/>
      <c r="G98"/>
      <c r="H98"/>
    </row>
    <row r="99" spans="4:8" x14ac:dyDescent="0.3">
      <c r="D99" s="51"/>
      <c r="E99" s="77"/>
      <c r="F99" s="77"/>
      <c r="G99"/>
      <c r="H99"/>
    </row>
    <row r="100" spans="4:8" x14ac:dyDescent="0.3">
      <c r="D100" s="51"/>
      <c r="E100" s="77"/>
      <c r="F100" s="77"/>
      <c r="G100"/>
      <c r="H100"/>
    </row>
    <row r="101" spans="4:8" x14ac:dyDescent="0.3">
      <c r="D101" s="51"/>
      <c r="E101" s="77"/>
      <c r="F101" s="77"/>
      <c r="G101"/>
      <c r="H101"/>
    </row>
    <row r="102" spans="4:8" x14ac:dyDescent="0.3">
      <c r="D102" s="51"/>
      <c r="E102" s="77"/>
      <c r="F102" s="77"/>
      <c r="G102"/>
      <c r="H102"/>
    </row>
    <row r="103" spans="4:8" x14ac:dyDescent="0.3">
      <c r="D103" s="51"/>
      <c r="E103" s="77"/>
      <c r="F103" s="77"/>
      <c r="G103"/>
      <c r="H103"/>
    </row>
    <row r="104" spans="4:8" x14ac:dyDescent="0.3">
      <c r="D104" s="51"/>
      <c r="E104" s="77"/>
      <c r="F104" s="77"/>
      <c r="G104"/>
      <c r="H104"/>
    </row>
    <row r="105" spans="4:8" x14ac:dyDescent="0.3">
      <c r="D105" s="51"/>
      <c r="E105" s="77"/>
      <c r="F105" s="77"/>
      <c r="G105"/>
      <c r="H105"/>
    </row>
    <row r="106" spans="4:8" x14ac:dyDescent="0.3">
      <c r="D106" s="51"/>
      <c r="E106" s="77"/>
      <c r="F106" s="77"/>
      <c r="G106"/>
      <c r="H106"/>
    </row>
    <row r="107" spans="4:8" x14ac:dyDescent="0.3">
      <c r="D107" s="51"/>
      <c r="E107" s="77"/>
      <c r="F107" s="77"/>
      <c r="G107"/>
      <c r="H107"/>
    </row>
    <row r="108" spans="4:8" x14ac:dyDescent="0.3">
      <c r="D108" s="51"/>
      <c r="E108" s="77"/>
      <c r="F108" s="77"/>
      <c r="G108"/>
      <c r="H108"/>
    </row>
    <row r="109" spans="4:8" x14ac:dyDescent="0.3">
      <c r="D109" s="51"/>
      <c r="E109" s="77"/>
      <c r="F109" s="77"/>
      <c r="G109"/>
      <c r="H109"/>
    </row>
    <row r="110" spans="4:8" x14ac:dyDescent="0.3">
      <c r="D110" s="51"/>
      <c r="E110" s="77"/>
      <c r="F110" s="77"/>
      <c r="G110"/>
      <c r="H110"/>
    </row>
    <row r="111" spans="4:8" x14ac:dyDescent="0.3">
      <c r="D111" s="51"/>
      <c r="E111" s="77"/>
      <c r="F111" s="77"/>
      <c r="G111"/>
      <c r="H111"/>
    </row>
    <row r="112" spans="4:8" x14ac:dyDescent="0.3">
      <c r="D112" s="51"/>
      <c r="E112" s="77"/>
      <c r="F112" s="77"/>
      <c r="G112"/>
      <c r="H112"/>
    </row>
    <row r="113" spans="4:8" x14ac:dyDescent="0.3">
      <c r="D113" s="51"/>
      <c r="E113" s="77"/>
      <c r="F113" s="77"/>
      <c r="G113"/>
      <c r="H113"/>
    </row>
    <row r="114" spans="4:8" x14ac:dyDescent="0.3">
      <c r="D114" s="51"/>
      <c r="E114" s="77"/>
      <c r="F114" s="77"/>
      <c r="G114"/>
      <c r="H114"/>
    </row>
    <row r="115" spans="4:8" x14ac:dyDescent="0.3">
      <c r="D115" s="51"/>
      <c r="E115" s="77"/>
      <c r="F115" s="77"/>
      <c r="G115"/>
      <c r="H115"/>
    </row>
    <row r="116" spans="4:8" x14ac:dyDescent="0.3">
      <c r="D116" s="51"/>
      <c r="E116" s="77"/>
      <c r="F116" s="77"/>
      <c r="G116"/>
      <c r="H116"/>
    </row>
    <row r="117" spans="4:8" x14ac:dyDescent="0.3">
      <c r="D117" s="51"/>
      <c r="E117" s="77"/>
      <c r="F117" s="77"/>
      <c r="G117"/>
      <c r="H117"/>
    </row>
    <row r="118" spans="4:8" x14ac:dyDescent="0.3">
      <c r="D118" s="51"/>
      <c r="E118" s="77"/>
      <c r="F118" s="77"/>
      <c r="G118"/>
      <c r="H118"/>
    </row>
    <row r="119" spans="4:8" x14ac:dyDescent="0.3">
      <c r="D119" s="51"/>
      <c r="E119" s="77"/>
      <c r="F119" s="77"/>
      <c r="G119"/>
      <c r="H119"/>
    </row>
    <row r="120" spans="4:8" x14ac:dyDescent="0.3">
      <c r="D120" s="51"/>
      <c r="E120" s="77"/>
      <c r="F120" s="77"/>
      <c r="G120"/>
      <c r="H120"/>
    </row>
    <row r="121" spans="4:8" x14ac:dyDescent="0.3">
      <c r="D121" s="51"/>
      <c r="E121" s="77"/>
      <c r="F121" s="77"/>
      <c r="G121"/>
      <c r="H121"/>
    </row>
    <row r="122" spans="4:8" x14ac:dyDescent="0.3">
      <c r="D122" s="51"/>
      <c r="E122" s="77"/>
      <c r="F122" s="77"/>
      <c r="G122"/>
      <c r="H122"/>
    </row>
    <row r="123" spans="4:8" x14ac:dyDescent="0.3">
      <c r="D123" s="51"/>
      <c r="E123" s="77"/>
      <c r="F123" s="77"/>
      <c r="G123"/>
      <c r="H123"/>
    </row>
    <row r="124" spans="4:8" x14ac:dyDescent="0.3">
      <c r="D124" s="51"/>
      <c r="E124" s="77"/>
      <c r="F124" s="77"/>
      <c r="G124"/>
      <c r="H124"/>
    </row>
    <row r="125" spans="4:8" x14ac:dyDescent="0.3">
      <c r="D125" s="51"/>
      <c r="E125" s="77"/>
      <c r="F125" s="77"/>
      <c r="G125"/>
      <c r="H125"/>
    </row>
    <row r="126" spans="4:8" x14ac:dyDescent="0.3">
      <c r="D126" s="51"/>
      <c r="E126" s="77"/>
      <c r="F126" s="77"/>
      <c r="G126"/>
      <c r="H126"/>
    </row>
    <row r="127" spans="4:8" x14ac:dyDescent="0.3">
      <c r="D127" s="51"/>
      <c r="E127" s="77"/>
      <c r="F127" s="77"/>
      <c r="G127"/>
      <c r="H127"/>
    </row>
    <row r="128" spans="4:8" x14ac:dyDescent="0.3">
      <c r="D128" s="51"/>
      <c r="E128" s="77"/>
      <c r="F128" s="77"/>
      <c r="G128"/>
      <c r="H128"/>
    </row>
    <row r="129" spans="4:8" x14ac:dyDescent="0.3">
      <c r="D129" s="51"/>
      <c r="E129" s="77"/>
      <c r="F129" s="77"/>
      <c r="G129"/>
      <c r="H129"/>
    </row>
    <row r="130" spans="4:8" x14ac:dyDescent="0.3">
      <c r="D130" s="51"/>
      <c r="E130" s="77"/>
      <c r="F130" s="77"/>
      <c r="G130"/>
      <c r="H130"/>
    </row>
    <row r="131" spans="4:8" x14ac:dyDescent="0.3">
      <c r="D131" s="51"/>
      <c r="E131" s="77"/>
      <c r="F131" s="77"/>
      <c r="G131"/>
      <c r="H131"/>
    </row>
    <row r="132" spans="4:8" x14ac:dyDescent="0.3">
      <c r="D132" s="51"/>
      <c r="E132" s="77"/>
      <c r="F132" s="77"/>
      <c r="G132"/>
      <c r="H132"/>
    </row>
    <row r="133" spans="4:8" x14ac:dyDescent="0.3">
      <c r="D133" s="51"/>
      <c r="E133" s="77"/>
      <c r="F133" s="77"/>
      <c r="G133"/>
      <c r="H133"/>
    </row>
    <row r="134" spans="4:8" x14ac:dyDescent="0.3">
      <c r="D134" s="51"/>
      <c r="E134" s="77"/>
      <c r="F134" s="77"/>
      <c r="G134"/>
      <c r="H134"/>
    </row>
    <row r="135" spans="4:8" x14ac:dyDescent="0.3">
      <c r="D135" s="51"/>
      <c r="E135" s="77"/>
      <c r="F135" s="77"/>
      <c r="G135"/>
      <c r="H135"/>
    </row>
    <row r="136" spans="4:8" x14ac:dyDescent="0.3">
      <c r="D136" s="51"/>
      <c r="E136" s="77"/>
      <c r="F136" s="77"/>
      <c r="G136"/>
      <c r="H136"/>
    </row>
    <row r="137" spans="4:8" x14ac:dyDescent="0.3">
      <c r="D137" s="51"/>
      <c r="E137" s="77"/>
      <c r="F137" s="77"/>
      <c r="G137"/>
      <c r="H137"/>
    </row>
    <row r="138" spans="4:8" x14ac:dyDescent="0.3">
      <c r="D138" s="51"/>
      <c r="E138" s="77"/>
      <c r="F138" s="77"/>
      <c r="G138"/>
      <c r="H138"/>
    </row>
    <row r="139" spans="4:8" x14ac:dyDescent="0.3">
      <c r="D139" s="51"/>
      <c r="E139" s="77"/>
      <c r="F139" s="77"/>
      <c r="G139"/>
      <c r="H139"/>
    </row>
    <row r="140" spans="4:8" x14ac:dyDescent="0.3">
      <c r="D140" s="51"/>
      <c r="E140" s="77"/>
      <c r="F140" s="77"/>
      <c r="G140"/>
      <c r="H140"/>
    </row>
    <row r="141" spans="4:8" x14ac:dyDescent="0.3">
      <c r="D141" s="51"/>
      <c r="E141" s="77"/>
      <c r="F141" s="77"/>
      <c r="G141"/>
      <c r="H141"/>
    </row>
    <row r="142" spans="4:8" x14ac:dyDescent="0.3">
      <c r="D142" s="51"/>
      <c r="E142" s="77"/>
      <c r="F142" s="77"/>
      <c r="G142"/>
      <c r="H142"/>
    </row>
    <row r="143" spans="4:8" x14ac:dyDescent="0.3">
      <c r="D143" s="51"/>
      <c r="E143" s="77"/>
      <c r="F143" s="77"/>
      <c r="G143"/>
      <c r="H143"/>
    </row>
    <row r="144" spans="4:8" x14ac:dyDescent="0.3">
      <c r="D144" s="51"/>
      <c r="E144" s="77"/>
      <c r="F144" s="77"/>
      <c r="G144"/>
      <c r="H144"/>
    </row>
    <row r="145" spans="4:8" x14ac:dyDescent="0.3">
      <c r="D145" s="51"/>
      <c r="E145" s="77"/>
      <c r="F145" s="77"/>
      <c r="G145"/>
      <c r="H145"/>
    </row>
    <row r="146" spans="4:8" x14ac:dyDescent="0.3">
      <c r="D146" s="51"/>
      <c r="E146" s="77"/>
      <c r="F146" s="77"/>
      <c r="G146"/>
      <c r="H146"/>
    </row>
    <row r="147" spans="4:8" x14ac:dyDescent="0.3">
      <c r="D147" s="51"/>
      <c r="E147" s="77"/>
      <c r="F147" s="77"/>
      <c r="G147"/>
      <c r="H147"/>
    </row>
    <row r="148" spans="4:8" x14ac:dyDescent="0.3">
      <c r="D148" s="51"/>
      <c r="E148" s="77"/>
      <c r="F148" s="77"/>
      <c r="G148"/>
      <c r="H148"/>
    </row>
    <row r="149" spans="4:8" x14ac:dyDescent="0.3">
      <c r="D149" s="51"/>
      <c r="E149" s="77"/>
      <c r="F149" s="77"/>
      <c r="G149"/>
      <c r="H149"/>
    </row>
    <row r="150" spans="4:8" x14ac:dyDescent="0.3">
      <c r="D150" s="51"/>
      <c r="E150" s="77"/>
      <c r="F150" s="77"/>
      <c r="G150"/>
      <c r="H150"/>
    </row>
    <row r="151" spans="4:8" x14ac:dyDescent="0.3">
      <c r="D151" s="51"/>
      <c r="E151" s="77"/>
      <c r="F151" s="77"/>
      <c r="G151"/>
      <c r="H151"/>
    </row>
    <row r="152" spans="4:8" x14ac:dyDescent="0.3">
      <c r="D152" s="51"/>
      <c r="E152" s="77"/>
      <c r="F152" s="77"/>
      <c r="G152"/>
      <c r="H152"/>
    </row>
    <row r="153" spans="4:8" x14ac:dyDescent="0.3">
      <c r="D153" s="51"/>
      <c r="E153" s="77"/>
      <c r="F153" s="77"/>
      <c r="G153"/>
      <c r="H153"/>
    </row>
    <row r="154" spans="4:8" x14ac:dyDescent="0.3">
      <c r="D154" s="51"/>
      <c r="E154" s="77"/>
      <c r="F154" s="77"/>
      <c r="G154"/>
      <c r="H154"/>
    </row>
    <row r="155" spans="4:8" x14ac:dyDescent="0.3">
      <c r="D155" s="51"/>
      <c r="E155" s="77"/>
      <c r="F155" s="77"/>
      <c r="G155"/>
      <c r="H155"/>
    </row>
    <row r="156" spans="4:8" x14ac:dyDescent="0.3">
      <c r="D156" s="51"/>
      <c r="E156" s="77"/>
      <c r="F156" s="77"/>
      <c r="G156"/>
      <c r="H156"/>
    </row>
    <row r="157" spans="4:8" x14ac:dyDescent="0.3">
      <c r="D157" s="51"/>
      <c r="E157" s="77"/>
      <c r="F157" s="77"/>
      <c r="G157"/>
      <c r="H157"/>
    </row>
    <row r="158" spans="4:8" x14ac:dyDescent="0.3">
      <c r="D158" s="51"/>
      <c r="E158" s="77"/>
      <c r="F158" s="77"/>
      <c r="G158"/>
      <c r="H158"/>
    </row>
    <row r="159" spans="4:8" x14ac:dyDescent="0.3">
      <c r="D159" s="51"/>
      <c r="E159" s="77"/>
      <c r="F159" s="77"/>
      <c r="G159"/>
      <c r="H159"/>
    </row>
  </sheetData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585273-AC34-42D7-BBA3-3F268D0BFAC7}">
  <sheetPr codeName="Feuil9">
    <tabColor theme="8" tint="0.39997558519241921"/>
    <outlinePr summaryBelow="0" summaryRight="0"/>
  </sheetPr>
  <dimension ref="A1:J457"/>
  <sheetViews>
    <sheetView showGridLines="0" topLeftCell="B1" zoomScale="85" zoomScaleNormal="85" workbookViewId="0">
      <selection activeCell="D19" sqref="D19:D20"/>
    </sheetView>
  </sheetViews>
  <sheetFormatPr baseColWidth="10" defaultColWidth="10.88671875" defaultRowHeight="14.4" x14ac:dyDescent="0.3"/>
  <cols>
    <col min="1" max="1" width="0" style="69" hidden="1" customWidth="1"/>
    <col min="2" max="2" width="9.77734375" style="69" customWidth="1"/>
    <col min="3" max="3" width="27.21875" style="145" customWidth="1"/>
    <col min="4" max="4" width="46.109375" style="146" customWidth="1"/>
    <col min="5" max="5" width="28.21875" style="145" customWidth="1"/>
    <col min="6" max="6" width="10.44140625" style="150" customWidth="1"/>
    <col min="7" max="7" width="8.109375" style="150" bestFit="1" customWidth="1"/>
    <col min="8" max="8" width="9.88671875" style="150" bestFit="1" customWidth="1"/>
    <col min="9" max="9" width="13.109375" style="149" bestFit="1" customWidth="1"/>
    <col min="10" max="10" width="8.109375" style="149" bestFit="1" customWidth="1"/>
    <col min="11" max="79" width="8.109375" style="150" bestFit="1" customWidth="1"/>
    <col min="80" max="80" width="9.109375" style="150" bestFit="1" customWidth="1"/>
    <col min="81" max="220" width="8.109375" style="150" bestFit="1" customWidth="1"/>
    <col min="221" max="221" width="2" style="150" bestFit="1" customWidth="1"/>
    <col min="222" max="16384" width="10.88671875" style="150"/>
  </cols>
  <sheetData>
    <row r="1" spans="1:5" s="149" customFormat="1" x14ac:dyDescent="0.3">
      <c r="A1"/>
      <c r="B1"/>
      <c r="C1"/>
      <c r="D1"/>
      <c r="E1"/>
    </row>
    <row r="2" spans="1:5" s="149" customFormat="1" x14ac:dyDescent="0.3">
      <c r="A2"/>
      <c r="B2"/>
      <c r="C2"/>
      <c r="D2"/>
      <c r="E2"/>
    </row>
    <row r="3" spans="1:5" s="149" customFormat="1" x14ac:dyDescent="0.3">
      <c r="A3"/>
      <c r="B3"/>
      <c r="C3"/>
      <c r="D3"/>
      <c r="E3"/>
    </row>
    <row r="4" spans="1:5" s="149" customFormat="1" x14ac:dyDescent="0.3">
      <c r="A4"/>
      <c r="B4"/>
      <c r="C4"/>
      <c r="D4"/>
      <c r="E4"/>
    </row>
    <row r="5" spans="1:5" s="149" customFormat="1" x14ac:dyDescent="0.3">
      <c r="A5"/>
      <c r="B5"/>
      <c r="C5"/>
      <c r="D5"/>
      <c r="E5"/>
    </row>
    <row r="6" spans="1:5" s="149" customFormat="1" x14ac:dyDescent="0.3">
      <c r="A6"/>
      <c r="B6"/>
      <c r="C6"/>
      <c r="D6"/>
      <c r="E6"/>
    </row>
    <row r="7" spans="1:5" s="149" customFormat="1" ht="16.5" customHeight="1" x14ac:dyDescent="0.3">
      <c r="A7" s="147"/>
      <c r="B7" s="148"/>
      <c r="C7" s="148"/>
      <c r="D7" s="147"/>
      <c r="E7" s="147"/>
    </row>
    <row r="8" spans="1:5" s="149" customFormat="1" x14ac:dyDescent="0.3">
      <c r="A8"/>
      <c r="B8"/>
      <c r="C8"/>
      <c r="D8"/>
      <c r="E8"/>
    </row>
    <row r="9" spans="1:5" s="149" customFormat="1" ht="18" customHeight="1" x14ac:dyDescent="0.3">
      <c r="A9"/>
      <c r="B9"/>
      <c r="C9" s="73" t="s">
        <v>262</v>
      </c>
      <c r="D9" s="48" t="s">
        <v>4577</v>
      </c>
      <c r="E9"/>
    </row>
    <row r="10" spans="1:5" s="149" customFormat="1" ht="18" customHeight="1" x14ac:dyDescent="0.3">
      <c r="A10"/>
      <c r="B10"/>
      <c r="C10" s="73" t="s">
        <v>2654</v>
      </c>
      <c r="D10" s="48" t="s">
        <v>6672</v>
      </c>
      <c r="E10"/>
    </row>
    <row r="11" spans="1:5" s="149" customFormat="1" x14ac:dyDescent="0.3">
      <c r="A11"/>
      <c r="B11"/>
      <c r="C11"/>
      <c r="D11"/>
      <c r="E11"/>
    </row>
    <row r="12" spans="1:5" s="149" customFormat="1" x14ac:dyDescent="0.3">
      <c r="A12"/>
      <c r="B12"/>
      <c r="C12"/>
      <c r="D12"/>
      <c r="E12"/>
    </row>
    <row r="13" spans="1:5" s="149" customFormat="1" x14ac:dyDescent="0.3">
      <c r="A13"/>
      <c r="B13"/>
      <c r="C13"/>
      <c r="D13"/>
      <c r="E13"/>
    </row>
    <row r="14" spans="1:5" s="149" customFormat="1" x14ac:dyDescent="0.3">
      <c r="A14"/>
      <c r="B14"/>
      <c r="C14"/>
      <c r="D14"/>
      <c r="E14"/>
    </row>
    <row r="15" spans="1:5" s="149" customFormat="1" x14ac:dyDescent="0.3">
      <c r="A15"/>
      <c r="B15"/>
      <c r="C15"/>
      <c r="D15"/>
      <c r="E15"/>
    </row>
    <row r="16" spans="1:5" s="149" customFormat="1" x14ac:dyDescent="0.3">
      <c r="A16"/>
      <c r="B16"/>
      <c r="C16" s="36" t="s">
        <v>262</v>
      </c>
      <c r="D16" s="36" t="s">
        <v>2654</v>
      </c>
    </row>
    <row r="17" spans="1:5" s="149" customFormat="1" x14ac:dyDescent="0.3">
      <c r="A17"/>
      <c r="B17"/>
      <c r="C17" s="55" t="s">
        <v>4575</v>
      </c>
      <c r="D17" s="144" t="s">
        <v>202</v>
      </c>
      <c r="E17" s="55"/>
    </row>
    <row r="18" spans="1:5" s="149" customFormat="1" x14ac:dyDescent="0.3">
      <c r="A18"/>
      <c r="B18"/>
      <c r="C18" s="55" t="s">
        <v>4575</v>
      </c>
      <c r="D18" s="144" t="s">
        <v>201</v>
      </c>
      <c r="E18" s="55"/>
    </row>
    <row r="19" spans="1:5" s="149" customFormat="1" x14ac:dyDescent="0.3">
      <c r="A19"/>
      <c r="B19"/>
      <c r="C19" s="55" t="s">
        <v>4577</v>
      </c>
      <c r="D19" s="144" t="s">
        <v>202</v>
      </c>
      <c r="E19" s="55"/>
    </row>
    <row r="20" spans="1:5" s="149" customFormat="1" x14ac:dyDescent="0.3">
      <c r="A20"/>
      <c r="B20"/>
      <c r="C20" s="55" t="s">
        <v>4577</v>
      </c>
      <c r="D20" s="144" t="s">
        <v>201</v>
      </c>
      <c r="E20" s="55"/>
    </row>
    <row r="21" spans="1:5" s="149" customFormat="1" x14ac:dyDescent="0.3">
      <c r="A21"/>
      <c r="B21"/>
      <c r="C21" s="55" t="s">
        <v>4575</v>
      </c>
      <c r="D21" s="144" t="s">
        <v>2643</v>
      </c>
      <c r="E21" s="55"/>
    </row>
    <row r="22" spans="1:5" s="149" customFormat="1" x14ac:dyDescent="0.3">
      <c r="A22"/>
      <c r="B22"/>
      <c r="C22" s="55" t="s">
        <v>4575</v>
      </c>
      <c r="D22" s="144" t="s">
        <v>2644</v>
      </c>
      <c r="E22" s="55"/>
    </row>
    <row r="23" spans="1:5" s="149" customFormat="1" x14ac:dyDescent="0.3">
      <c r="A23"/>
      <c r="B23"/>
      <c r="C23" s="55"/>
      <c r="D23" s="144"/>
      <c r="E23" s="55"/>
    </row>
    <row r="24" spans="1:5" s="149" customFormat="1" x14ac:dyDescent="0.3">
      <c r="A24"/>
      <c r="B24"/>
      <c r="C24" s="55"/>
      <c r="D24" s="144"/>
      <c r="E24" s="55"/>
    </row>
    <row r="25" spans="1:5" s="149" customFormat="1" x14ac:dyDescent="0.3">
      <c r="A25"/>
      <c r="B25"/>
      <c r="C25" s="55"/>
      <c r="D25" s="144"/>
      <c r="E25" s="55"/>
    </row>
    <row r="26" spans="1:5" s="149" customFormat="1" x14ac:dyDescent="0.3">
      <c r="A26"/>
      <c r="B26"/>
      <c r="C26" s="55"/>
      <c r="D26" s="144"/>
      <c r="E26" s="55"/>
    </row>
    <row r="27" spans="1:5" s="149" customFormat="1" x14ac:dyDescent="0.3">
      <c r="A27"/>
      <c r="B27"/>
      <c r="C27" s="55"/>
      <c r="D27" s="144"/>
      <c r="E27" s="55"/>
    </row>
    <row r="28" spans="1:5" s="149" customFormat="1" x14ac:dyDescent="0.3">
      <c r="A28"/>
      <c r="B28"/>
      <c r="C28" s="55"/>
      <c r="D28" s="144"/>
      <c r="E28" s="55"/>
    </row>
    <row r="29" spans="1:5" s="149" customFormat="1" x14ac:dyDescent="0.3">
      <c r="A29"/>
      <c r="B29"/>
      <c r="C29" s="55"/>
      <c r="D29" s="144"/>
      <c r="E29" s="55"/>
    </row>
    <row r="30" spans="1:5" s="149" customFormat="1" x14ac:dyDescent="0.3">
      <c r="A30"/>
      <c r="B30"/>
      <c r="C30" s="55"/>
      <c r="D30" s="144"/>
      <c r="E30" s="55"/>
    </row>
    <row r="31" spans="1:5" s="149" customFormat="1" x14ac:dyDescent="0.3">
      <c r="A31"/>
      <c r="B31"/>
      <c r="C31" s="55"/>
      <c r="D31" s="144"/>
      <c r="E31" s="55"/>
    </row>
    <row r="32" spans="1:5" s="149" customFormat="1" x14ac:dyDescent="0.3">
      <c r="A32"/>
      <c r="B32"/>
      <c r="C32" s="55"/>
      <c r="D32" s="144"/>
      <c r="E32" s="55"/>
    </row>
    <row r="33" spans="1:5" s="149" customFormat="1" x14ac:dyDescent="0.3">
      <c r="A33"/>
      <c r="B33"/>
      <c r="C33" s="55"/>
      <c r="D33" s="144"/>
      <c r="E33" s="55"/>
    </row>
    <row r="34" spans="1:5" s="149" customFormat="1" x14ac:dyDescent="0.3">
      <c r="A34"/>
      <c r="B34"/>
      <c r="C34" s="55"/>
      <c r="D34" s="144"/>
      <c r="E34" s="55"/>
    </row>
    <row r="35" spans="1:5" s="149" customFormat="1" x14ac:dyDescent="0.3">
      <c r="A35"/>
      <c r="B35"/>
      <c r="C35" s="55"/>
      <c r="D35" s="144"/>
      <c r="E35" s="55"/>
    </row>
    <row r="36" spans="1:5" s="149" customFormat="1" x14ac:dyDescent="0.3">
      <c r="A36"/>
      <c r="B36"/>
      <c r="C36" s="55"/>
      <c r="D36" s="144"/>
      <c r="E36" s="55"/>
    </row>
    <row r="37" spans="1:5" s="149" customFormat="1" x14ac:dyDescent="0.3">
      <c r="A37"/>
      <c r="B37"/>
      <c r="C37" s="55"/>
      <c r="D37" s="144"/>
      <c r="E37" s="55"/>
    </row>
    <row r="38" spans="1:5" s="149" customFormat="1" x14ac:dyDescent="0.3">
      <c r="A38"/>
      <c r="B38"/>
      <c r="C38" s="55"/>
      <c r="D38" s="144"/>
      <c r="E38" s="55"/>
    </row>
    <row r="39" spans="1:5" s="149" customFormat="1" x14ac:dyDescent="0.3">
      <c r="A39"/>
      <c r="B39"/>
      <c r="C39" s="55"/>
      <c r="D39" s="144"/>
      <c r="E39" s="55"/>
    </row>
    <row r="40" spans="1:5" s="149" customFormat="1" x14ac:dyDescent="0.3">
      <c r="A40"/>
      <c r="B40"/>
      <c r="C40" s="55"/>
      <c r="D40" s="144"/>
      <c r="E40" s="55"/>
    </row>
    <row r="41" spans="1:5" s="149" customFormat="1" x14ac:dyDescent="0.3">
      <c r="A41"/>
      <c r="B41"/>
      <c r="C41" s="55"/>
      <c r="D41" s="144"/>
      <c r="E41" s="55"/>
    </row>
    <row r="42" spans="1:5" s="149" customFormat="1" x14ac:dyDescent="0.3">
      <c r="A42"/>
      <c r="B42"/>
      <c r="C42" s="55"/>
      <c r="D42" s="144"/>
      <c r="E42" s="55"/>
    </row>
    <row r="43" spans="1:5" s="149" customFormat="1" x14ac:dyDescent="0.3">
      <c r="A43"/>
      <c r="B43"/>
      <c r="C43" s="55"/>
      <c r="D43" s="144"/>
      <c r="E43" s="55"/>
    </row>
    <row r="44" spans="1:5" s="149" customFormat="1" x14ac:dyDescent="0.3">
      <c r="A44"/>
      <c r="B44"/>
      <c r="C44" s="55"/>
      <c r="D44" s="144"/>
      <c r="E44" s="55"/>
    </row>
    <row r="45" spans="1:5" s="149" customFormat="1" x14ac:dyDescent="0.3">
      <c r="A45"/>
      <c r="B45"/>
      <c r="C45" s="55"/>
      <c r="D45" s="144"/>
      <c r="E45" s="55"/>
    </row>
    <row r="46" spans="1:5" s="149" customFormat="1" x14ac:dyDescent="0.3">
      <c r="A46"/>
      <c r="B46"/>
      <c r="C46" s="55"/>
      <c r="D46" s="144"/>
      <c r="E46" s="55"/>
    </row>
    <row r="47" spans="1:5" s="149" customFormat="1" x14ac:dyDescent="0.3">
      <c r="A47"/>
      <c r="B47"/>
      <c r="C47" s="55"/>
      <c r="D47" s="144"/>
      <c r="E47" s="55"/>
    </row>
    <row r="48" spans="1:5" s="149" customFormat="1" x14ac:dyDescent="0.3">
      <c r="A48"/>
      <c r="B48"/>
      <c r="C48" s="55"/>
      <c r="D48" s="144"/>
      <c r="E48" s="55"/>
    </row>
    <row r="49" spans="1:5" s="149" customFormat="1" x14ac:dyDescent="0.3">
      <c r="A49"/>
      <c r="B49"/>
      <c r="C49" s="55"/>
      <c r="D49" s="144"/>
      <c r="E49" s="55"/>
    </row>
    <row r="50" spans="1:5" s="149" customFormat="1" x14ac:dyDescent="0.3">
      <c r="A50"/>
      <c r="B50"/>
      <c r="C50" s="55"/>
      <c r="D50" s="144"/>
      <c r="E50" s="55"/>
    </row>
    <row r="51" spans="1:5" s="149" customFormat="1" x14ac:dyDescent="0.3">
      <c r="A51"/>
      <c r="B51"/>
      <c r="C51" s="55"/>
      <c r="D51" s="144"/>
      <c r="E51" s="55"/>
    </row>
    <row r="52" spans="1:5" s="149" customFormat="1" x14ac:dyDescent="0.3">
      <c r="A52"/>
      <c r="B52"/>
      <c r="C52" s="55"/>
      <c r="D52" s="144"/>
      <c r="E52" s="55"/>
    </row>
    <row r="53" spans="1:5" s="149" customFormat="1" x14ac:dyDescent="0.3">
      <c r="A53"/>
      <c r="B53"/>
      <c r="C53" s="55"/>
      <c r="D53" s="144"/>
      <c r="E53" s="55"/>
    </row>
    <row r="54" spans="1:5" s="149" customFormat="1" x14ac:dyDescent="0.3">
      <c r="A54"/>
      <c r="B54"/>
      <c r="C54" s="55"/>
      <c r="D54" s="144"/>
      <c r="E54" s="55"/>
    </row>
    <row r="55" spans="1:5" s="149" customFormat="1" x14ac:dyDescent="0.3">
      <c r="A55"/>
      <c r="B55"/>
      <c r="C55" s="55"/>
      <c r="D55" s="144"/>
      <c r="E55" s="55"/>
    </row>
    <row r="56" spans="1:5" s="149" customFormat="1" x14ac:dyDescent="0.3">
      <c r="A56"/>
      <c r="B56"/>
      <c r="C56" s="55"/>
      <c r="D56" s="144"/>
      <c r="E56" s="55"/>
    </row>
    <row r="57" spans="1:5" s="149" customFormat="1" x14ac:dyDescent="0.3">
      <c r="A57"/>
      <c r="B57"/>
      <c r="C57" s="55"/>
      <c r="D57" s="144"/>
      <c r="E57" s="55"/>
    </row>
    <row r="58" spans="1:5" s="149" customFormat="1" x14ac:dyDescent="0.3">
      <c r="A58"/>
      <c r="B58"/>
      <c r="C58" s="55"/>
      <c r="D58" s="144"/>
      <c r="E58" s="55"/>
    </row>
    <row r="59" spans="1:5" s="149" customFormat="1" x14ac:dyDescent="0.3">
      <c r="A59"/>
      <c r="B59"/>
      <c r="C59" s="55"/>
      <c r="D59" s="144"/>
      <c r="E59" s="55"/>
    </row>
    <row r="60" spans="1:5" s="149" customFormat="1" x14ac:dyDescent="0.3">
      <c r="A60"/>
      <c r="B60"/>
      <c r="C60" s="55"/>
      <c r="D60" s="144"/>
      <c r="E60" s="55"/>
    </row>
    <row r="61" spans="1:5" s="149" customFormat="1" x14ac:dyDescent="0.3">
      <c r="A61"/>
      <c r="B61"/>
      <c r="C61" s="55"/>
      <c r="D61" s="144"/>
      <c r="E61" s="55"/>
    </row>
    <row r="62" spans="1:5" s="149" customFormat="1" x14ac:dyDescent="0.3">
      <c r="A62"/>
      <c r="B62"/>
      <c r="C62" s="55"/>
      <c r="D62" s="144"/>
      <c r="E62" s="55"/>
    </row>
    <row r="63" spans="1:5" s="149" customFormat="1" x14ac:dyDescent="0.3">
      <c r="A63"/>
      <c r="B63"/>
      <c r="C63" s="55"/>
      <c r="D63" s="144"/>
      <c r="E63" s="55"/>
    </row>
    <row r="64" spans="1:5" s="149" customFormat="1" x14ac:dyDescent="0.3">
      <c r="A64"/>
      <c r="B64"/>
      <c r="C64" s="55"/>
      <c r="D64" s="144"/>
      <c r="E64" s="55"/>
    </row>
    <row r="65" spans="1:5" s="149" customFormat="1" x14ac:dyDescent="0.3">
      <c r="A65"/>
      <c r="B65"/>
      <c r="C65" s="55"/>
      <c r="D65" s="144"/>
      <c r="E65" s="55"/>
    </row>
    <row r="66" spans="1:5" s="149" customFormat="1" x14ac:dyDescent="0.3">
      <c r="A66"/>
      <c r="B66"/>
      <c r="C66" s="55"/>
      <c r="D66" s="144"/>
      <c r="E66" s="55"/>
    </row>
    <row r="67" spans="1:5" s="149" customFormat="1" x14ac:dyDescent="0.3">
      <c r="A67"/>
      <c r="B67"/>
      <c r="C67" s="55"/>
      <c r="D67" s="144"/>
      <c r="E67" s="55"/>
    </row>
    <row r="68" spans="1:5" s="149" customFormat="1" x14ac:dyDescent="0.3">
      <c r="A68"/>
      <c r="B68"/>
      <c r="C68" s="55"/>
      <c r="D68" s="144"/>
      <c r="E68" s="55"/>
    </row>
    <row r="69" spans="1:5" s="149" customFormat="1" x14ac:dyDescent="0.3">
      <c r="A69"/>
      <c r="B69"/>
      <c r="C69" s="55"/>
      <c r="D69" s="144"/>
      <c r="E69" s="55"/>
    </row>
    <row r="70" spans="1:5" s="149" customFormat="1" x14ac:dyDescent="0.3">
      <c r="A70"/>
      <c r="B70"/>
      <c r="C70" s="55"/>
      <c r="D70" s="144"/>
      <c r="E70" s="55"/>
    </row>
    <row r="71" spans="1:5" s="149" customFormat="1" x14ac:dyDescent="0.3">
      <c r="A71"/>
      <c r="B71"/>
      <c r="C71" s="55"/>
      <c r="D71" s="144"/>
      <c r="E71" s="55"/>
    </row>
    <row r="72" spans="1:5" s="149" customFormat="1" x14ac:dyDescent="0.3">
      <c r="A72"/>
      <c r="B72"/>
      <c r="C72" s="55"/>
      <c r="D72" s="144"/>
      <c r="E72" s="55"/>
    </row>
    <row r="73" spans="1:5" s="149" customFormat="1" x14ac:dyDescent="0.3">
      <c r="A73"/>
      <c r="B73"/>
      <c r="C73" s="55"/>
      <c r="D73" s="144"/>
      <c r="E73" s="55"/>
    </row>
    <row r="74" spans="1:5" s="149" customFormat="1" x14ac:dyDescent="0.3">
      <c r="A74"/>
      <c r="B74"/>
      <c r="C74" s="55"/>
      <c r="D74" s="144"/>
      <c r="E74" s="55"/>
    </row>
    <row r="75" spans="1:5" s="149" customFormat="1" x14ac:dyDescent="0.3">
      <c r="A75"/>
      <c r="B75"/>
      <c r="C75" s="55"/>
      <c r="D75" s="144"/>
      <c r="E75" s="55"/>
    </row>
    <row r="76" spans="1:5" s="149" customFormat="1" x14ac:dyDescent="0.3">
      <c r="A76"/>
      <c r="B76"/>
      <c r="C76" s="55"/>
      <c r="D76" s="144"/>
      <c r="E76" s="55"/>
    </row>
    <row r="77" spans="1:5" s="149" customFormat="1" x14ac:dyDescent="0.3">
      <c r="A77"/>
      <c r="B77"/>
      <c r="C77" s="55"/>
      <c r="D77" s="144"/>
      <c r="E77" s="55"/>
    </row>
    <row r="78" spans="1:5" s="149" customFormat="1" x14ac:dyDescent="0.3">
      <c r="A78"/>
      <c r="B78"/>
      <c r="C78" s="55"/>
      <c r="D78" s="144"/>
      <c r="E78" s="55"/>
    </row>
    <row r="79" spans="1:5" s="149" customFormat="1" x14ac:dyDescent="0.3">
      <c r="A79"/>
      <c r="B79"/>
      <c r="C79" s="55"/>
      <c r="D79" s="144"/>
      <c r="E79" s="55"/>
    </row>
    <row r="80" spans="1:5" s="149" customFormat="1" x14ac:dyDescent="0.3">
      <c r="A80"/>
      <c r="B80"/>
      <c r="C80" s="55"/>
      <c r="D80" s="144"/>
      <c r="E80" s="55"/>
    </row>
    <row r="81" spans="1:5" s="149" customFormat="1" x14ac:dyDescent="0.3">
      <c r="A81"/>
      <c r="B81"/>
      <c r="C81" s="55"/>
      <c r="D81" s="144"/>
      <c r="E81" s="55"/>
    </row>
    <row r="82" spans="1:5" s="149" customFormat="1" x14ac:dyDescent="0.3">
      <c r="A82"/>
      <c r="B82"/>
      <c r="C82" s="55"/>
      <c r="D82" s="144"/>
      <c r="E82" s="55"/>
    </row>
    <row r="83" spans="1:5" s="149" customFormat="1" x14ac:dyDescent="0.3">
      <c r="A83"/>
      <c r="B83"/>
      <c r="C83" s="55"/>
      <c r="D83" s="144"/>
      <c r="E83" s="55"/>
    </row>
    <row r="84" spans="1:5" s="149" customFormat="1" x14ac:dyDescent="0.3">
      <c r="A84"/>
      <c r="B84"/>
      <c r="C84" s="55"/>
      <c r="D84" s="144"/>
      <c r="E84" s="55"/>
    </row>
    <row r="85" spans="1:5" s="149" customFormat="1" x14ac:dyDescent="0.3">
      <c r="A85"/>
      <c r="B85"/>
      <c r="C85" s="55"/>
      <c r="D85" s="144"/>
      <c r="E85" s="55"/>
    </row>
    <row r="86" spans="1:5" s="149" customFormat="1" x14ac:dyDescent="0.3">
      <c r="A86"/>
      <c r="B86"/>
      <c r="C86" s="55"/>
      <c r="D86" s="144"/>
      <c r="E86" s="55"/>
    </row>
    <row r="87" spans="1:5" s="149" customFormat="1" x14ac:dyDescent="0.3">
      <c r="A87"/>
      <c r="B87"/>
      <c r="C87" s="55"/>
      <c r="D87" s="144"/>
      <c r="E87" s="55"/>
    </row>
    <row r="88" spans="1:5" s="149" customFormat="1" x14ac:dyDescent="0.3">
      <c r="A88"/>
      <c r="B88"/>
      <c r="C88" s="55"/>
      <c r="D88" s="144"/>
      <c r="E88" s="55"/>
    </row>
    <row r="89" spans="1:5" s="149" customFormat="1" x14ac:dyDescent="0.3">
      <c r="A89"/>
      <c r="B89"/>
      <c r="C89" s="55"/>
      <c r="D89" s="144"/>
      <c r="E89" s="55"/>
    </row>
    <row r="90" spans="1:5" s="149" customFormat="1" x14ac:dyDescent="0.3">
      <c r="A90"/>
      <c r="B90"/>
      <c r="C90" s="55"/>
      <c r="D90" s="144"/>
      <c r="E90" s="55"/>
    </row>
    <row r="91" spans="1:5" s="149" customFormat="1" x14ac:dyDescent="0.3">
      <c r="A91"/>
      <c r="B91"/>
      <c r="C91" s="55"/>
      <c r="D91" s="144"/>
      <c r="E91" s="55"/>
    </row>
    <row r="92" spans="1:5" s="149" customFormat="1" x14ac:dyDescent="0.3">
      <c r="A92"/>
      <c r="B92"/>
      <c r="C92" s="55"/>
      <c r="D92" s="144"/>
      <c r="E92" s="55"/>
    </row>
    <row r="93" spans="1:5" s="149" customFormat="1" x14ac:dyDescent="0.3">
      <c r="A93"/>
      <c r="B93"/>
      <c r="C93" s="55"/>
      <c r="D93" s="144"/>
      <c r="E93" s="55"/>
    </row>
    <row r="94" spans="1:5" s="149" customFormat="1" x14ac:dyDescent="0.3">
      <c r="A94"/>
      <c r="B94"/>
      <c r="C94" s="55"/>
      <c r="D94" s="144"/>
      <c r="E94" s="55"/>
    </row>
    <row r="95" spans="1:5" s="149" customFormat="1" x14ac:dyDescent="0.3">
      <c r="A95"/>
      <c r="B95"/>
      <c r="C95" s="55"/>
      <c r="D95" s="144"/>
      <c r="E95" s="55"/>
    </row>
    <row r="96" spans="1:5" s="149" customFormat="1" x14ac:dyDescent="0.3">
      <c r="A96"/>
      <c r="B96"/>
      <c r="C96" s="55"/>
      <c r="D96" s="144"/>
      <c r="E96" s="55"/>
    </row>
    <row r="97" spans="1:5" s="149" customFormat="1" x14ac:dyDescent="0.3">
      <c r="A97"/>
      <c r="B97"/>
      <c r="C97" s="55"/>
      <c r="D97" s="144"/>
      <c r="E97" s="55"/>
    </row>
    <row r="98" spans="1:5" s="149" customFormat="1" x14ac:dyDescent="0.3">
      <c r="A98"/>
      <c r="B98"/>
      <c r="C98" s="55"/>
      <c r="D98" s="144"/>
      <c r="E98" s="55"/>
    </row>
    <row r="99" spans="1:5" s="149" customFormat="1" x14ac:dyDescent="0.3">
      <c r="A99"/>
      <c r="B99"/>
      <c r="C99" s="55"/>
      <c r="D99" s="144"/>
      <c r="E99" s="55"/>
    </row>
    <row r="100" spans="1:5" s="149" customFormat="1" x14ac:dyDescent="0.3">
      <c r="A100"/>
      <c r="B100"/>
      <c r="C100" s="55"/>
      <c r="D100" s="144"/>
      <c r="E100" s="55"/>
    </row>
    <row r="101" spans="1:5" s="149" customFormat="1" x14ac:dyDescent="0.3">
      <c r="A101"/>
      <c r="B101"/>
      <c r="C101" s="55"/>
      <c r="D101" s="144"/>
      <c r="E101" s="55"/>
    </row>
    <row r="102" spans="1:5" s="149" customFormat="1" x14ac:dyDescent="0.3">
      <c r="A102"/>
      <c r="B102"/>
      <c r="C102" s="55"/>
      <c r="D102" s="144"/>
      <c r="E102" s="55"/>
    </row>
    <row r="103" spans="1:5" s="149" customFormat="1" x14ac:dyDescent="0.3">
      <c r="A103"/>
      <c r="B103"/>
      <c r="C103" s="55"/>
      <c r="D103" s="144"/>
      <c r="E103" s="55"/>
    </row>
    <row r="104" spans="1:5" s="149" customFormat="1" x14ac:dyDescent="0.3">
      <c r="A104"/>
      <c r="B104"/>
      <c r="C104" s="55"/>
      <c r="D104" s="144"/>
      <c r="E104" s="55"/>
    </row>
    <row r="105" spans="1:5" s="149" customFormat="1" x14ac:dyDescent="0.3">
      <c r="A105"/>
      <c r="B105"/>
      <c r="C105" s="55"/>
      <c r="D105" s="144"/>
      <c r="E105" s="55"/>
    </row>
    <row r="106" spans="1:5" s="149" customFormat="1" x14ac:dyDescent="0.3">
      <c r="A106"/>
      <c r="B106"/>
      <c r="C106" s="55"/>
      <c r="D106" s="144"/>
      <c r="E106" s="55"/>
    </row>
    <row r="107" spans="1:5" s="149" customFormat="1" x14ac:dyDescent="0.3">
      <c r="A107"/>
      <c r="B107"/>
      <c r="C107" s="55"/>
      <c r="D107" s="144"/>
      <c r="E107" s="55"/>
    </row>
    <row r="108" spans="1:5" s="149" customFormat="1" x14ac:dyDescent="0.3">
      <c r="A108"/>
      <c r="B108"/>
      <c r="C108" s="55"/>
      <c r="D108" s="144"/>
      <c r="E108" s="55"/>
    </row>
    <row r="109" spans="1:5" s="149" customFormat="1" x14ac:dyDescent="0.3">
      <c r="A109"/>
      <c r="B109"/>
      <c r="C109" s="55"/>
      <c r="D109" s="144"/>
      <c r="E109" s="55"/>
    </row>
    <row r="110" spans="1:5" s="149" customFormat="1" x14ac:dyDescent="0.3">
      <c r="A110"/>
      <c r="B110"/>
      <c r="C110" s="55"/>
      <c r="D110" s="144"/>
      <c r="E110" s="55"/>
    </row>
    <row r="111" spans="1:5" s="149" customFormat="1" x14ac:dyDescent="0.3">
      <c r="A111"/>
      <c r="B111"/>
      <c r="C111" s="55"/>
      <c r="D111" s="144"/>
      <c r="E111" s="55"/>
    </row>
    <row r="112" spans="1:5" s="149" customFormat="1" x14ac:dyDescent="0.3">
      <c r="A112"/>
      <c r="B112"/>
      <c r="C112" s="55"/>
      <c r="D112" s="144"/>
      <c r="E112" s="55"/>
    </row>
    <row r="113" spans="1:5" s="149" customFormat="1" x14ac:dyDescent="0.3">
      <c r="A113"/>
      <c r="B113"/>
      <c r="C113" s="55"/>
      <c r="D113" s="144"/>
      <c r="E113" s="55"/>
    </row>
    <row r="114" spans="1:5" s="149" customFormat="1" x14ac:dyDescent="0.3">
      <c r="A114"/>
      <c r="B114"/>
      <c r="C114" s="55"/>
      <c r="D114" s="144"/>
      <c r="E114" s="55"/>
    </row>
    <row r="115" spans="1:5" s="149" customFormat="1" x14ac:dyDescent="0.3">
      <c r="A115"/>
      <c r="B115"/>
      <c r="C115" s="55"/>
      <c r="D115" s="144"/>
      <c r="E115" s="55"/>
    </row>
    <row r="116" spans="1:5" s="149" customFormat="1" x14ac:dyDescent="0.3">
      <c r="A116"/>
      <c r="B116"/>
      <c r="C116" s="55"/>
      <c r="D116" s="144"/>
      <c r="E116" s="55"/>
    </row>
    <row r="117" spans="1:5" s="149" customFormat="1" x14ac:dyDescent="0.3">
      <c r="A117"/>
      <c r="B117"/>
      <c r="C117" s="55"/>
      <c r="D117" s="144"/>
      <c r="E117" s="55"/>
    </row>
    <row r="118" spans="1:5" s="149" customFormat="1" x14ac:dyDescent="0.3">
      <c r="A118"/>
      <c r="B118"/>
      <c r="C118" s="55"/>
      <c r="D118" s="144"/>
      <c r="E118" s="55"/>
    </row>
    <row r="119" spans="1:5" s="149" customFormat="1" x14ac:dyDescent="0.3">
      <c r="A119"/>
      <c r="B119"/>
      <c r="C119" s="55"/>
      <c r="D119" s="144"/>
      <c r="E119" s="55"/>
    </row>
    <row r="120" spans="1:5" s="149" customFormat="1" x14ac:dyDescent="0.3">
      <c r="A120"/>
      <c r="B120"/>
      <c r="C120" s="55"/>
      <c r="D120" s="144"/>
      <c r="E120" s="55"/>
    </row>
    <row r="121" spans="1:5" s="149" customFormat="1" x14ac:dyDescent="0.3">
      <c r="A121"/>
      <c r="B121"/>
      <c r="C121" s="55"/>
      <c r="D121" s="144"/>
      <c r="E121" s="55"/>
    </row>
    <row r="122" spans="1:5" s="149" customFormat="1" x14ac:dyDescent="0.3">
      <c r="A122"/>
      <c r="B122"/>
      <c r="C122" s="55"/>
      <c r="D122" s="144"/>
      <c r="E122" s="55"/>
    </row>
    <row r="123" spans="1:5" s="149" customFormat="1" x14ac:dyDescent="0.3">
      <c r="A123"/>
      <c r="B123"/>
      <c r="C123" s="55"/>
      <c r="D123" s="144"/>
      <c r="E123" s="55"/>
    </row>
    <row r="124" spans="1:5" s="149" customFormat="1" x14ac:dyDescent="0.3">
      <c r="A124"/>
      <c r="B124"/>
      <c r="C124" s="55"/>
      <c r="D124" s="144"/>
      <c r="E124" s="55"/>
    </row>
    <row r="125" spans="1:5" s="149" customFormat="1" x14ac:dyDescent="0.3">
      <c r="A125"/>
      <c r="B125"/>
      <c r="C125" s="55"/>
      <c r="D125" s="144"/>
      <c r="E125" s="55"/>
    </row>
    <row r="126" spans="1:5" s="149" customFormat="1" x14ac:dyDescent="0.3">
      <c r="A126"/>
      <c r="B126"/>
      <c r="C126" s="55"/>
      <c r="D126" s="144"/>
      <c r="E126" s="55"/>
    </row>
    <row r="127" spans="1:5" s="149" customFormat="1" x14ac:dyDescent="0.3">
      <c r="A127"/>
      <c r="B127"/>
      <c r="C127" s="55"/>
      <c r="D127" s="144"/>
      <c r="E127" s="55"/>
    </row>
    <row r="128" spans="1:5" s="149" customFormat="1" x14ac:dyDescent="0.3">
      <c r="A128"/>
      <c r="B128"/>
      <c r="C128" s="55"/>
      <c r="D128" s="144"/>
      <c r="E128" s="55"/>
    </row>
    <row r="129" spans="1:5" s="149" customFormat="1" x14ac:dyDescent="0.3">
      <c r="A129"/>
      <c r="B129"/>
      <c r="C129" s="55"/>
      <c r="D129" s="144"/>
      <c r="E129" s="55"/>
    </row>
    <row r="130" spans="1:5" s="149" customFormat="1" x14ac:dyDescent="0.3">
      <c r="A130"/>
      <c r="B130"/>
      <c r="C130" s="55"/>
      <c r="D130" s="144"/>
      <c r="E130" s="55"/>
    </row>
    <row r="131" spans="1:5" s="149" customFormat="1" x14ac:dyDescent="0.3">
      <c r="A131"/>
      <c r="B131"/>
      <c r="C131" s="55"/>
      <c r="D131" s="144"/>
      <c r="E131" s="55"/>
    </row>
    <row r="132" spans="1:5" s="149" customFormat="1" x14ac:dyDescent="0.3">
      <c r="A132"/>
      <c r="B132"/>
      <c r="C132" s="55"/>
      <c r="D132" s="144"/>
      <c r="E132" s="55"/>
    </row>
    <row r="133" spans="1:5" s="149" customFormat="1" x14ac:dyDescent="0.3">
      <c r="A133"/>
      <c r="B133"/>
      <c r="C133" s="55"/>
      <c r="D133" s="144"/>
      <c r="E133" s="55"/>
    </row>
    <row r="134" spans="1:5" s="149" customFormat="1" x14ac:dyDescent="0.3">
      <c r="A134"/>
      <c r="B134"/>
      <c r="C134" s="55"/>
      <c r="D134" s="144"/>
      <c r="E134" s="55"/>
    </row>
    <row r="135" spans="1:5" s="149" customFormat="1" x14ac:dyDescent="0.3">
      <c r="A135"/>
      <c r="B135"/>
      <c r="C135" s="55"/>
      <c r="D135" s="144"/>
      <c r="E135" s="55"/>
    </row>
    <row r="136" spans="1:5" s="149" customFormat="1" x14ac:dyDescent="0.3">
      <c r="A136"/>
      <c r="B136"/>
      <c r="C136" s="55"/>
      <c r="D136" s="144"/>
      <c r="E136" s="55"/>
    </row>
    <row r="137" spans="1:5" s="149" customFormat="1" x14ac:dyDescent="0.3">
      <c r="A137"/>
      <c r="B137"/>
      <c r="C137" s="55"/>
      <c r="D137" s="144"/>
      <c r="E137" s="55"/>
    </row>
    <row r="138" spans="1:5" s="149" customFormat="1" x14ac:dyDescent="0.3">
      <c r="A138"/>
      <c r="B138"/>
      <c r="C138" s="55"/>
      <c r="D138" s="144"/>
      <c r="E138" s="55"/>
    </row>
    <row r="139" spans="1:5" s="149" customFormat="1" x14ac:dyDescent="0.3">
      <c r="A139"/>
      <c r="B139"/>
      <c r="C139" s="55"/>
      <c r="D139" s="144"/>
      <c r="E139" s="55"/>
    </row>
    <row r="140" spans="1:5" s="149" customFormat="1" x14ac:dyDescent="0.3">
      <c r="A140"/>
      <c r="B140"/>
      <c r="C140" s="55"/>
      <c r="D140" s="144"/>
      <c r="E140" s="55"/>
    </row>
    <row r="141" spans="1:5" s="149" customFormat="1" x14ac:dyDescent="0.3">
      <c r="A141"/>
      <c r="B141"/>
      <c r="C141" s="55"/>
      <c r="D141" s="144"/>
      <c r="E141" s="55"/>
    </row>
    <row r="142" spans="1:5" s="149" customFormat="1" x14ac:dyDescent="0.3">
      <c r="A142"/>
      <c r="B142"/>
      <c r="C142" s="55"/>
      <c r="D142" s="144"/>
      <c r="E142" s="55"/>
    </row>
    <row r="143" spans="1:5" s="149" customFormat="1" x14ac:dyDescent="0.3">
      <c r="A143"/>
      <c r="B143"/>
      <c r="C143" s="55"/>
      <c r="D143" s="144"/>
      <c r="E143" s="55"/>
    </row>
    <row r="144" spans="1:5" s="149" customFormat="1" x14ac:dyDescent="0.3">
      <c r="A144"/>
      <c r="B144"/>
      <c r="C144" s="55"/>
      <c r="D144" s="144"/>
      <c r="E144" s="55"/>
    </row>
    <row r="145" spans="1:5" s="149" customFormat="1" x14ac:dyDescent="0.3">
      <c r="A145"/>
      <c r="B145"/>
      <c r="C145" s="55"/>
      <c r="D145" s="144"/>
      <c r="E145" s="55"/>
    </row>
    <row r="146" spans="1:5" s="149" customFormat="1" x14ac:dyDescent="0.3">
      <c r="A146"/>
      <c r="B146"/>
      <c r="C146" s="55"/>
      <c r="D146" s="144"/>
      <c r="E146" s="55"/>
    </row>
    <row r="147" spans="1:5" s="149" customFormat="1" x14ac:dyDescent="0.3">
      <c r="A147"/>
      <c r="B147"/>
      <c r="C147" s="55"/>
      <c r="D147" s="144"/>
      <c r="E147" s="55"/>
    </row>
    <row r="148" spans="1:5" s="149" customFormat="1" x14ac:dyDescent="0.3">
      <c r="A148"/>
      <c r="B148"/>
      <c r="C148" s="55"/>
      <c r="D148" s="144"/>
      <c r="E148" s="55"/>
    </row>
    <row r="149" spans="1:5" s="149" customFormat="1" x14ac:dyDescent="0.3">
      <c r="A149"/>
      <c r="B149"/>
      <c r="C149" s="55"/>
      <c r="D149" s="144"/>
      <c r="E149" s="55"/>
    </row>
    <row r="150" spans="1:5" s="149" customFormat="1" x14ac:dyDescent="0.3">
      <c r="A150"/>
      <c r="B150"/>
      <c r="C150" s="55"/>
      <c r="D150" s="144"/>
      <c r="E150" s="55"/>
    </row>
    <row r="151" spans="1:5" s="149" customFormat="1" x14ac:dyDescent="0.3">
      <c r="A151"/>
      <c r="B151"/>
      <c r="C151" s="55"/>
      <c r="D151" s="144"/>
      <c r="E151" s="55"/>
    </row>
    <row r="152" spans="1:5" s="149" customFormat="1" x14ac:dyDescent="0.3">
      <c r="A152"/>
      <c r="B152"/>
      <c r="C152" s="55"/>
      <c r="D152" s="144"/>
      <c r="E152" s="55"/>
    </row>
    <row r="153" spans="1:5" s="149" customFormat="1" x14ac:dyDescent="0.3">
      <c r="A153"/>
      <c r="B153"/>
      <c r="C153" s="55"/>
      <c r="D153" s="144"/>
      <c r="E153" s="55"/>
    </row>
    <row r="154" spans="1:5" s="149" customFormat="1" x14ac:dyDescent="0.3">
      <c r="A154"/>
      <c r="B154"/>
      <c r="C154" s="55"/>
      <c r="D154" s="144"/>
      <c r="E154" s="55"/>
    </row>
    <row r="155" spans="1:5" s="149" customFormat="1" x14ac:dyDescent="0.3">
      <c r="A155"/>
      <c r="B155"/>
      <c r="C155" s="55"/>
      <c r="D155" s="144"/>
      <c r="E155" s="55"/>
    </row>
    <row r="156" spans="1:5" s="149" customFormat="1" x14ac:dyDescent="0.3">
      <c r="A156"/>
      <c r="B156"/>
      <c r="C156" s="55"/>
      <c r="D156" s="144"/>
      <c r="E156" s="55"/>
    </row>
    <row r="157" spans="1:5" s="149" customFormat="1" x14ac:dyDescent="0.3">
      <c r="A157"/>
      <c r="B157"/>
      <c r="C157" s="55"/>
      <c r="D157" s="144"/>
      <c r="E157" s="55"/>
    </row>
    <row r="158" spans="1:5" s="149" customFormat="1" x14ac:dyDescent="0.3">
      <c r="A158"/>
      <c r="B158"/>
      <c r="C158" s="55"/>
      <c r="D158" s="144"/>
      <c r="E158" s="55"/>
    </row>
    <row r="159" spans="1:5" s="149" customFormat="1" x14ac:dyDescent="0.3">
      <c r="A159"/>
      <c r="B159"/>
      <c r="C159" s="55"/>
      <c r="D159" s="144"/>
      <c r="E159" s="55"/>
    </row>
    <row r="160" spans="1:5" s="149" customFormat="1" x14ac:dyDescent="0.3">
      <c r="A160"/>
      <c r="B160"/>
      <c r="C160" s="55"/>
      <c r="D160" s="144"/>
      <c r="E160" s="55"/>
    </row>
    <row r="161" spans="1:5" s="149" customFormat="1" x14ac:dyDescent="0.3">
      <c r="A161"/>
      <c r="B161"/>
      <c r="C161" s="55"/>
      <c r="D161" s="144"/>
      <c r="E161" s="55"/>
    </row>
    <row r="162" spans="1:5" s="149" customFormat="1" x14ac:dyDescent="0.3">
      <c r="A162"/>
      <c r="B162"/>
      <c r="C162" s="55"/>
      <c r="D162" s="144"/>
      <c r="E162" s="55"/>
    </row>
    <row r="163" spans="1:5" s="149" customFormat="1" x14ac:dyDescent="0.3">
      <c r="A163"/>
      <c r="B163"/>
      <c r="C163" s="55"/>
      <c r="D163" s="144"/>
      <c r="E163" s="55"/>
    </row>
    <row r="164" spans="1:5" s="149" customFormat="1" x14ac:dyDescent="0.3">
      <c r="A164"/>
      <c r="B164"/>
      <c r="C164" s="55"/>
      <c r="D164" s="144"/>
      <c r="E164" s="55"/>
    </row>
    <row r="165" spans="1:5" s="149" customFormat="1" x14ac:dyDescent="0.3">
      <c r="A165"/>
      <c r="B165"/>
      <c r="C165" s="55"/>
      <c r="D165" s="144"/>
      <c r="E165" s="55"/>
    </row>
    <row r="166" spans="1:5" s="149" customFormat="1" x14ac:dyDescent="0.3">
      <c r="A166"/>
      <c r="B166"/>
      <c r="C166" s="55"/>
      <c r="D166" s="144"/>
      <c r="E166" s="55"/>
    </row>
    <row r="167" spans="1:5" s="149" customFormat="1" x14ac:dyDescent="0.3">
      <c r="A167"/>
      <c r="B167"/>
      <c r="C167" s="55"/>
      <c r="D167" s="144"/>
      <c r="E167" s="55"/>
    </row>
    <row r="168" spans="1:5" s="149" customFormat="1" x14ac:dyDescent="0.3">
      <c r="A168"/>
      <c r="B168"/>
      <c r="C168" s="55"/>
      <c r="D168" s="144"/>
      <c r="E168" s="55"/>
    </row>
    <row r="169" spans="1:5" s="149" customFormat="1" x14ac:dyDescent="0.3">
      <c r="A169"/>
      <c r="B169"/>
      <c r="C169" s="55"/>
      <c r="D169" s="144"/>
      <c r="E169" s="55"/>
    </row>
    <row r="170" spans="1:5" s="149" customFormat="1" x14ac:dyDescent="0.3">
      <c r="A170"/>
      <c r="B170"/>
      <c r="C170" s="55"/>
      <c r="D170" s="144"/>
      <c r="E170" s="55"/>
    </row>
    <row r="171" spans="1:5" s="149" customFormat="1" x14ac:dyDescent="0.3">
      <c r="A171"/>
      <c r="B171"/>
      <c r="C171" s="55"/>
      <c r="D171" s="144"/>
      <c r="E171" s="55"/>
    </row>
    <row r="172" spans="1:5" s="149" customFormat="1" x14ac:dyDescent="0.3">
      <c r="A172"/>
      <c r="B172"/>
      <c r="C172" s="55"/>
      <c r="D172" s="144"/>
      <c r="E172" s="55"/>
    </row>
    <row r="173" spans="1:5" s="149" customFormat="1" x14ac:dyDescent="0.3">
      <c r="A173"/>
      <c r="B173"/>
      <c r="C173" s="55"/>
      <c r="D173" s="144"/>
      <c r="E173" s="55"/>
    </row>
    <row r="174" spans="1:5" s="149" customFormat="1" x14ac:dyDescent="0.3">
      <c r="A174"/>
      <c r="B174"/>
      <c r="C174" s="55"/>
      <c r="D174" s="144"/>
      <c r="E174" s="55"/>
    </row>
    <row r="175" spans="1:5" s="149" customFormat="1" x14ac:dyDescent="0.3">
      <c r="A175"/>
      <c r="B175"/>
      <c r="C175" s="55"/>
      <c r="D175" s="144"/>
      <c r="E175" s="55"/>
    </row>
    <row r="176" spans="1:5" s="149" customFormat="1" x14ac:dyDescent="0.3">
      <c r="A176"/>
      <c r="B176"/>
      <c r="C176" s="55"/>
      <c r="D176" s="144"/>
      <c r="E176" s="55"/>
    </row>
    <row r="177" spans="1:5" s="149" customFormat="1" x14ac:dyDescent="0.3">
      <c r="A177"/>
      <c r="B177"/>
      <c r="C177" s="55"/>
      <c r="D177" s="144"/>
      <c r="E177" s="55"/>
    </row>
    <row r="178" spans="1:5" s="149" customFormat="1" x14ac:dyDescent="0.3">
      <c r="A178"/>
      <c r="B178"/>
      <c r="C178" s="55"/>
      <c r="D178" s="144"/>
      <c r="E178" s="55"/>
    </row>
    <row r="179" spans="1:5" s="149" customFormat="1" x14ac:dyDescent="0.3">
      <c r="A179"/>
      <c r="B179"/>
      <c r="C179" s="55"/>
      <c r="D179" s="144"/>
      <c r="E179" s="55"/>
    </row>
    <row r="180" spans="1:5" s="149" customFormat="1" x14ac:dyDescent="0.3">
      <c r="A180"/>
      <c r="B180"/>
      <c r="C180" s="55"/>
      <c r="D180" s="144"/>
      <c r="E180" s="55"/>
    </row>
    <row r="181" spans="1:5" s="149" customFormat="1" x14ac:dyDescent="0.3">
      <c r="A181"/>
      <c r="B181"/>
      <c r="C181" s="55"/>
      <c r="D181" s="144"/>
      <c r="E181" s="55"/>
    </row>
    <row r="182" spans="1:5" s="149" customFormat="1" x14ac:dyDescent="0.3">
      <c r="A182"/>
      <c r="B182"/>
      <c r="C182" s="55"/>
      <c r="D182" s="144"/>
      <c r="E182" s="55"/>
    </row>
    <row r="183" spans="1:5" s="149" customFormat="1" x14ac:dyDescent="0.3">
      <c r="A183"/>
      <c r="B183"/>
      <c r="C183" s="55"/>
      <c r="D183" s="144"/>
      <c r="E183" s="55"/>
    </row>
    <row r="184" spans="1:5" s="149" customFormat="1" x14ac:dyDescent="0.3">
      <c r="A184"/>
      <c r="B184"/>
      <c r="C184" s="55"/>
      <c r="D184" s="144"/>
      <c r="E184" s="55"/>
    </row>
    <row r="185" spans="1:5" s="149" customFormat="1" x14ac:dyDescent="0.3">
      <c r="A185"/>
      <c r="B185"/>
      <c r="C185" s="55"/>
      <c r="D185" s="144"/>
      <c r="E185" s="55"/>
    </row>
    <row r="186" spans="1:5" s="149" customFormat="1" x14ac:dyDescent="0.3">
      <c r="A186"/>
      <c r="B186"/>
      <c r="C186" s="55"/>
      <c r="D186" s="144"/>
      <c r="E186" s="55"/>
    </row>
    <row r="187" spans="1:5" s="149" customFormat="1" x14ac:dyDescent="0.3">
      <c r="A187"/>
      <c r="B187"/>
      <c r="C187" s="55"/>
      <c r="D187" s="144"/>
      <c r="E187" s="55"/>
    </row>
    <row r="188" spans="1:5" s="149" customFormat="1" x14ac:dyDescent="0.3">
      <c r="A188"/>
      <c r="B188"/>
      <c r="C188" s="55"/>
      <c r="D188" s="144"/>
      <c r="E188" s="55"/>
    </row>
    <row r="189" spans="1:5" s="149" customFormat="1" x14ac:dyDescent="0.3">
      <c r="A189"/>
      <c r="B189"/>
      <c r="C189" s="55"/>
      <c r="D189" s="144"/>
      <c r="E189" s="55"/>
    </row>
    <row r="190" spans="1:5" s="149" customFormat="1" x14ac:dyDescent="0.3">
      <c r="A190"/>
      <c r="B190"/>
      <c r="C190" s="55"/>
      <c r="D190" s="144"/>
      <c r="E190" s="55"/>
    </row>
    <row r="191" spans="1:5" s="149" customFormat="1" x14ac:dyDescent="0.3">
      <c r="A191"/>
      <c r="B191"/>
      <c r="C191" s="55"/>
      <c r="D191" s="144"/>
      <c r="E191" s="55"/>
    </row>
    <row r="192" spans="1:5" s="149" customFormat="1" x14ac:dyDescent="0.3">
      <c r="A192"/>
      <c r="B192"/>
      <c r="C192" s="55"/>
      <c r="D192" s="144"/>
      <c r="E192" s="55"/>
    </row>
    <row r="193" spans="1:5" s="149" customFormat="1" x14ac:dyDescent="0.3">
      <c r="A193"/>
      <c r="B193"/>
      <c r="C193" s="55"/>
      <c r="D193" s="144"/>
      <c r="E193" s="55"/>
    </row>
    <row r="194" spans="1:5" s="149" customFormat="1" x14ac:dyDescent="0.3">
      <c r="A194"/>
      <c r="B194"/>
      <c r="C194" s="55"/>
      <c r="D194" s="144"/>
      <c r="E194" s="55"/>
    </row>
    <row r="195" spans="1:5" s="149" customFormat="1" x14ac:dyDescent="0.3">
      <c r="A195"/>
      <c r="B195"/>
      <c r="C195" s="55"/>
      <c r="D195" s="144"/>
      <c r="E195" s="55"/>
    </row>
    <row r="196" spans="1:5" s="149" customFormat="1" x14ac:dyDescent="0.3">
      <c r="A196"/>
      <c r="B196"/>
      <c r="C196" s="55"/>
      <c r="D196" s="144"/>
      <c r="E196" s="55"/>
    </row>
    <row r="197" spans="1:5" s="149" customFormat="1" x14ac:dyDescent="0.3">
      <c r="A197"/>
      <c r="B197"/>
      <c r="C197" s="55"/>
      <c r="D197" s="144"/>
      <c r="E197" s="55"/>
    </row>
    <row r="198" spans="1:5" s="149" customFormat="1" x14ac:dyDescent="0.3">
      <c r="A198"/>
      <c r="B198"/>
      <c r="C198" s="55"/>
      <c r="D198" s="144"/>
      <c r="E198" s="55"/>
    </row>
    <row r="199" spans="1:5" s="149" customFormat="1" x14ac:dyDescent="0.3">
      <c r="A199"/>
      <c r="B199"/>
      <c r="C199" s="55"/>
      <c r="D199" s="144"/>
      <c r="E199" s="55"/>
    </row>
    <row r="200" spans="1:5" s="149" customFormat="1" x14ac:dyDescent="0.3">
      <c r="A200"/>
      <c r="B200"/>
      <c r="C200" s="55"/>
      <c r="D200" s="144"/>
      <c r="E200" s="55"/>
    </row>
    <row r="201" spans="1:5" s="149" customFormat="1" x14ac:dyDescent="0.3">
      <c r="A201"/>
      <c r="B201"/>
      <c r="C201" s="55"/>
      <c r="D201" s="144"/>
      <c r="E201" s="55"/>
    </row>
    <row r="202" spans="1:5" s="149" customFormat="1" x14ac:dyDescent="0.3">
      <c r="A202"/>
      <c r="B202"/>
      <c r="C202" s="55"/>
      <c r="D202" s="144"/>
      <c r="E202" s="55"/>
    </row>
    <row r="203" spans="1:5" s="149" customFormat="1" x14ac:dyDescent="0.3">
      <c r="A203"/>
      <c r="B203"/>
      <c r="C203" s="55"/>
      <c r="D203" s="144"/>
      <c r="E203" s="55"/>
    </row>
    <row r="204" spans="1:5" s="149" customFormat="1" x14ac:dyDescent="0.3">
      <c r="A204"/>
      <c r="B204"/>
      <c r="C204" s="55"/>
      <c r="D204" s="144"/>
      <c r="E204" s="55"/>
    </row>
    <row r="205" spans="1:5" s="149" customFormat="1" x14ac:dyDescent="0.3">
      <c r="A205"/>
      <c r="B205"/>
      <c r="C205" s="55"/>
      <c r="D205" s="144"/>
      <c r="E205" s="55"/>
    </row>
    <row r="206" spans="1:5" s="149" customFormat="1" x14ac:dyDescent="0.3">
      <c r="A206"/>
      <c r="B206"/>
      <c r="C206" s="55"/>
      <c r="D206" s="144"/>
      <c r="E206" s="55"/>
    </row>
    <row r="207" spans="1:5" s="149" customFormat="1" x14ac:dyDescent="0.3">
      <c r="A207"/>
      <c r="B207"/>
      <c r="C207" s="55"/>
      <c r="D207" s="144"/>
      <c r="E207" s="55"/>
    </row>
    <row r="208" spans="1:5" s="149" customFormat="1" x14ac:dyDescent="0.3">
      <c r="A208"/>
      <c r="B208"/>
      <c r="C208" s="55"/>
      <c r="D208" s="144"/>
      <c r="E208" s="55"/>
    </row>
    <row r="209" spans="1:5" s="149" customFormat="1" x14ac:dyDescent="0.3">
      <c r="A209"/>
      <c r="B209"/>
      <c r="C209" s="55"/>
      <c r="D209" s="144"/>
      <c r="E209" s="55"/>
    </row>
    <row r="210" spans="1:5" s="149" customFormat="1" x14ac:dyDescent="0.3">
      <c r="A210"/>
      <c r="B210"/>
      <c r="C210" s="55"/>
      <c r="D210" s="144"/>
      <c r="E210" s="55"/>
    </row>
    <row r="211" spans="1:5" s="149" customFormat="1" x14ac:dyDescent="0.3">
      <c r="A211"/>
      <c r="B211"/>
      <c r="C211" s="55"/>
      <c r="D211" s="144"/>
      <c r="E211" s="55"/>
    </row>
    <row r="212" spans="1:5" s="149" customFormat="1" x14ac:dyDescent="0.3">
      <c r="A212"/>
      <c r="B212"/>
      <c r="C212" s="55"/>
      <c r="D212" s="144"/>
      <c r="E212" s="55"/>
    </row>
    <row r="213" spans="1:5" s="149" customFormat="1" x14ac:dyDescent="0.3">
      <c r="A213"/>
      <c r="B213"/>
      <c r="C213" s="55"/>
      <c r="D213" s="144"/>
      <c r="E213" s="55"/>
    </row>
    <row r="214" spans="1:5" s="149" customFormat="1" x14ac:dyDescent="0.3">
      <c r="A214"/>
      <c r="B214"/>
      <c r="C214" s="55"/>
      <c r="D214" s="144"/>
      <c r="E214" s="55"/>
    </row>
    <row r="215" spans="1:5" s="149" customFormat="1" x14ac:dyDescent="0.3">
      <c r="A215"/>
      <c r="B215"/>
      <c r="C215" s="55"/>
      <c r="D215" s="144"/>
      <c r="E215" s="55"/>
    </row>
    <row r="216" spans="1:5" s="149" customFormat="1" x14ac:dyDescent="0.3">
      <c r="A216"/>
      <c r="B216"/>
      <c r="C216" s="55"/>
      <c r="D216" s="144"/>
      <c r="E216" s="55"/>
    </row>
    <row r="217" spans="1:5" s="149" customFormat="1" x14ac:dyDescent="0.3">
      <c r="A217"/>
      <c r="B217"/>
      <c r="C217" s="55"/>
      <c r="D217" s="144"/>
      <c r="E217" s="55"/>
    </row>
    <row r="218" spans="1:5" s="149" customFormat="1" x14ac:dyDescent="0.3">
      <c r="A218"/>
      <c r="B218"/>
      <c r="C218" s="55"/>
      <c r="D218" s="144"/>
      <c r="E218" s="55"/>
    </row>
    <row r="219" spans="1:5" s="149" customFormat="1" x14ac:dyDescent="0.3">
      <c r="A219"/>
      <c r="B219"/>
      <c r="C219" s="55"/>
      <c r="D219" s="144"/>
      <c r="E219" s="55"/>
    </row>
    <row r="220" spans="1:5" s="149" customFormat="1" x14ac:dyDescent="0.3">
      <c r="A220"/>
      <c r="B220"/>
      <c r="C220" s="55"/>
      <c r="D220" s="144"/>
      <c r="E220" s="55"/>
    </row>
    <row r="221" spans="1:5" s="149" customFormat="1" x14ac:dyDescent="0.3">
      <c r="A221"/>
      <c r="B221"/>
      <c r="C221" s="55"/>
      <c r="D221" s="144"/>
      <c r="E221" s="55"/>
    </row>
    <row r="222" spans="1:5" s="149" customFormat="1" x14ac:dyDescent="0.3">
      <c r="A222"/>
      <c r="B222"/>
      <c r="C222" s="55"/>
      <c r="D222" s="144"/>
      <c r="E222" s="55"/>
    </row>
    <row r="223" spans="1:5" s="149" customFormat="1" x14ac:dyDescent="0.3">
      <c r="A223"/>
      <c r="B223"/>
      <c r="C223" s="55"/>
      <c r="D223" s="144"/>
      <c r="E223" s="55"/>
    </row>
    <row r="224" spans="1:5" s="149" customFormat="1" x14ac:dyDescent="0.3">
      <c r="A224"/>
      <c r="B224"/>
      <c r="C224" s="55"/>
      <c r="D224" s="144"/>
      <c r="E224" s="55"/>
    </row>
    <row r="225" spans="1:5" s="149" customFormat="1" x14ac:dyDescent="0.3">
      <c r="A225"/>
      <c r="B225"/>
      <c r="C225" s="55"/>
      <c r="D225" s="144"/>
      <c r="E225" s="55"/>
    </row>
    <row r="226" spans="1:5" s="149" customFormat="1" x14ac:dyDescent="0.3">
      <c r="A226"/>
      <c r="B226"/>
      <c r="C226" s="55"/>
      <c r="D226" s="144"/>
      <c r="E226" s="55"/>
    </row>
    <row r="227" spans="1:5" s="149" customFormat="1" x14ac:dyDescent="0.3">
      <c r="A227"/>
      <c r="B227"/>
      <c r="C227" s="55"/>
      <c r="D227" s="144"/>
      <c r="E227" s="55"/>
    </row>
    <row r="228" spans="1:5" s="149" customFormat="1" x14ac:dyDescent="0.3">
      <c r="A228"/>
      <c r="B228"/>
      <c r="C228" s="55"/>
      <c r="D228" s="144"/>
      <c r="E228" s="55"/>
    </row>
    <row r="229" spans="1:5" s="149" customFormat="1" x14ac:dyDescent="0.3">
      <c r="A229"/>
      <c r="B229"/>
      <c r="C229" s="55"/>
      <c r="D229" s="144"/>
      <c r="E229" s="55"/>
    </row>
    <row r="230" spans="1:5" s="149" customFormat="1" x14ac:dyDescent="0.3">
      <c r="A230"/>
      <c r="B230"/>
      <c r="C230" s="55"/>
      <c r="D230" s="144"/>
      <c r="E230" s="55"/>
    </row>
    <row r="231" spans="1:5" s="149" customFormat="1" x14ac:dyDescent="0.3">
      <c r="A231"/>
      <c r="B231"/>
      <c r="C231" s="55"/>
      <c r="D231" s="144"/>
      <c r="E231" s="55"/>
    </row>
    <row r="232" spans="1:5" s="149" customFormat="1" x14ac:dyDescent="0.3">
      <c r="A232"/>
      <c r="B232"/>
      <c r="C232" s="55"/>
      <c r="D232" s="144"/>
      <c r="E232" s="55"/>
    </row>
    <row r="233" spans="1:5" s="149" customFormat="1" x14ac:dyDescent="0.3">
      <c r="A233"/>
      <c r="B233"/>
      <c r="C233" s="55"/>
      <c r="D233" s="144"/>
      <c r="E233" s="55"/>
    </row>
    <row r="234" spans="1:5" s="149" customFormat="1" x14ac:dyDescent="0.3">
      <c r="A234"/>
      <c r="B234"/>
      <c r="C234" s="55"/>
      <c r="D234" s="144"/>
      <c r="E234" s="55"/>
    </row>
    <row r="235" spans="1:5" s="149" customFormat="1" x14ac:dyDescent="0.3">
      <c r="A235"/>
      <c r="B235"/>
      <c r="C235" s="55"/>
      <c r="D235" s="144"/>
      <c r="E235" s="55"/>
    </row>
    <row r="236" spans="1:5" s="149" customFormat="1" x14ac:dyDescent="0.3">
      <c r="A236"/>
      <c r="B236"/>
      <c r="C236" s="55"/>
      <c r="D236" s="144"/>
      <c r="E236" s="55"/>
    </row>
    <row r="237" spans="1:5" s="149" customFormat="1" x14ac:dyDescent="0.3">
      <c r="A237"/>
      <c r="B237"/>
      <c r="C237" s="55"/>
      <c r="D237" s="144"/>
      <c r="E237" s="55"/>
    </row>
    <row r="238" spans="1:5" s="149" customFormat="1" x14ac:dyDescent="0.3">
      <c r="A238"/>
      <c r="B238"/>
      <c r="C238" s="55"/>
      <c r="D238" s="144"/>
      <c r="E238" s="55"/>
    </row>
    <row r="239" spans="1:5" s="149" customFormat="1" x14ac:dyDescent="0.3">
      <c r="A239"/>
      <c r="B239"/>
      <c r="C239" s="55"/>
      <c r="D239" s="144"/>
      <c r="E239" s="55"/>
    </row>
    <row r="240" spans="1:5" s="149" customFormat="1" x14ac:dyDescent="0.3">
      <c r="A240"/>
      <c r="B240"/>
      <c r="C240" s="55"/>
      <c r="D240" s="144"/>
      <c r="E240" s="55"/>
    </row>
    <row r="241" spans="1:5" s="149" customFormat="1" x14ac:dyDescent="0.3">
      <c r="A241"/>
      <c r="B241"/>
      <c r="C241" s="55"/>
      <c r="D241" s="144"/>
      <c r="E241" s="55"/>
    </row>
    <row r="242" spans="1:5" s="149" customFormat="1" x14ac:dyDescent="0.3">
      <c r="A242"/>
      <c r="B242"/>
      <c r="C242" s="55"/>
      <c r="D242" s="144"/>
      <c r="E242" s="55"/>
    </row>
    <row r="243" spans="1:5" s="149" customFormat="1" x14ac:dyDescent="0.3">
      <c r="A243"/>
      <c r="B243"/>
      <c r="C243" s="55"/>
      <c r="D243" s="144"/>
      <c r="E243" s="55"/>
    </row>
    <row r="244" spans="1:5" s="149" customFormat="1" x14ac:dyDescent="0.3">
      <c r="A244"/>
      <c r="B244"/>
      <c r="C244" s="55"/>
      <c r="D244" s="144"/>
      <c r="E244" s="55"/>
    </row>
    <row r="245" spans="1:5" s="149" customFormat="1" x14ac:dyDescent="0.3">
      <c r="A245"/>
      <c r="B245"/>
      <c r="C245" s="55"/>
      <c r="D245" s="144"/>
      <c r="E245" s="55"/>
    </row>
    <row r="246" spans="1:5" s="149" customFormat="1" x14ac:dyDescent="0.3">
      <c r="A246"/>
      <c r="B246"/>
      <c r="C246" s="55"/>
      <c r="D246" s="144"/>
      <c r="E246" s="55"/>
    </row>
    <row r="247" spans="1:5" s="149" customFormat="1" x14ac:dyDescent="0.3">
      <c r="A247"/>
      <c r="B247"/>
      <c r="C247" s="55"/>
      <c r="D247" s="144"/>
      <c r="E247" s="55"/>
    </row>
    <row r="248" spans="1:5" s="149" customFormat="1" x14ac:dyDescent="0.3">
      <c r="A248"/>
      <c r="B248"/>
      <c r="C248" s="55"/>
      <c r="D248" s="144"/>
      <c r="E248" s="55"/>
    </row>
    <row r="249" spans="1:5" s="149" customFormat="1" x14ac:dyDescent="0.3">
      <c r="A249"/>
      <c r="B249"/>
      <c r="C249" s="55"/>
      <c r="D249" s="144"/>
      <c r="E249" s="55"/>
    </row>
    <row r="250" spans="1:5" s="149" customFormat="1" x14ac:dyDescent="0.3">
      <c r="A250"/>
      <c r="B250"/>
      <c r="C250" s="55"/>
      <c r="D250" s="144"/>
      <c r="E250" s="55"/>
    </row>
    <row r="251" spans="1:5" s="149" customFormat="1" x14ac:dyDescent="0.3">
      <c r="A251"/>
      <c r="B251"/>
      <c r="C251" s="55"/>
      <c r="D251" s="144"/>
      <c r="E251" s="55"/>
    </row>
    <row r="252" spans="1:5" s="149" customFormat="1" x14ac:dyDescent="0.3">
      <c r="A252"/>
      <c r="B252"/>
      <c r="C252" s="55"/>
      <c r="D252" s="144"/>
      <c r="E252" s="55"/>
    </row>
    <row r="253" spans="1:5" s="149" customFormat="1" x14ac:dyDescent="0.3">
      <c r="A253"/>
      <c r="B253"/>
      <c r="C253" s="55"/>
      <c r="D253" s="144"/>
      <c r="E253" s="55"/>
    </row>
    <row r="254" spans="1:5" s="149" customFormat="1" x14ac:dyDescent="0.3">
      <c r="A254"/>
      <c r="B254"/>
      <c r="C254" s="55"/>
      <c r="D254" s="144"/>
      <c r="E254" s="55"/>
    </row>
    <row r="255" spans="1:5" s="149" customFormat="1" x14ac:dyDescent="0.3">
      <c r="A255"/>
      <c r="B255"/>
      <c r="C255" s="55"/>
      <c r="D255" s="144"/>
      <c r="E255" s="55"/>
    </row>
    <row r="256" spans="1:5" s="149" customFormat="1" x14ac:dyDescent="0.3">
      <c r="A256"/>
      <c r="B256"/>
      <c r="C256" s="55"/>
      <c r="D256" s="144"/>
      <c r="E256" s="55"/>
    </row>
    <row r="257" spans="1:5" s="149" customFormat="1" x14ac:dyDescent="0.3">
      <c r="A257"/>
      <c r="B257"/>
      <c r="C257" s="55"/>
      <c r="D257" s="144"/>
      <c r="E257" s="55"/>
    </row>
    <row r="258" spans="1:5" s="149" customFormat="1" x14ac:dyDescent="0.3">
      <c r="A258"/>
      <c r="B258"/>
      <c r="C258" s="55"/>
      <c r="D258" s="144"/>
      <c r="E258" s="55"/>
    </row>
    <row r="259" spans="1:5" s="149" customFormat="1" x14ac:dyDescent="0.3">
      <c r="A259"/>
      <c r="B259"/>
      <c r="C259" s="55"/>
      <c r="D259" s="144"/>
      <c r="E259" s="55"/>
    </row>
    <row r="260" spans="1:5" s="149" customFormat="1" x14ac:dyDescent="0.3">
      <c r="A260"/>
      <c r="B260"/>
      <c r="C260" s="55"/>
      <c r="D260" s="144"/>
      <c r="E260" s="55"/>
    </row>
    <row r="261" spans="1:5" s="149" customFormat="1" x14ac:dyDescent="0.3">
      <c r="A261"/>
      <c r="B261"/>
      <c r="C261" s="55"/>
      <c r="D261" s="144"/>
      <c r="E261" s="55"/>
    </row>
    <row r="262" spans="1:5" s="149" customFormat="1" x14ac:dyDescent="0.3">
      <c r="A262"/>
      <c r="B262"/>
      <c r="C262" s="55"/>
      <c r="D262" s="144"/>
      <c r="E262" s="55"/>
    </row>
    <row r="263" spans="1:5" s="149" customFormat="1" x14ac:dyDescent="0.3">
      <c r="A263"/>
      <c r="B263"/>
      <c r="C263" s="55"/>
      <c r="D263" s="144"/>
      <c r="E263" s="55"/>
    </row>
    <row r="264" spans="1:5" s="149" customFormat="1" x14ac:dyDescent="0.3">
      <c r="A264"/>
      <c r="B264"/>
      <c r="C264" s="55"/>
      <c r="D264" s="144"/>
      <c r="E264" s="55"/>
    </row>
    <row r="265" spans="1:5" s="149" customFormat="1" x14ac:dyDescent="0.3">
      <c r="A265"/>
      <c r="B265"/>
      <c r="C265" s="55"/>
      <c r="D265" s="144"/>
      <c r="E265" s="55"/>
    </row>
    <row r="266" spans="1:5" s="149" customFormat="1" x14ac:dyDescent="0.3">
      <c r="A266"/>
      <c r="B266"/>
      <c r="C266" s="55"/>
      <c r="D266" s="144"/>
      <c r="E266" s="55"/>
    </row>
    <row r="267" spans="1:5" s="149" customFormat="1" x14ac:dyDescent="0.3">
      <c r="A267"/>
      <c r="B267"/>
      <c r="C267" s="55"/>
      <c r="D267" s="144"/>
      <c r="E267" s="55"/>
    </row>
    <row r="268" spans="1:5" s="149" customFormat="1" x14ac:dyDescent="0.3">
      <c r="A268"/>
      <c r="B268"/>
      <c r="C268" s="55"/>
      <c r="D268" s="144"/>
      <c r="E268" s="55"/>
    </row>
    <row r="269" spans="1:5" s="149" customFormat="1" x14ac:dyDescent="0.3">
      <c r="A269"/>
      <c r="B269"/>
      <c r="C269" s="55"/>
      <c r="D269" s="144"/>
      <c r="E269" s="55"/>
    </row>
    <row r="270" spans="1:5" s="149" customFormat="1" x14ac:dyDescent="0.3">
      <c r="A270"/>
      <c r="B270"/>
      <c r="C270" s="55"/>
      <c r="D270" s="144"/>
      <c r="E270" s="55"/>
    </row>
    <row r="271" spans="1:5" s="149" customFormat="1" x14ac:dyDescent="0.3">
      <c r="A271"/>
      <c r="B271"/>
      <c r="C271" s="55"/>
      <c r="D271" s="144"/>
      <c r="E271" s="55"/>
    </row>
    <row r="272" spans="1:5" s="149" customFormat="1" x14ac:dyDescent="0.3">
      <c r="A272"/>
      <c r="B272"/>
      <c r="C272" s="55"/>
      <c r="D272" s="144"/>
      <c r="E272" s="55"/>
    </row>
    <row r="273" spans="1:5" s="149" customFormat="1" x14ac:dyDescent="0.3">
      <c r="A273"/>
      <c r="B273"/>
      <c r="C273" s="55"/>
      <c r="D273" s="144"/>
      <c r="E273" s="55"/>
    </row>
    <row r="274" spans="1:5" s="149" customFormat="1" x14ac:dyDescent="0.3">
      <c r="A274"/>
      <c r="B274"/>
      <c r="C274" s="55"/>
      <c r="D274" s="144"/>
      <c r="E274" s="55"/>
    </row>
    <row r="275" spans="1:5" s="149" customFormat="1" x14ac:dyDescent="0.3">
      <c r="A275"/>
      <c r="B275"/>
      <c r="C275" s="55"/>
      <c r="D275" s="144"/>
      <c r="E275" s="55"/>
    </row>
    <row r="276" spans="1:5" s="149" customFormat="1" x14ac:dyDescent="0.3">
      <c r="A276"/>
      <c r="B276"/>
      <c r="C276" s="55"/>
      <c r="D276" s="144"/>
      <c r="E276" s="55"/>
    </row>
    <row r="277" spans="1:5" s="149" customFormat="1" x14ac:dyDescent="0.3">
      <c r="A277"/>
      <c r="B277"/>
      <c r="C277" s="55"/>
      <c r="D277" s="144"/>
      <c r="E277" s="55"/>
    </row>
    <row r="278" spans="1:5" s="149" customFormat="1" x14ac:dyDescent="0.3">
      <c r="A278"/>
      <c r="B278"/>
      <c r="C278" s="55"/>
      <c r="D278" s="144"/>
      <c r="E278" s="55"/>
    </row>
    <row r="279" spans="1:5" s="149" customFormat="1" x14ac:dyDescent="0.3">
      <c r="A279"/>
      <c r="B279"/>
      <c r="C279" s="55"/>
      <c r="D279" s="144"/>
      <c r="E279" s="55"/>
    </row>
    <row r="280" spans="1:5" s="149" customFormat="1" x14ac:dyDescent="0.3">
      <c r="A280"/>
      <c r="B280"/>
      <c r="C280" s="55"/>
      <c r="D280" s="144"/>
      <c r="E280" s="55"/>
    </row>
    <row r="281" spans="1:5" s="149" customFormat="1" x14ac:dyDescent="0.3">
      <c r="A281"/>
      <c r="B281"/>
      <c r="C281" s="55"/>
      <c r="D281" s="144"/>
      <c r="E281" s="55"/>
    </row>
    <row r="282" spans="1:5" s="149" customFormat="1" x14ac:dyDescent="0.3">
      <c r="A282"/>
      <c r="B282"/>
      <c r="C282" s="55"/>
      <c r="D282" s="144"/>
      <c r="E282" s="55"/>
    </row>
    <row r="283" spans="1:5" s="149" customFormat="1" x14ac:dyDescent="0.3">
      <c r="A283"/>
      <c r="B283"/>
      <c r="C283" s="55"/>
      <c r="D283" s="144"/>
      <c r="E283" s="55"/>
    </row>
    <row r="284" spans="1:5" s="149" customFormat="1" x14ac:dyDescent="0.3">
      <c r="A284"/>
      <c r="B284"/>
      <c r="C284" s="55"/>
      <c r="D284" s="144"/>
      <c r="E284" s="55"/>
    </row>
    <row r="285" spans="1:5" s="149" customFormat="1" x14ac:dyDescent="0.3">
      <c r="A285"/>
      <c r="B285"/>
      <c r="C285" s="55"/>
      <c r="D285" s="144"/>
      <c r="E285" s="55"/>
    </row>
    <row r="286" spans="1:5" s="149" customFormat="1" x14ac:dyDescent="0.3">
      <c r="A286"/>
      <c r="B286"/>
      <c r="C286" s="55"/>
      <c r="D286" s="144"/>
      <c r="E286" s="55"/>
    </row>
    <row r="287" spans="1:5" s="149" customFormat="1" x14ac:dyDescent="0.3">
      <c r="A287"/>
      <c r="B287"/>
      <c r="C287" s="55"/>
      <c r="D287" s="144"/>
      <c r="E287" s="55"/>
    </row>
    <row r="288" spans="1:5" s="149" customFormat="1" x14ac:dyDescent="0.3">
      <c r="A288"/>
      <c r="B288"/>
      <c r="C288" s="55"/>
      <c r="D288" s="144"/>
      <c r="E288" s="55"/>
    </row>
    <row r="289" spans="1:5" s="149" customFormat="1" x14ac:dyDescent="0.3">
      <c r="A289"/>
      <c r="B289"/>
      <c r="C289" s="55"/>
      <c r="D289" s="144"/>
      <c r="E289" s="55"/>
    </row>
    <row r="290" spans="1:5" s="149" customFormat="1" x14ac:dyDescent="0.3">
      <c r="A290"/>
      <c r="B290"/>
      <c r="C290" s="55"/>
      <c r="D290" s="144"/>
      <c r="E290" s="55"/>
    </row>
    <row r="291" spans="1:5" s="149" customFormat="1" x14ac:dyDescent="0.3">
      <c r="A291"/>
      <c r="B291"/>
      <c r="C291" s="55"/>
      <c r="D291" s="144"/>
      <c r="E291" s="55"/>
    </row>
    <row r="292" spans="1:5" s="149" customFormat="1" x14ac:dyDescent="0.3">
      <c r="A292"/>
      <c r="B292"/>
      <c r="C292" s="55"/>
      <c r="D292" s="144"/>
      <c r="E292" s="55"/>
    </row>
    <row r="293" spans="1:5" s="149" customFormat="1" x14ac:dyDescent="0.3">
      <c r="A293"/>
      <c r="B293"/>
      <c r="C293" s="55"/>
      <c r="D293" s="144"/>
      <c r="E293" s="55"/>
    </row>
    <row r="294" spans="1:5" s="149" customFormat="1" x14ac:dyDescent="0.3">
      <c r="A294"/>
      <c r="B294"/>
      <c r="C294" s="55"/>
      <c r="D294" s="144"/>
      <c r="E294" s="55"/>
    </row>
    <row r="295" spans="1:5" s="149" customFormat="1" x14ac:dyDescent="0.3">
      <c r="A295"/>
      <c r="B295"/>
      <c r="C295" s="55"/>
      <c r="D295" s="144"/>
      <c r="E295" s="55"/>
    </row>
    <row r="296" spans="1:5" s="149" customFormat="1" x14ac:dyDescent="0.3">
      <c r="A296"/>
      <c r="B296"/>
      <c r="C296" s="55"/>
      <c r="D296" s="144"/>
      <c r="E296" s="55"/>
    </row>
    <row r="297" spans="1:5" s="149" customFormat="1" x14ac:dyDescent="0.3">
      <c r="A297"/>
      <c r="B297"/>
      <c r="C297" s="55"/>
      <c r="D297" s="144"/>
      <c r="E297" s="55"/>
    </row>
    <row r="298" spans="1:5" s="149" customFormat="1" x14ac:dyDescent="0.3">
      <c r="A298"/>
      <c r="B298"/>
      <c r="C298" s="55"/>
      <c r="D298" s="144"/>
      <c r="E298" s="55"/>
    </row>
    <row r="299" spans="1:5" s="149" customFormat="1" x14ac:dyDescent="0.3">
      <c r="A299"/>
      <c r="B299"/>
      <c r="C299" s="55"/>
      <c r="D299" s="144"/>
      <c r="E299" s="55"/>
    </row>
    <row r="300" spans="1:5" s="149" customFormat="1" x14ac:dyDescent="0.3">
      <c r="A300"/>
      <c r="B300"/>
      <c r="C300" s="55"/>
      <c r="D300" s="144"/>
      <c r="E300" s="55"/>
    </row>
    <row r="301" spans="1:5" s="149" customFormat="1" x14ac:dyDescent="0.3">
      <c r="A301"/>
      <c r="B301"/>
      <c r="C301" s="55"/>
      <c r="D301" s="144"/>
      <c r="E301" s="55"/>
    </row>
    <row r="302" spans="1:5" s="149" customFormat="1" x14ac:dyDescent="0.3">
      <c r="A302"/>
      <c r="B302"/>
      <c r="C302" s="55"/>
      <c r="D302" s="144"/>
      <c r="E302" s="55"/>
    </row>
    <row r="303" spans="1:5" s="149" customFormat="1" x14ac:dyDescent="0.3">
      <c r="A303"/>
      <c r="B303"/>
      <c r="C303" s="55"/>
      <c r="D303" s="144"/>
      <c r="E303" s="55"/>
    </row>
    <row r="304" spans="1:5" s="149" customFormat="1" x14ac:dyDescent="0.3">
      <c r="A304"/>
      <c r="B304"/>
      <c r="C304" s="55"/>
      <c r="D304" s="144"/>
      <c r="E304" s="55"/>
    </row>
    <row r="305" spans="1:5" s="149" customFormat="1" x14ac:dyDescent="0.3">
      <c r="A305"/>
      <c r="B305"/>
      <c r="C305" s="55"/>
      <c r="D305" s="144"/>
      <c r="E305" s="55"/>
    </row>
    <row r="306" spans="1:5" s="149" customFormat="1" x14ac:dyDescent="0.3">
      <c r="A306"/>
      <c r="B306"/>
      <c r="C306" s="55"/>
      <c r="D306" s="144"/>
      <c r="E306" s="55"/>
    </row>
    <row r="307" spans="1:5" s="149" customFormat="1" x14ac:dyDescent="0.3">
      <c r="A307"/>
      <c r="B307"/>
      <c r="C307" s="55"/>
      <c r="D307" s="144"/>
      <c r="E307" s="55"/>
    </row>
    <row r="308" spans="1:5" s="149" customFormat="1" x14ac:dyDescent="0.3">
      <c r="A308"/>
      <c r="B308"/>
      <c r="C308" s="55"/>
      <c r="D308" s="144"/>
      <c r="E308" s="55"/>
    </row>
    <row r="309" spans="1:5" s="149" customFormat="1" x14ac:dyDescent="0.3">
      <c r="A309"/>
      <c r="B309"/>
      <c r="C309" s="55"/>
      <c r="D309" s="144"/>
      <c r="E309" s="55"/>
    </row>
    <row r="310" spans="1:5" s="149" customFormat="1" x14ac:dyDescent="0.3">
      <c r="A310"/>
      <c r="B310"/>
      <c r="C310" s="55"/>
      <c r="D310" s="144"/>
      <c r="E310" s="55"/>
    </row>
    <row r="311" spans="1:5" s="149" customFormat="1" x14ac:dyDescent="0.3">
      <c r="A311"/>
      <c r="B311"/>
      <c r="C311" s="55"/>
      <c r="D311" s="144"/>
      <c r="E311" s="55"/>
    </row>
    <row r="312" spans="1:5" s="149" customFormat="1" x14ac:dyDescent="0.3">
      <c r="A312"/>
      <c r="B312"/>
      <c r="C312" s="55"/>
      <c r="D312" s="144"/>
      <c r="E312" s="55"/>
    </row>
    <row r="313" spans="1:5" s="149" customFormat="1" x14ac:dyDescent="0.3">
      <c r="A313"/>
      <c r="B313"/>
      <c r="C313" s="55"/>
      <c r="D313" s="144"/>
      <c r="E313" s="55"/>
    </row>
    <row r="314" spans="1:5" s="149" customFormat="1" x14ac:dyDescent="0.3">
      <c r="A314"/>
      <c r="B314"/>
      <c r="C314" s="55"/>
      <c r="D314" s="144"/>
      <c r="E314" s="55"/>
    </row>
    <row r="315" spans="1:5" s="149" customFormat="1" x14ac:dyDescent="0.3">
      <c r="A315"/>
      <c r="B315"/>
      <c r="C315" s="55"/>
      <c r="D315" s="144"/>
      <c r="E315" s="55"/>
    </row>
    <row r="316" spans="1:5" s="149" customFormat="1" x14ac:dyDescent="0.3">
      <c r="A316"/>
      <c r="B316"/>
      <c r="C316" s="55"/>
      <c r="D316" s="144"/>
      <c r="E316" s="55"/>
    </row>
    <row r="317" spans="1:5" s="149" customFormat="1" x14ac:dyDescent="0.3">
      <c r="A317"/>
      <c r="B317"/>
      <c r="C317" s="55"/>
      <c r="D317" s="144"/>
      <c r="E317" s="55"/>
    </row>
    <row r="318" spans="1:5" s="149" customFormat="1" x14ac:dyDescent="0.3">
      <c r="A318"/>
      <c r="B318"/>
      <c r="C318" s="55"/>
      <c r="D318" s="144"/>
      <c r="E318" s="55"/>
    </row>
    <row r="319" spans="1:5" s="149" customFormat="1" x14ac:dyDescent="0.3">
      <c r="A319"/>
      <c r="B319"/>
      <c r="C319" s="55"/>
      <c r="D319" s="144"/>
      <c r="E319" s="55"/>
    </row>
    <row r="320" spans="1:5" s="149" customFormat="1" x14ac:dyDescent="0.3">
      <c r="A320"/>
      <c r="B320"/>
      <c r="C320" s="55"/>
      <c r="D320" s="144"/>
      <c r="E320" s="55"/>
    </row>
    <row r="321" spans="1:5" s="149" customFormat="1" x14ac:dyDescent="0.3">
      <c r="A321"/>
      <c r="B321"/>
      <c r="C321" s="55"/>
      <c r="D321" s="144"/>
      <c r="E321" s="55"/>
    </row>
    <row r="322" spans="1:5" s="149" customFormat="1" x14ac:dyDescent="0.3">
      <c r="A322"/>
      <c r="B322"/>
      <c r="C322" s="55"/>
      <c r="D322" s="144"/>
      <c r="E322" s="55"/>
    </row>
    <row r="323" spans="1:5" s="149" customFormat="1" x14ac:dyDescent="0.3">
      <c r="A323"/>
      <c r="B323"/>
      <c r="C323" s="55"/>
      <c r="D323" s="144"/>
      <c r="E323" s="55"/>
    </row>
    <row r="324" spans="1:5" s="149" customFormat="1" x14ac:dyDescent="0.3">
      <c r="A324"/>
      <c r="B324"/>
      <c r="C324" s="55"/>
      <c r="D324" s="144"/>
      <c r="E324" s="55"/>
    </row>
    <row r="325" spans="1:5" s="149" customFormat="1" x14ac:dyDescent="0.3">
      <c r="A325"/>
      <c r="B325"/>
      <c r="C325" s="55"/>
      <c r="D325" s="144"/>
      <c r="E325" s="55"/>
    </row>
    <row r="326" spans="1:5" s="149" customFormat="1" x14ac:dyDescent="0.3">
      <c r="A326"/>
      <c r="B326"/>
      <c r="C326" s="55"/>
      <c r="D326" s="144"/>
      <c r="E326" s="55"/>
    </row>
    <row r="327" spans="1:5" s="149" customFormat="1" x14ac:dyDescent="0.3">
      <c r="A327"/>
      <c r="B327"/>
      <c r="C327" s="55"/>
      <c r="D327" s="144"/>
      <c r="E327" s="55"/>
    </row>
    <row r="328" spans="1:5" s="149" customFormat="1" x14ac:dyDescent="0.3">
      <c r="A328"/>
      <c r="B328"/>
      <c r="C328" s="55"/>
      <c r="D328" s="144"/>
      <c r="E328" s="55"/>
    </row>
    <row r="329" spans="1:5" s="149" customFormat="1" x14ac:dyDescent="0.3">
      <c r="A329"/>
      <c r="B329"/>
      <c r="C329" s="55"/>
      <c r="D329" s="144"/>
      <c r="E329" s="55"/>
    </row>
    <row r="330" spans="1:5" s="149" customFormat="1" x14ac:dyDescent="0.3">
      <c r="A330"/>
      <c r="B330"/>
      <c r="C330" s="55"/>
      <c r="D330" s="144"/>
      <c r="E330" s="55"/>
    </row>
    <row r="331" spans="1:5" s="149" customFormat="1" x14ac:dyDescent="0.3">
      <c r="A331"/>
      <c r="B331"/>
      <c r="C331" s="55"/>
      <c r="D331" s="144"/>
      <c r="E331" s="55"/>
    </row>
    <row r="332" spans="1:5" s="149" customFormat="1" x14ac:dyDescent="0.3">
      <c r="A332"/>
      <c r="B332"/>
      <c r="C332" s="55"/>
      <c r="D332" s="144"/>
      <c r="E332" s="55"/>
    </row>
    <row r="333" spans="1:5" s="149" customFormat="1" x14ac:dyDescent="0.3">
      <c r="A333"/>
      <c r="B333"/>
      <c r="C333" s="55"/>
      <c r="D333" s="144"/>
      <c r="E333" s="55"/>
    </row>
    <row r="334" spans="1:5" s="149" customFormat="1" x14ac:dyDescent="0.3">
      <c r="A334"/>
      <c r="B334"/>
      <c r="C334" s="55"/>
      <c r="D334" s="144"/>
      <c r="E334" s="55"/>
    </row>
    <row r="335" spans="1:5" s="149" customFormat="1" x14ac:dyDescent="0.3">
      <c r="A335"/>
      <c r="B335"/>
      <c r="C335" s="55"/>
      <c r="D335" s="144"/>
      <c r="E335" s="55"/>
    </row>
    <row r="336" spans="1:5" s="149" customFormat="1" x14ac:dyDescent="0.3">
      <c r="A336"/>
      <c r="B336"/>
      <c r="C336" s="55"/>
      <c r="D336" s="144"/>
      <c r="E336" s="55"/>
    </row>
    <row r="337" spans="1:5" s="149" customFormat="1" x14ac:dyDescent="0.3">
      <c r="A337"/>
      <c r="B337"/>
      <c r="C337" s="55"/>
      <c r="D337" s="144"/>
      <c r="E337" s="55"/>
    </row>
    <row r="338" spans="1:5" s="149" customFormat="1" x14ac:dyDescent="0.3">
      <c r="A338"/>
      <c r="B338"/>
      <c r="C338" s="55"/>
      <c r="D338" s="144"/>
      <c r="E338" s="55"/>
    </row>
    <row r="339" spans="1:5" s="149" customFormat="1" x14ac:dyDescent="0.3">
      <c r="A339"/>
      <c r="B339"/>
      <c r="C339" s="55"/>
      <c r="D339" s="144"/>
      <c r="E339" s="55"/>
    </row>
    <row r="340" spans="1:5" s="149" customFormat="1" x14ac:dyDescent="0.3">
      <c r="A340"/>
      <c r="B340"/>
      <c r="C340" s="55"/>
      <c r="D340" s="144"/>
      <c r="E340" s="55"/>
    </row>
    <row r="341" spans="1:5" s="149" customFormat="1" x14ac:dyDescent="0.3">
      <c r="A341"/>
      <c r="B341"/>
      <c r="C341" s="55"/>
      <c r="D341" s="144"/>
      <c r="E341" s="55"/>
    </row>
    <row r="342" spans="1:5" s="149" customFormat="1" x14ac:dyDescent="0.3">
      <c r="A342"/>
      <c r="B342"/>
      <c r="C342" s="55"/>
      <c r="D342" s="144"/>
      <c r="E342" s="55"/>
    </row>
    <row r="343" spans="1:5" s="149" customFormat="1" x14ac:dyDescent="0.3">
      <c r="A343"/>
      <c r="B343"/>
      <c r="C343" s="55"/>
      <c r="D343" s="144"/>
      <c r="E343" s="55"/>
    </row>
    <row r="344" spans="1:5" s="149" customFormat="1" x14ac:dyDescent="0.3">
      <c r="A344"/>
      <c r="B344"/>
      <c r="C344" s="55"/>
      <c r="D344" s="144"/>
      <c r="E344" s="55"/>
    </row>
    <row r="345" spans="1:5" s="149" customFormat="1" x14ac:dyDescent="0.3">
      <c r="A345"/>
      <c r="B345"/>
      <c r="C345" s="55"/>
      <c r="D345" s="144"/>
      <c r="E345" s="55"/>
    </row>
    <row r="346" spans="1:5" s="149" customFormat="1" x14ac:dyDescent="0.3">
      <c r="A346"/>
      <c r="B346"/>
      <c r="C346" s="55"/>
      <c r="D346" s="144"/>
      <c r="E346" s="55"/>
    </row>
    <row r="347" spans="1:5" s="149" customFormat="1" x14ac:dyDescent="0.3">
      <c r="A347"/>
      <c r="B347"/>
      <c r="C347" s="55"/>
      <c r="D347" s="144"/>
      <c r="E347" s="55"/>
    </row>
    <row r="348" spans="1:5" s="149" customFormat="1" x14ac:dyDescent="0.3">
      <c r="A348"/>
      <c r="B348"/>
      <c r="C348" s="55"/>
      <c r="D348" s="144"/>
      <c r="E348" s="55"/>
    </row>
    <row r="349" spans="1:5" s="149" customFormat="1" x14ac:dyDescent="0.3">
      <c r="A349"/>
      <c r="B349"/>
      <c r="C349" s="55"/>
      <c r="D349" s="144"/>
      <c r="E349" s="55"/>
    </row>
    <row r="350" spans="1:5" s="149" customFormat="1" x14ac:dyDescent="0.3">
      <c r="A350"/>
      <c r="B350"/>
      <c r="C350" s="55"/>
      <c r="D350" s="144"/>
      <c r="E350" s="55"/>
    </row>
    <row r="351" spans="1:5" s="149" customFormat="1" x14ac:dyDescent="0.3">
      <c r="A351"/>
      <c r="B351"/>
      <c r="C351" s="55"/>
      <c r="D351" s="144"/>
      <c r="E351" s="55"/>
    </row>
    <row r="352" spans="1:5" s="149" customFormat="1" x14ac:dyDescent="0.3">
      <c r="A352"/>
      <c r="B352"/>
      <c r="C352" s="55"/>
      <c r="D352" s="144"/>
      <c r="E352" s="55"/>
    </row>
    <row r="353" spans="1:5" s="149" customFormat="1" x14ac:dyDescent="0.3">
      <c r="A353"/>
      <c r="B353"/>
      <c r="C353" s="55"/>
      <c r="D353" s="144"/>
      <c r="E353" s="55"/>
    </row>
    <row r="354" spans="1:5" s="149" customFormat="1" x14ac:dyDescent="0.3">
      <c r="A354"/>
      <c r="B354"/>
      <c r="C354" s="55"/>
      <c r="D354" s="144"/>
      <c r="E354" s="55"/>
    </row>
    <row r="355" spans="1:5" s="149" customFormat="1" x14ac:dyDescent="0.3">
      <c r="A355"/>
      <c r="B355"/>
      <c r="C355" s="55"/>
      <c r="D355" s="144"/>
      <c r="E355" s="55"/>
    </row>
    <row r="356" spans="1:5" s="149" customFormat="1" x14ac:dyDescent="0.3">
      <c r="A356"/>
      <c r="B356"/>
      <c r="C356" s="55"/>
      <c r="D356" s="144"/>
      <c r="E356" s="55"/>
    </row>
    <row r="357" spans="1:5" s="149" customFormat="1" x14ac:dyDescent="0.3">
      <c r="A357"/>
      <c r="B357"/>
      <c r="C357" s="55"/>
      <c r="D357" s="144"/>
      <c r="E357" s="55"/>
    </row>
    <row r="358" spans="1:5" s="149" customFormat="1" x14ac:dyDescent="0.3">
      <c r="A358"/>
      <c r="B358"/>
      <c r="C358" s="55"/>
      <c r="D358" s="144"/>
      <c r="E358" s="55"/>
    </row>
    <row r="359" spans="1:5" s="149" customFormat="1" x14ac:dyDescent="0.3">
      <c r="A359"/>
      <c r="B359"/>
      <c r="C359" s="55"/>
      <c r="D359" s="144"/>
      <c r="E359" s="55"/>
    </row>
    <row r="360" spans="1:5" s="149" customFormat="1" x14ac:dyDescent="0.3">
      <c r="A360"/>
      <c r="B360"/>
      <c r="C360" s="55"/>
      <c r="D360" s="144"/>
      <c r="E360" s="55"/>
    </row>
    <row r="361" spans="1:5" s="149" customFormat="1" x14ac:dyDescent="0.3">
      <c r="A361"/>
      <c r="B361"/>
      <c r="C361" s="55"/>
      <c r="D361" s="144"/>
      <c r="E361" s="55"/>
    </row>
    <row r="362" spans="1:5" s="149" customFormat="1" x14ac:dyDescent="0.3">
      <c r="A362"/>
      <c r="B362"/>
      <c r="C362" s="55"/>
      <c r="D362" s="144"/>
      <c r="E362" s="55"/>
    </row>
    <row r="363" spans="1:5" s="149" customFormat="1" x14ac:dyDescent="0.3">
      <c r="A363"/>
      <c r="B363"/>
      <c r="C363" s="55"/>
      <c r="D363" s="144"/>
      <c r="E363" s="55"/>
    </row>
    <row r="364" spans="1:5" s="149" customFormat="1" x14ac:dyDescent="0.3">
      <c r="A364"/>
      <c r="B364"/>
      <c r="C364" s="55"/>
      <c r="D364" s="144"/>
      <c r="E364" s="55"/>
    </row>
    <row r="365" spans="1:5" s="149" customFormat="1" x14ac:dyDescent="0.3">
      <c r="A365"/>
      <c r="B365"/>
      <c r="C365" s="55"/>
      <c r="D365" s="144"/>
      <c r="E365" s="55"/>
    </row>
    <row r="366" spans="1:5" s="149" customFormat="1" x14ac:dyDescent="0.3">
      <c r="A366"/>
      <c r="B366"/>
      <c r="C366" s="55"/>
      <c r="D366" s="144"/>
      <c r="E366" s="55"/>
    </row>
    <row r="367" spans="1:5" s="149" customFormat="1" x14ac:dyDescent="0.3">
      <c r="A367"/>
      <c r="B367"/>
      <c r="C367" s="55"/>
      <c r="D367" s="144"/>
      <c r="E367" s="55"/>
    </row>
    <row r="368" spans="1:5" s="149" customFormat="1" x14ac:dyDescent="0.3">
      <c r="A368"/>
      <c r="B368"/>
      <c r="C368" s="55"/>
      <c r="D368" s="144"/>
      <c r="E368" s="55"/>
    </row>
    <row r="369" spans="1:5" s="149" customFormat="1" x14ac:dyDescent="0.3">
      <c r="A369"/>
      <c r="B369"/>
      <c r="C369" s="55"/>
      <c r="D369" s="144"/>
      <c r="E369" s="55"/>
    </row>
    <row r="370" spans="1:5" s="149" customFormat="1" x14ac:dyDescent="0.3">
      <c r="A370"/>
      <c r="B370"/>
      <c r="C370" s="55"/>
      <c r="D370" s="144"/>
      <c r="E370" s="55"/>
    </row>
    <row r="371" spans="1:5" s="149" customFormat="1" x14ac:dyDescent="0.3">
      <c r="A371"/>
      <c r="B371"/>
      <c r="C371" s="55"/>
      <c r="D371" s="144"/>
      <c r="E371" s="55"/>
    </row>
    <row r="372" spans="1:5" s="149" customFormat="1" x14ac:dyDescent="0.3">
      <c r="A372"/>
      <c r="B372"/>
      <c r="C372" s="55"/>
      <c r="D372" s="144"/>
      <c r="E372" s="55"/>
    </row>
    <row r="373" spans="1:5" s="149" customFormat="1" x14ac:dyDescent="0.3">
      <c r="A373"/>
      <c r="B373"/>
      <c r="C373" s="55"/>
      <c r="D373" s="144"/>
      <c r="E373" s="55"/>
    </row>
    <row r="374" spans="1:5" s="149" customFormat="1" x14ac:dyDescent="0.3">
      <c r="A374"/>
      <c r="B374"/>
      <c r="C374" s="55"/>
      <c r="D374" s="144"/>
      <c r="E374" s="55"/>
    </row>
    <row r="375" spans="1:5" s="149" customFormat="1" x14ac:dyDescent="0.3">
      <c r="A375"/>
      <c r="B375"/>
      <c r="C375" s="55"/>
      <c r="D375" s="144"/>
      <c r="E375" s="55"/>
    </row>
    <row r="376" spans="1:5" s="149" customFormat="1" x14ac:dyDescent="0.3">
      <c r="A376"/>
      <c r="B376"/>
      <c r="C376" s="55"/>
      <c r="D376" s="144"/>
      <c r="E376" s="55"/>
    </row>
    <row r="377" spans="1:5" s="149" customFormat="1" x14ac:dyDescent="0.3">
      <c r="A377"/>
      <c r="B377"/>
      <c r="C377" s="55"/>
      <c r="D377" s="144"/>
      <c r="E377" s="55"/>
    </row>
    <row r="378" spans="1:5" s="149" customFormat="1" x14ac:dyDescent="0.3">
      <c r="A378"/>
      <c r="B378"/>
      <c r="C378" s="55"/>
      <c r="D378" s="144"/>
      <c r="E378" s="55"/>
    </row>
    <row r="379" spans="1:5" s="149" customFormat="1" x14ac:dyDescent="0.3">
      <c r="A379"/>
      <c r="B379"/>
      <c r="C379" s="55"/>
      <c r="D379" s="144"/>
      <c r="E379" s="55"/>
    </row>
    <row r="380" spans="1:5" s="149" customFormat="1" x14ac:dyDescent="0.3">
      <c r="A380"/>
      <c r="B380"/>
      <c r="C380" s="55"/>
      <c r="D380" s="144"/>
      <c r="E380" s="55"/>
    </row>
    <row r="381" spans="1:5" s="149" customFormat="1" x14ac:dyDescent="0.3">
      <c r="A381"/>
      <c r="B381"/>
      <c r="C381" s="55"/>
      <c r="D381" s="144"/>
      <c r="E381" s="55"/>
    </row>
    <row r="382" spans="1:5" s="149" customFormat="1" x14ac:dyDescent="0.3">
      <c r="A382"/>
      <c r="B382"/>
      <c r="C382" s="55"/>
      <c r="D382" s="144"/>
      <c r="E382" s="55"/>
    </row>
    <row r="383" spans="1:5" s="149" customFormat="1" x14ac:dyDescent="0.3">
      <c r="A383"/>
      <c r="B383"/>
      <c r="C383" s="55"/>
      <c r="D383" s="144"/>
      <c r="E383" s="55"/>
    </row>
    <row r="384" spans="1:5" s="149" customFormat="1" x14ac:dyDescent="0.3">
      <c r="A384"/>
      <c r="B384"/>
      <c r="C384" s="55"/>
      <c r="D384" s="144"/>
      <c r="E384" s="55"/>
    </row>
    <row r="385" spans="1:5" s="149" customFormat="1" x14ac:dyDescent="0.3">
      <c r="A385"/>
      <c r="B385"/>
      <c r="C385" s="55"/>
      <c r="D385" s="144"/>
      <c r="E385" s="55"/>
    </row>
    <row r="386" spans="1:5" s="149" customFormat="1" x14ac:dyDescent="0.3">
      <c r="A386"/>
      <c r="B386"/>
      <c r="C386" s="55"/>
      <c r="D386" s="144"/>
      <c r="E386" s="55"/>
    </row>
    <row r="387" spans="1:5" s="149" customFormat="1" x14ac:dyDescent="0.3">
      <c r="A387"/>
      <c r="B387"/>
      <c r="C387" s="55"/>
      <c r="D387" s="144"/>
      <c r="E387" s="55"/>
    </row>
    <row r="388" spans="1:5" s="149" customFormat="1" x14ac:dyDescent="0.3">
      <c r="A388"/>
      <c r="B388"/>
      <c r="C388" s="55"/>
      <c r="D388" s="144"/>
      <c r="E388" s="55"/>
    </row>
    <row r="389" spans="1:5" s="149" customFormat="1" x14ac:dyDescent="0.3">
      <c r="A389"/>
      <c r="B389"/>
      <c r="C389" s="55"/>
      <c r="D389" s="144"/>
      <c r="E389" s="55"/>
    </row>
    <row r="390" spans="1:5" s="149" customFormat="1" x14ac:dyDescent="0.3">
      <c r="A390"/>
      <c r="B390"/>
      <c r="C390" s="55"/>
      <c r="D390" s="144"/>
      <c r="E390" s="55"/>
    </row>
    <row r="391" spans="1:5" s="149" customFormat="1" x14ac:dyDescent="0.3">
      <c r="A391"/>
      <c r="B391"/>
      <c r="C391" s="55"/>
      <c r="D391" s="144"/>
      <c r="E391" s="55"/>
    </row>
    <row r="392" spans="1:5" s="149" customFormat="1" x14ac:dyDescent="0.3">
      <c r="A392"/>
      <c r="B392"/>
      <c r="C392" s="55"/>
      <c r="D392" s="144"/>
      <c r="E392" s="55"/>
    </row>
    <row r="393" spans="1:5" s="149" customFormat="1" x14ac:dyDescent="0.3">
      <c r="A393"/>
      <c r="B393"/>
      <c r="C393" s="55"/>
      <c r="D393" s="144"/>
      <c r="E393" s="55"/>
    </row>
    <row r="394" spans="1:5" s="149" customFormat="1" x14ac:dyDescent="0.3">
      <c r="A394"/>
      <c r="B394"/>
      <c r="C394" s="55"/>
      <c r="D394" s="144"/>
      <c r="E394" s="55"/>
    </row>
    <row r="395" spans="1:5" s="149" customFormat="1" x14ac:dyDescent="0.3">
      <c r="A395"/>
      <c r="B395"/>
      <c r="C395" s="55"/>
      <c r="D395" s="144"/>
      <c r="E395" s="55"/>
    </row>
    <row r="396" spans="1:5" s="149" customFormat="1" x14ac:dyDescent="0.3">
      <c r="A396"/>
      <c r="B396"/>
      <c r="C396" s="55"/>
      <c r="D396" s="144"/>
      <c r="E396" s="55"/>
    </row>
    <row r="397" spans="1:5" s="149" customFormat="1" x14ac:dyDescent="0.3">
      <c r="A397"/>
      <c r="B397"/>
      <c r="C397" s="55"/>
      <c r="D397" s="144"/>
      <c r="E397" s="55"/>
    </row>
    <row r="398" spans="1:5" s="149" customFormat="1" x14ac:dyDescent="0.3">
      <c r="A398"/>
      <c r="B398"/>
      <c r="C398" s="55"/>
      <c r="D398" s="144"/>
      <c r="E398" s="55"/>
    </row>
    <row r="399" spans="1:5" s="149" customFormat="1" x14ac:dyDescent="0.3">
      <c r="A399"/>
      <c r="B399"/>
      <c r="C399" s="55"/>
      <c r="D399" s="144"/>
      <c r="E399" s="55"/>
    </row>
    <row r="400" spans="1:5" s="149" customFormat="1" x14ac:dyDescent="0.3">
      <c r="A400"/>
      <c r="B400"/>
      <c r="C400" s="55"/>
      <c r="D400" s="144"/>
      <c r="E400" s="55"/>
    </row>
    <row r="401" spans="1:5" s="149" customFormat="1" x14ac:dyDescent="0.3">
      <c r="A401"/>
      <c r="B401"/>
      <c r="C401" s="55"/>
      <c r="D401" s="144"/>
      <c r="E401" s="55"/>
    </row>
    <row r="402" spans="1:5" s="149" customFormat="1" x14ac:dyDescent="0.3">
      <c r="A402"/>
      <c r="B402"/>
      <c r="C402" s="55"/>
      <c r="D402" s="144"/>
      <c r="E402" s="55"/>
    </row>
    <row r="403" spans="1:5" s="149" customFormat="1" x14ac:dyDescent="0.3">
      <c r="A403"/>
      <c r="B403"/>
      <c r="C403" s="55"/>
      <c r="D403" s="144"/>
      <c r="E403" s="55"/>
    </row>
    <row r="404" spans="1:5" s="149" customFormat="1" x14ac:dyDescent="0.3">
      <c r="A404"/>
      <c r="B404"/>
      <c r="C404" s="55"/>
      <c r="D404" s="144"/>
      <c r="E404" s="55"/>
    </row>
    <row r="405" spans="1:5" s="149" customFormat="1" x14ac:dyDescent="0.3">
      <c r="A405"/>
      <c r="B405"/>
      <c r="C405" s="55"/>
      <c r="D405" s="144"/>
      <c r="E405" s="55"/>
    </row>
    <row r="406" spans="1:5" s="149" customFormat="1" x14ac:dyDescent="0.3">
      <c r="A406"/>
      <c r="B406"/>
      <c r="C406" s="55"/>
      <c r="D406" s="144"/>
      <c r="E406" s="55"/>
    </row>
    <row r="407" spans="1:5" s="149" customFormat="1" x14ac:dyDescent="0.3">
      <c r="A407"/>
      <c r="B407"/>
      <c r="C407" s="55"/>
      <c r="D407" s="144"/>
      <c r="E407" s="55"/>
    </row>
    <row r="408" spans="1:5" s="149" customFormat="1" x14ac:dyDescent="0.3">
      <c r="A408"/>
      <c r="B408"/>
      <c r="C408" s="55"/>
      <c r="D408" s="144"/>
      <c r="E408" s="55"/>
    </row>
    <row r="409" spans="1:5" s="149" customFormat="1" x14ac:dyDescent="0.3">
      <c r="A409"/>
      <c r="B409"/>
      <c r="C409" s="55"/>
      <c r="D409" s="144"/>
      <c r="E409" s="55"/>
    </row>
    <row r="410" spans="1:5" s="149" customFormat="1" x14ac:dyDescent="0.3">
      <c r="A410"/>
      <c r="B410"/>
      <c r="C410" s="55"/>
      <c r="D410" s="144"/>
      <c r="E410" s="55"/>
    </row>
    <row r="411" spans="1:5" s="149" customFormat="1" x14ac:dyDescent="0.3">
      <c r="A411"/>
      <c r="B411"/>
      <c r="C411" s="55"/>
      <c r="D411" s="144"/>
      <c r="E411" s="55"/>
    </row>
    <row r="412" spans="1:5" s="149" customFormat="1" x14ac:dyDescent="0.3">
      <c r="A412"/>
      <c r="B412"/>
      <c r="C412" s="55"/>
      <c r="D412" s="144"/>
      <c r="E412" s="55"/>
    </row>
    <row r="413" spans="1:5" s="149" customFormat="1" x14ac:dyDescent="0.3">
      <c r="A413"/>
      <c r="B413"/>
      <c r="C413" s="55"/>
      <c r="D413" s="144"/>
      <c r="E413" s="55"/>
    </row>
    <row r="414" spans="1:5" s="149" customFormat="1" x14ac:dyDescent="0.3">
      <c r="A414"/>
      <c r="B414"/>
      <c r="C414" s="55"/>
      <c r="D414" s="144"/>
      <c r="E414" s="55"/>
    </row>
    <row r="415" spans="1:5" s="149" customFormat="1" x14ac:dyDescent="0.3">
      <c r="A415"/>
      <c r="B415"/>
      <c r="C415" s="55"/>
      <c r="D415" s="144"/>
      <c r="E415" s="55"/>
    </row>
    <row r="416" spans="1:5" s="149" customFormat="1" x14ac:dyDescent="0.3">
      <c r="A416"/>
      <c r="B416"/>
      <c r="C416" s="55"/>
      <c r="D416" s="144"/>
      <c r="E416" s="55"/>
    </row>
    <row r="417" spans="1:5" s="149" customFormat="1" x14ac:dyDescent="0.3">
      <c r="A417"/>
      <c r="B417"/>
      <c r="C417" s="55"/>
      <c r="D417" s="144"/>
      <c r="E417" s="55"/>
    </row>
    <row r="418" spans="1:5" s="149" customFormat="1" x14ac:dyDescent="0.3">
      <c r="A418"/>
      <c r="B418"/>
      <c r="C418" s="55"/>
      <c r="D418" s="144"/>
      <c r="E418" s="55"/>
    </row>
    <row r="419" spans="1:5" s="149" customFormat="1" x14ac:dyDescent="0.3">
      <c r="A419"/>
      <c r="B419"/>
      <c r="C419" s="55"/>
      <c r="D419" s="144"/>
      <c r="E419" s="55"/>
    </row>
    <row r="420" spans="1:5" s="149" customFormat="1" x14ac:dyDescent="0.3">
      <c r="A420"/>
      <c r="B420"/>
      <c r="C420" s="55"/>
      <c r="D420" s="144"/>
      <c r="E420" s="55"/>
    </row>
    <row r="421" spans="1:5" s="149" customFormat="1" x14ac:dyDescent="0.3">
      <c r="A421"/>
      <c r="B421"/>
      <c r="C421" s="55"/>
      <c r="D421" s="144"/>
      <c r="E421" s="55"/>
    </row>
    <row r="422" spans="1:5" s="149" customFormat="1" x14ac:dyDescent="0.3">
      <c r="A422"/>
      <c r="B422"/>
      <c r="C422" s="55"/>
      <c r="D422" s="144"/>
      <c r="E422" s="55"/>
    </row>
    <row r="423" spans="1:5" s="149" customFormat="1" x14ac:dyDescent="0.3">
      <c r="A423"/>
      <c r="B423"/>
      <c r="C423" s="55"/>
      <c r="D423" s="144"/>
      <c r="E423" s="55"/>
    </row>
    <row r="424" spans="1:5" s="149" customFormat="1" x14ac:dyDescent="0.3">
      <c r="A424"/>
      <c r="B424"/>
      <c r="C424" s="55"/>
      <c r="D424" s="144"/>
      <c r="E424" s="55"/>
    </row>
    <row r="425" spans="1:5" s="149" customFormat="1" x14ac:dyDescent="0.3">
      <c r="A425"/>
      <c r="B425"/>
      <c r="C425" s="55"/>
      <c r="D425" s="144"/>
      <c r="E425" s="55"/>
    </row>
    <row r="426" spans="1:5" s="149" customFormat="1" x14ac:dyDescent="0.3">
      <c r="A426"/>
      <c r="B426"/>
      <c r="C426" s="55"/>
      <c r="D426" s="144"/>
      <c r="E426" s="55"/>
    </row>
    <row r="427" spans="1:5" s="149" customFormat="1" x14ac:dyDescent="0.3">
      <c r="A427"/>
      <c r="B427"/>
      <c r="C427" s="55"/>
      <c r="D427" s="144"/>
      <c r="E427" s="55"/>
    </row>
    <row r="428" spans="1:5" s="149" customFormat="1" x14ac:dyDescent="0.3">
      <c r="A428"/>
      <c r="B428"/>
      <c r="C428" s="55"/>
      <c r="D428" s="144"/>
      <c r="E428" s="55"/>
    </row>
    <row r="429" spans="1:5" s="149" customFormat="1" x14ac:dyDescent="0.3">
      <c r="A429"/>
      <c r="B429"/>
      <c r="C429" s="55"/>
      <c r="D429" s="144"/>
      <c r="E429" s="55"/>
    </row>
    <row r="430" spans="1:5" s="149" customFormat="1" x14ac:dyDescent="0.3">
      <c r="A430"/>
      <c r="B430"/>
      <c r="C430" s="55"/>
      <c r="D430" s="144"/>
      <c r="E430" s="55"/>
    </row>
    <row r="431" spans="1:5" s="149" customFormat="1" x14ac:dyDescent="0.3">
      <c r="A431"/>
      <c r="B431"/>
      <c r="C431" s="55"/>
      <c r="D431" s="144"/>
      <c r="E431" s="55"/>
    </row>
    <row r="432" spans="1:5" s="149" customFormat="1" x14ac:dyDescent="0.3">
      <c r="A432"/>
      <c r="B432"/>
      <c r="C432" s="55"/>
      <c r="D432" s="144"/>
      <c r="E432" s="55"/>
    </row>
    <row r="433" spans="1:5" s="149" customFormat="1" x14ac:dyDescent="0.3">
      <c r="A433"/>
      <c r="B433"/>
      <c r="C433" s="55"/>
      <c r="D433" s="144"/>
      <c r="E433" s="55"/>
    </row>
    <row r="434" spans="1:5" s="149" customFormat="1" x14ac:dyDescent="0.3">
      <c r="A434"/>
      <c r="B434"/>
      <c r="C434" s="55"/>
      <c r="D434" s="144"/>
      <c r="E434" s="55"/>
    </row>
    <row r="435" spans="1:5" s="149" customFormat="1" x14ac:dyDescent="0.3">
      <c r="A435"/>
      <c r="B435"/>
      <c r="C435" s="55"/>
      <c r="D435" s="144"/>
      <c r="E435" s="55"/>
    </row>
    <row r="436" spans="1:5" s="149" customFormat="1" x14ac:dyDescent="0.3">
      <c r="A436"/>
      <c r="B436"/>
      <c r="C436" s="55"/>
      <c r="D436" s="144"/>
      <c r="E436" s="55"/>
    </row>
    <row r="437" spans="1:5" s="149" customFormat="1" x14ac:dyDescent="0.3">
      <c r="A437"/>
      <c r="B437"/>
      <c r="C437" s="55"/>
      <c r="D437" s="144"/>
      <c r="E437" s="55"/>
    </row>
    <row r="438" spans="1:5" s="149" customFormat="1" x14ac:dyDescent="0.3">
      <c r="A438"/>
      <c r="B438"/>
      <c r="C438" s="55"/>
      <c r="D438" s="144"/>
      <c r="E438" s="55"/>
    </row>
    <row r="439" spans="1:5" s="149" customFormat="1" x14ac:dyDescent="0.3">
      <c r="A439"/>
      <c r="B439"/>
      <c r="C439" s="55"/>
      <c r="D439" s="144"/>
      <c r="E439" s="55"/>
    </row>
    <row r="440" spans="1:5" s="149" customFormat="1" x14ac:dyDescent="0.3">
      <c r="A440"/>
      <c r="B440"/>
      <c r="C440" s="55"/>
      <c r="D440" s="144"/>
      <c r="E440" s="55"/>
    </row>
    <row r="441" spans="1:5" s="149" customFormat="1" x14ac:dyDescent="0.3">
      <c r="A441"/>
      <c r="B441"/>
      <c r="C441" s="55"/>
      <c r="D441" s="144"/>
      <c r="E441" s="55"/>
    </row>
    <row r="442" spans="1:5" s="149" customFormat="1" x14ac:dyDescent="0.3">
      <c r="A442"/>
      <c r="B442"/>
      <c r="C442" s="55"/>
      <c r="D442" s="144"/>
      <c r="E442" s="55"/>
    </row>
    <row r="443" spans="1:5" s="149" customFormat="1" x14ac:dyDescent="0.3">
      <c r="A443"/>
      <c r="B443"/>
      <c r="C443" s="55"/>
      <c r="D443" s="144"/>
      <c r="E443" s="55"/>
    </row>
    <row r="444" spans="1:5" s="149" customFormat="1" x14ac:dyDescent="0.3">
      <c r="A444"/>
      <c r="B444"/>
      <c r="C444" s="55"/>
      <c r="D444" s="144"/>
      <c r="E444" s="55"/>
    </row>
    <row r="445" spans="1:5" s="149" customFormat="1" x14ac:dyDescent="0.3">
      <c r="A445"/>
      <c r="B445"/>
      <c r="C445" s="55"/>
      <c r="D445" s="144"/>
      <c r="E445" s="55"/>
    </row>
    <row r="446" spans="1:5" s="149" customFormat="1" x14ac:dyDescent="0.3">
      <c r="A446"/>
      <c r="B446"/>
      <c r="C446" s="55"/>
      <c r="D446" s="144"/>
      <c r="E446" s="55"/>
    </row>
    <row r="447" spans="1:5" s="149" customFormat="1" x14ac:dyDescent="0.3">
      <c r="A447"/>
      <c r="B447"/>
      <c r="C447" s="55"/>
      <c r="D447" s="144"/>
      <c r="E447" s="55"/>
    </row>
    <row r="448" spans="1:5" s="149" customFormat="1" x14ac:dyDescent="0.3">
      <c r="A448"/>
      <c r="B448"/>
      <c r="C448" s="55"/>
      <c r="D448" s="144"/>
      <c r="E448" s="55"/>
    </row>
    <row r="449" spans="1:5" s="149" customFormat="1" x14ac:dyDescent="0.3">
      <c r="A449"/>
      <c r="B449"/>
      <c r="C449" s="55"/>
      <c r="D449" s="144"/>
      <c r="E449" s="55"/>
    </row>
    <row r="450" spans="1:5" s="149" customFormat="1" x14ac:dyDescent="0.3">
      <c r="A450"/>
      <c r="B450"/>
      <c r="C450" s="55"/>
      <c r="D450" s="144"/>
      <c r="E450" s="55"/>
    </row>
    <row r="451" spans="1:5" s="149" customFormat="1" x14ac:dyDescent="0.3">
      <c r="A451"/>
      <c r="B451"/>
      <c r="C451" s="55"/>
      <c r="D451" s="144"/>
      <c r="E451" s="55"/>
    </row>
    <row r="452" spans="1:5" s="149" customFormat="1" x14ac:dyDescent="0.3">
      <c r="A452"/>
      <c r="B452"/>
      <c r="C452" s="55"/>
      <c r="D452" s="144"/>
      <c r="E452" s="55"/>
    </row>
    <row r="453" spans="1:5" s="149" customFormat="1" x14ac:dyDescent="0.3">
      <c r="A453"/>
      <c r="B453"/>
      <c r="C453" s="55"/>
      <c r="D453" s="144"/>
      <c r="E453" s="55"/>
    </row>
    <row r="454" spans="1:5" s="149" customFormat="1" x14ac:dyDescent="0.3">
      <c r="A454"/>
      <c r="B454"/>
      <c r="C454" s="55"/>
      <c r="D454" s="144"/>
      <c r="E454" s="55"/>
    </row>
    <row r="455" spans="1:5" s="149" customFormat="1" x14ac:dyDescent="0.3">
      <c r="A455"/>
      <c r="B455"/>
      <c r="C455" s="55"/>
      <c r="D455" s="144"/>
      <c r="E455" s="55"/>
    </row>
    <row r="456" spans="1:5" s="149" customFormat="1" x14ac:dyDescent="0.3">
      <c r="A456"/>
      <c r="B456"/>
      <c r="C456" s="55"/>
      <c r="D456" s="144"/>
      <c r="E456" s="55"/>
    </row>
    <row r="457" spans="1:5" s="149" customFormat="1" x14ac:dyDescent="0.3">
      <c r="A457"/>
      <c r="B457"/>
      <c r="C457" s="55"/>
      <c r="D457" s="144"/>
      <c r="E457" s="55"/>
    </row>
  </sheetData>
  <protectedRanges>
    <protectedRange sqref="E4:F4" name="IINPUTS"/>
  </protectedRange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33ABBBB-F446-462B-BF94-FC66389D9FEF}">
          <x14:formula1>
            <xm:f>Configuration!$A$6:$A$35</xm:f>
          </x14:formula1>
          <xm:sqref>D10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F3B95-084E-48A6-8A8F-3F582AC40EB7}">
  <sheetPr codeName="Feuil12">
    <tabColor theme="8" tint="0.39997558519241921"/>
    <outlinePr summaryBelow="0" summaryRight="0"/>
  </sheetPr>
  <dimension ref="B1:M462"/>
  <sheetViews>
    <sheetView showGridLines="0" topLeftCell="B1" zoomScale="85" zoomScaleNormal="85" workbookViewId="0">
      <selection activeCell="G13" sqref="G13"/>
    </sheetView>
  </sheetViews>
  <sheetFormatPr baseColWidth="10" defaultColWidth="10.88671875" defaultRowHeight="14.4" x14ac:dyDescent="0.3"/>
  <cols>
    <col min="1" max="1" width="0" style="69" hidden="1" customWidth="1"/>
    <col min="2" max="2" width="9.77734375" style="69" customWidth="1"/>
    <col min="3" max="3" width="27.21875" style="145" customWidth="1"/>
    <col min="4" max="4" width="46.109375" style="146" customWidth="1"/>
    <col min="5" max="5" width="28.21875" style="145" customWidth="1"/>
    <col min="6" max="6" width="10.44140625" style="150" customWidth="1"/>
    <col min="7" max="7" width="21.33203125" style="69" customWidth="1"/>
    <col min="8" max="8" width="33" style="69" customWidth="1"/>
    <col min="9" max="9" width="42.77734375" style="69" customWidth="1"/>
    <col min="10" max="10" width="8.109375" style="69" bestFit="1" customWidth="1"/>
    <col min="11" max="11" width="9.88671875" style="69" bestFit="1" customWidth="1"/>
    <col min="12" max="12" width="13.109375" bestFit="1" customWidth="1"/>
    <col min="13" max="13" width="8.109375" bestFit="1" customWidth="1"/>
    <col min="14" max="82" width="8.109375" style="69" bestFit="1" customWidth="1"/>
    <col min="83" max="83" width="9.109375" style="69" bestFit="1" customWidth="1"/>
    <col min="84" max="223" width="8.109375" style="69" bestFit="1" customWidth="1"/>
    <col min="224" max="224" width="2" style="69" bestFit="1" customWidth="1"/>
    <col min="225" max="16384" width="10.88671875" style="69"/>
  </cols>
  <sheetData>
    <row r="1" spans="2:6" customFormat="1" x14ac:dyDescent="0.3">
      <c r="F1" s="149"/>
    </row>
    <row r="2" spans="2:6" customFormat="1" x14ac:dyDescent="0.3">
      <c r="F2" s="149"/>
    </row>
    <row r="3" spans="2:6" customFormat="1" x14ac:dyDescent="0.3">
      <c r="F3" s="149"/>
    </row>
    <row r="4" spans="2:6" customFormat="1" x14ac:dyDescent="0.3">
      <c r="F4" s="149"/>
    </row>
    <row r="5" spans="2:6" customFormat="1" x14ac:dyDescent="0.3">
      <c r="F5" s="149"/>
    </row>
    <row r="6" spans="2:6" customFormat="1" x14ac:dyDescent="0.3">
      <c r="F6" s="149"/>
    </row>
    <row r="7" spans="2:6" s="147" customFormat="1" ht="16.5" customHeight="1" x14ac:dyDescent="0.3">
      <c r="B7" s="149"/>
    </row>
    <row r="8" spans="2:6" customFormat="1" x14ac:dyDescent="0.3">
      <c r="B8" s="149"/>
    </row>
    <row r="9" spans="2:6" customFormat="1" ht="18" customHeight="1" x14ac:dyDescent="0.3">
      <c r="B9" s="149"/>
      <c r="C9" s="73" t="s">
        <v>262</v>
      </c>
      <c r="D9" s="48" t="s">
        <v>4539</v>
      </c>
    </row>
    <row r="10" spans="2:6" customFormat="1" ht="18" customHeight="1" x14ac:dyDescent="0.3">
      <c r="B10" s="149"/>
      <c r="C10" s="73" t="s">
        <v>4572</v>
      </c>
      <c r="D10" s="48" t="s">
        <v>288</v>
      </c>
    </row>
    <row r="11" spans="2:6" customFormat="1" ht="23.4" customHeight="1" x14ac:dyDescent="0.3">
      <c r="B11" s="149"/>
      <c r="C11" s="73" t="s">
        <v>4548</v>
      </c>
      <c r="D11" s="9" t="s">
        <v>6689</v>
      </c>
    </row>
    <row r="12" spans="2:6" customFormat="1" x14ac:dyDescent="0.3">
      <c r="F12" s="149"/>
    </row>
    <row r="13" spans="2:6" customFormat="1" x14ac:dyDescent="0.3">
      <c r="F13" s="149"/>
    </row>
    <row r="14" spans="2:6" customFormat="1" x14ac:dyDescent="0.3">
      <c r="F14" s="149"/>
    </row>
    <row r="15" spans="2:6" customFormat="1" x14ac:dyDescent="0.3">
      <c r="F15" s="149"/>
    </row>
    <row r="16" spans="2:6" customFormat="1" x14ac:dyDescent="0.3">
      <c r="F16" s="149"/>
    </row>
    <row r="17" spans="3:6" customFormat="1" x14ac:dyDescent="0.3">
      <c r="C17" s="36" t="s">
        <v>262</v>
      </c>
      <c r="D17" s="36" t="s">
        <v>4572</v>
      </c>
      <c r="E17" s="36" t="s">
        <v>4547</v>
      </c>
      <c r="F17" s="149"/>
    </row>
    <row r="18" spans="3:6" customFormat="1" x14ac:dyDescent="0.3">
      <c r="C18" s="55" t="s">
        <v>4539</v>
      </c>
      <c r="D18" s="144" t="s">
        <v>292</v>
      </c>
      <c r="E18" s="55" t="s">
        <v>6688</v>
      </c>
      <c r="F18" s="149"/>
    </row>
    <row r="19" spans="3:6" customFormat="1" x14ac:dyDescent="0.3">
      <c r="C19" s="55" t="s">
        <v>4539</v>
      </c>
      <c r="D19" s="144" t="s">
        <v>194</v>
      </c>
      <c r="E19" s="55" t="s">
        <v>4590</v>
      </c>
      <c r="F19" s="149"/>
    </row>
    <row r="20" spans="3:6" customFormat="1" x14ac:dyDescent="0.3">
      <c r="C20" s="55" t="s">
        <v>4539</v>
      </c>
      <c r="D20" s="144" t="s">
        <v>288</v>
      </c>
      <c r="E20" s="55" t="s">
        <v>6689</v>
      </c>
      <c r="F20" s="149"/>
    </row>
    <row r="21" spans="3:6" customFormat="1" x14ac:dyDescent="0.3">
      <c r="C21" s="55"/>
      <c r="D21" s="144"/>
      <c r="E21" s="55"/>
      <c r="F21" s="149"/>
    </row>
    <row r="22" spans="3:6" customFormat="1" x14ac:dyDescent="0.3">
      <c r="C22" s="55"/>
      <c r="D22" s="144"/>
      <c r="E22" s="55"/>
      <c r="F22" s="149"/>
    </row>
    <row r="23" spans="3:6" customFormat="1" x14ac:dyDescent="0.3">
      <c r="C23" s="55"/>
      <c r="D23" s="144"/>
      <c r="E23" s="55"/>
      <c r="F23" s="149"/>
    </row>
    <row r="24" spans="3:6" customFormat="1" x14ac:dyDescent="0.3">
      <c r="C24" s="55"/>
      <c r="D24" s="144"/>
      <c r="E24" s="55"/>
      <c r="F24" s="149"/>
    </row>
    <row r="25" spans="3:6" customFormat="1" x14ac:dyDescent="0.3">
      <c r="C25" s="55"/>
      <c r="D25" s="144"/>
      <c r="E25" s="55"/>
      <c r="F25" s="149"/>
    </row>
    <row r="26" spans="3:6" customFormat="1" x14ac:dyDescent="0.3">
      <c r="C26" s="55"/>
      <c r="D26" s="144"/>
      <c r="E26" s="55"/>
      <c r="F26" s="149"/>
    </row>
    <row r="27" spans="3:6" customFormat="1" x14ac:dyDescent="0.3">
      <c r="C27" s="55"/>
      <c r="D27" s="144"/>
      <c r="E27" s="55"/>
      <c r="F27" s="149"/>
    </row>
    <row r="28" spans="3:6" customFormat="1" x14ac:dyDescent="0.3">
      <c r="C28" s="55"/>
      <c r="D28" s="144"/>
      <c r="E28" s="55"/>
      <c r="F28" s="149"/>
    </row>
    <row r="29" spans="3:6" customFormat="1" x14ac:dyDescent="0.3">
      <c r="C29" s="55"/>
      <c r="D29" s="144"/>
      <c r="E29" s="55"/>
      <c r="F29" s="149"/>
    </row>
    <row r="30" spans="3:6" customFormat="1" x14ac:dyDescent="0.3">
      <c r="C30" s="55"/>
      <c r="D30" s="144"/>
      <c r="E30" s="55"/>
      <c r="F30" s="149"/>
    </row>
    <row r="31" spans="3:6" customFormat="1" x14ac:dyDescent="0.3">
      <c r="C31" s="55"/>
      <c r="D31" s="144"/>
      <c r="E31" s="55"/>
      <c r="F31" s="149"/>
    </row>
    <row r="32" spans="3:6" customFormat="1" x14ac:dyDescent="0.3">
      <c r="C32" s="55"/>
      <c r="D32" s="144"/>
      <c r="E32" s="55"/>
      <c r="F32" s="149"/>
    </row>
    <row r="33" spans="3:6" customFormat="1" x14ac:dyDescent="0.3">
      <c r="C33" s="55"/>
      <c r="D33" s="144"/>
      <c r="E33" s="55"/>
      <c r="F33" s="149"/>
    </row>
    <row r="34" spans="3:6" customFormat="1" x14ac:dyDescent="0.3">
      <c r="C34" s="55"/>
      <c r="D34" s="144"/>
      <c r="E34" s="55"/>
      <c r="F34" s="149"/>
    </row>
    <row r="35" spans="3:6" customFormat="1" x14ac:dyDescent="0.3">
      <c r="C35" s="55"/>
      <c r="D35" s="144"/>
      <c r="E35" s="55"/>
      <c r="F35" s="149"/>
    </row>
    <row r="36" spans="3:6" customFormat="1" x14ac:dyDescent="0.3">
      <c r="C36" s="55"/>
      <c r="D36" s="144"/>
      <c r="E36" s="55"/>
      <c r="F36" s="149"/>
    </row>
    <row r="37" spans="3:6" customFormat="1" x14ac:dyDescent="0.3">
      <c r="C37" s="55"/>
      <c r="D37" s="144"/>
      <c r="E37" s="55"/>
      <c r="F37" s="149"/>
    </row>
    <row r="38" spans="3:6" customFormat="1" x14ac:dyDescent="0.3">
      <c r="C38" s="55"/>
      <c r="D38" s="144"/>
      <c r="E38" s="55"/>
      <c r="F38" s="149"/>
    </row>
    <row r="39" spans="3:6" customFormat="1" x14ac:dyDescent="0.3">
      <c r="C39" s="55"/>
      <c r="D39" s="144"/>
      <c r="E39" s="55"/>
      <c r="F39" s="149"/>
    </row>
    <row r="40" spans="3:6" customFormat="1" x14ac:dyDescent="0.3">
      <c r="C40" s="55"/>
      <c r="D40" s="144"/>
      <c r="E40" s="55"/>
      <c r="F40" s="149"/>
    </row>
    <row r="41" spans="3:6" customFormat="1" x14ac:dyDescent="0.3">
      <c r="C41" s="55"/>
      <c r="D41" s="144"/>
      <c r="E41" s="55"/>
      <c r="F41" s="149"/>
    </row>
    <row r="42" spans="3:6" customFormat="1" x14ac:dyDescent="0.3">
      <c r="C42" s="55"/>
      <c r="D42" s="144"/>
      <c r="E42" s="55"/>
      <c r="F42" s="149"/>
    </row>
    <row r="43" spans="3:6" customFormat="1" x14ac:dyDescent="0.3">
      <c r="C43" s="55"/>
      <c r="D43" s="144"/>
      <c r="E43" s="55"/>
      <c r="F43" s="149"/>
    </row>
    <row r="44" spans="3:6" customFormat="1" x14ac:dyDescent="0.3">
      <c r="C44" s="55"/>
      <c r="D44" s="144"/>
      <c r="E44" s="55"/>
      <c r="F44" s="149"/>
    </row>
    <row r="45" spans="3:6" customFormat="1" x14ac:dyDescent="0.3">
      <c r="C45" s="55"/>
      <c r="D45" s="144"/>
      <c r="E45" s="55"/>
      <c r="F45" s="149"/>
    </row>
    <row r="46" spans="3:6" customFormat="1" x14ac:dyDescent="0.3">
      <c r="C46" s="55"/>
      <c r="D46" s="144"/>
      <c r="E46" s="55"/>
      <c r="F46" s="149"/>
    </row>
    <row r="47" spans="3:6" customFormat="1" x14ac:dyDescent="0.3">
      <c r="C47" s="55"/>
      <c r="D47" s="144"/>
      <c r="E47" s="55"/>
      <c r="F47" s="149"/>
    </row>
    <row r="48" spans="3:6" customFormat="1" x14ac:dyDescent="0.3">
      <c r="C48" s="55"/>
      <c r="D48" s="144"/>
      <c r="E48" s="55"/>
      <c r="F48" s="149"/>
    </row>
    <row r="49" spans="3:6" customFormat="1" x14ac:dyDescent="0.3">
      <c r="C49" s="55"/>
      <c r="D49" s="144"/>
      <c r="E49" s="55"/>
      <c r="F49" s="149"/>
    </row>
    <row r="50" spans="3:6" customFormat="1" x14ac:dyDescent="0.3">
      <c r="C50" s="55"/>
      <c r="D50" s="144"/>
      <c r="E50" s="55"/>
      <c r="F50" s="149"/>
    </row>
    <row r="51" spans="3:6" customFormat="1" x14ac:dyDescent="0.3">
      <c r="C51" s="55"/>
      <c r="D51" s="144"/>
      <c r="E51" s="55"/>
      <c r="F51" s="149"/>
    </row>
    <row r="52" spans="3:6" customFormat="1" x14ac:dyDescent="0.3">
      <c r="C52" s="55"/>
      <c r="D52" s="144"/>
      <c r="E52" s="55"/>
      <c r="F52" s="149"/>
    </row>
    <row r="53" spans="3:6" customFormat="1" x14ac:dyDescent="0.3">
      <c r="C53" s="55"/>
      <c r="D53" s="144"/>
      <c r="E53" s="55"/>
      <c r="F53" s="149"/>
    </row>
    <row r="54" spans="3:6" customFormat="1" x14ac:dyDescent="0.3">
      <c r="C54" s="55"/>
      <c r="D54" s="144"/>
      <c r="E54" s="55"/>
      <c r="F54" s="149"/>
    </row>
    <row r="55" spans="3:6" customFormat="1" x14ac:dyDescent="0.3">
      <c r="C55" s="55"/>
      <c r="D55" s="144"/>
      <c r="E55" s="55"/>
      <c r="F55" s="149"/>
    </row>
    <row r="56" spans="3:6" customFormat="1" x14ac:dyDescent="0.3">
      <c r="C56" s="55"/>
      <c r="D56" s="144"/>
      <c r="E56" s="55"/>
      <c r="F56" s="149"/>
    </row>
    <row r="57" spans="3:6" customFormat="1" x14ac:dyDescent="0.3">
      <c r="C57" s="55"/>
      <c r="D57" s="144"/>
      <c r="E57" s="55"/>
      <c r="F57" s="149"/>
    </row>
    <row r="58" spans="3:6" customFormat="1" x14ac:dyDescent="0.3">
      <c r="C58" s="55"/>
      <c r="D58" s="144"/>
      <c r="E58" s="55"/>
      <c r="F58" s="149"/>
    </row>
    <row r="59" spans="3:6" customFormat="1" x14ac:dyDescent="0.3">
      <c r="C59" s="55"/>
      <c r="D59" s="144"/>
      <c r="E59" s="55"/>
      <c r="F59" s="149"/>
    </row>
    <row r="60" spans="3:6" customFormat="1" x14ac:dyDescent="0.3">
      <c r="C60" s="55"/>
      <c r="D60" s="144"/>
      <c r="E60" s="55"/>
      <c r="F60" s="149"/>
    </row>
    <row r="61" spans="3:6" customFormat="1" x14ac:dyDescent="0.3">
      <c r="C61" s="55"/>
      <c r="D61" s="144"/>
      <c r="E61" s="55"/>
      <c r="F61" s="149"/>
    </row>
    <row r="62" spans="3:6" customFormat="1" x14ac:dyDescent="0.3">
      <c r="C62" s="55"/>
      <c r="D62" s="144"/>
      <c r="E62" s="55"/>
      <c r="F62" s="149"/>
    </row>
    <row r="63" spans="3:6" customFormat="1" x14ac:dyDescent="0.3">
      <c r="C63" s="55"/>
      <c r="D63" s="144"/>
      <c r="E63" s="55"/>
      <c r="F63" s="149"/>
    </row>
    <row r="64" spans="3:6" customFormat="1" x14ac:dyDescent="0.3">
      <c r="C64" s="55"/>
      <c r="D64" s="144"/>
      <c r="E64" s="55"/>
      <c r="F64" s="149"/>
    </row>
    <row r="65" spans="3:6" customFormat="1" x14ac:dyDescent="0.3">
      <c r="C65" s="55"/>
      <c r="D65" s="144"/>
      <c r="E65" s="55"/>
      <c r="F65" s="149"/>
    </row>
    <row r="66" spans="3:6" customFormat="1" x14ac:dyDescent="0.3">
      <c r="C66" s="55"/>
      <c r="D66" s="144"/>
      <c r="E66" s="55"/>
      <c r="F66" s="149"/>
    </row>
    <row r="67" spans="3:6" customFormat="1" x14ac:dyDescent="0.3">
      <c r="C67" s="55"/>
      <c r="D67" s="144"/>
      <c r="E67" s="55"/>
      <c r="F67" s="149"/>
    </row>
    <row r="68" spans="3:6" customFormat="1" x14ac:dyDescent="0.3">
      <c r="C68" s="55"/>
      <c r="D68" s="144"/>
      <c r="E68" s="55"/>
      <c r="F68" s="149"/>
    </row>
    <row r="69" spans="3:6" customFormat="1" x14ac:dyDescent="0.3">
      <c r="C69" s="55"/>
      <c r="D69" s="144"/>
      <c r="E69" s="55"/>
      <c r="F69" s="149"/>
    </row>
    <row r="70" spans="3:6" customFormat="1" x14ac:dyDescent="0.3">
      <c r="C70" s="55"/>
      <c r="D70" s="144"/>
      <c r="E70" s="55"/>
      <c r="F70" s="149"/>
    </row>
    <row r="71" spans="3:6" customFormat="1" x14ac:dyDescent="0.3">
      <c r="C71" s="55"/>
      <c r="D71" s="144"/>
      <c r="E71" s="55"/>
      <c r="F71" s="149"/>
    </row>
    <row r="72" spans="3:6" customFormat="1" x14ac:dyDescent="0.3">
      <c r="C72" s="55"/>
      <c r="D72" s="144"/>
      <c r="E72" s="55"/>
      <c r="F72" s="149"/>
    </row>
    <row r="73" spans="3:6" customFormat="1" x14ac:dyDescent="0.3">
      <c r="C73" s="55"/>
      <c r="D73" s="144"/>
      <c r="E73" s="55"/>
      <c r="F73" s="149"/>
    </row>
    <row r="74" spans="3:6" customFormat="1" x14ac:dyDescent="0.3">
      <c r="C74" s="55"/>
      <c r="D74" s="144"/>
      <c r="E74" s="55"/>
      <c r="F74" s="149"/>
    </row>
    <row r="75" spans="3:6" customFormat="1" x14ac:dyDescent="0.3">
      <c r="C75" s="55"/>
      <c r="D75" s="144"/>
      <c r="E75" s="55"/>
      <c r="F75" s="149"/>
    </row>
    <row r="76" spans="3:6" customFormat="1" x14ac:dyDescent="0.3">
      <c r="C76" s="55"/>
      <c r="D76" s="144"/>
      <c r="E76" s="55"/>
      <c r="F76" s="149"/>
    </row>
    <row r="77" spans="3:6" customFormat="1" x14ac:dyDescent="0.3">
      <c r="C77" s="55"/>
      <c r="D77" s="144"/>
      <c r="E77" s="55"/>
      <c r="F77" s="149"/>
    </row>
    <row r="78" spans="3:6" customFormat="1" x14ac:dyDescent="0.3">
      <c r="C78" s="55"/>
      <c r="D78" s="144"/>
      <c r="E78" s="55"/>
      <c r="F78" s="149"/>
    </row>
    <row r="79" spans="3:6" customFormat="1" x14ac:dyDescent="0.3">
      <c r="C79" s="55"/>
      <c r="D79" s="144"/>
      <c r="E79" s="55"/>
      <c r="F79" s="149"/>
    </row>
    <row r="80" spans="3:6" customFormat="1" x14ac:dyDescent="0.3">
      <c r="C80" s="55"/>
      <c r="D80" s="144"/>
      <c r="E80" s="55"/>
      <c r="F80" s="149"/>
    </row>
    <row r="81" spans="3:6" customFormat="1" x14ac:dyDescent="0.3">
      <c r="C81" s="55"/>
      <c r="D81" s="144"/>
      <c r="E81" s="55"/>
      <c r="F81" s="149"/>
    </row>
    <row r="82" spans="3:6" customFormat="1" x14ac:dyDescent="0.3">
      <c r="C82" s="55"/>
      <c r="D82" s="144"/>
      <c r="E82" s="55"/>
      <c r="F82" s="149"/>
    </row>
    <row r="83" spans="3:6" customFormat="1" x14ac:dyDescent="0.3">
      <c r="C83" s="55"/>
      <c r="D83" s="144"/>
      <c r="E83" s="55"/>
      <c r="F83" s="149"/>
    </row>
    <row r="84" spans="3:6" customFormat="1" x14ac:dyDescent="0.3">
      <c r="C84" s="55"/>
      <c r="D84" s="144"/>
      <c r="E84" s="55"/>
      <c r="F84" s="149"/>
    </row>
    <row r="85" spans="3:6" customFormat="1" x14ac:dyDescent="0.3">
      <c r="C85" s="55"/>
      <c r="D85" s="144"/>
      <c r="E85" s="55"/>
      <c r="F85" s="149"/>
    </row>
    <row r="86" spans="3:6" customFormat="1" x14ac:dyDescent="0.3">
      <c r="C86" s="55"/>
      <c r="D86" s="144"/>
      <c r="E86" s="55"/>
      <c r="F86" s="149"/>
    </row>
    <row r="87" spans="3:6" customFormat="1" x14ac:dyDescent="0.3">
      <c r="C87" s="55"/>
      <c r="D87" s="144"/>
      <c r="E87" s="55"/>
      <c r="F87" s="149"/>
    </row>
    <row r="88" spans="3:6" customFormat="1" x14ac:dyDescent="0.3">
      <c r="C88" s="55"/>
      <c r="D88" s="144"/>
      <c r="E88" s="55"/>
      <c r="F88" s="149"/>
    </row>
    <row r="89" spans="3:6" customFormat="1" x14ac:dyDescent="0.3">
      <c r="C89" s="55"/>
      <c r="D89" s="144"/>
      <c r="E89" s="55"/>
      <c r="F89" s="149"/>
    </row>
    <row r="90" spans="3:6" customFormat="1" x14ac:dyDescent="0.3">
      <c r="C90" s="55"/>
      <c r="D90" s="144"/>
      <c r="E90" s="55"/>
      <c r="F90" s="149"/>
    </row>
    <row r="91" spans="3:6" customFormat="1" x14ac:dyDescent="0.3">
      <c r="C91" s="55"/>
      <c r="D91" s="144"/>
      <c r="E91" s="55"/>
      <c r="F91" s="149"/>
    </row>
    <row r="92" spans="3:6" customFormat="1" x14ac:dyDescent="0.3">
      <c r="C92" s="55"/>
      <c r="D92" s="144"/>
      <c r="E92" s="55"/>
      <c r="F92" s="149"/>
    </row>
    <row r="93" spans="3:6" customFormat="1" x14ac:dyDescent="0.3">
      <c r="C93" s="55"/>
      <c r="D93" s="144"/>
      <c r="E93" s="55"/>
      <c r="F93" s="149"/>
    </row>
    <row r="94" spans="3:6" customFormat="1" x14ac:dyDescent="0.3">
      <c r="C94" s="55"/>
      <c r="D94" s="144"/>
      <c r="E94" s="55"/>
      <c r="F94" s="149"/>
    </row>
    <row r="95" spans="3:6" customFormat="1" x14ac:dyDescent="0.3">
      <c r="C95" s="55"/>
      <c r="D95" s="144"/>
      <c r="E95" s="55"/>
      <c r="F95" s="149"/>
    </row>
    <row r="96" spans="3:6" customFormat="1" x14ac:dyDescent="0.3">
      <c r="C96" s="55"/>
      <c r="D96" s="144"/>
      <c r="E96" s="55"/>
      <c r="F96" s="149"/>
    </row>
    <row r="97" spans="3:6" customFormat="1" x14ac:dyDescent="0.3">
      <c r="C97" s="55"/>
      <c r="D97" s="144"/>
      <c r="E97" s="55"/>
      <c r="F97" s="149"/>
    </row>
    <row r="98" spans="3:6" customFormat="1" x14ac:dyDescent="0.3">
      <c r="C98" s="55"/>
      <c r="D98" s="144"/>
      <c r="E98" s="55"/>
      <c r="F98" s="149"/>
    </row>
    <row r="99" spans="3:6" customFormat="1" x14ac:dyDescent="0.3">
      <c r="C99" s="55"/>
      <c r="D99" s="144"/>
      <c r="E99" s="55"/>
      <c r="F99" s="149"/>
    </row>
    <row r="100" spans="3:6" customFormat="1" x14ac:dyDescent="0.3">
      <c r="C100" s="55"/>
      <c r="D100" s="144"/>
      <c r="E100" s="55"/>
      <c r="F100" s="149"/>
    </row>
    <row r="101" spans="3:6" customFormat="1" x14ac:dyDescent="0.3">
      <c r="C101" s="55"/>
      <c r="D101" s="144"/>
      <c r="E101" s="55"/>
      <c r="F101" s="149"/>
    </row>
    <row r="102" spans="3:6" customFormat="1" x14ac:dyDescent="0.3">
      <c r="C102" s="55"/>
      <c r="D102" s="144"/>
      <c r="E102" s="55"/>
      <c r="F102" s="149"/>
    </row>
    <row r="103" spans="3:6" customFormat="1" x14ac:dyDescent="0.3">
      <c r="C103" s="55"/>
      <c r="D103" s="144"/>
      <c r="E103" s="55"/>
      <c r="F103" s="149"/>
    </row>
    <row r="104" spans="3:6" customFormat="1" x14ac:dyDescent="0.3">
      <c r="C104" s="55"/>
      <c r="D104" s="144"/>
      <c r="E104" s="55"/>
      <c r="F104" s="149"/>
    </row>
    <row r="105" spans="3:6" customFormat="1" x14ac:dyDescent="0.3">
      <c r="C105" s="55"/>
      <c r="D105" s="144"/>
      <c r="E105" s="55"/>
      <c r="F105" s="149"/>
    </row>
    <row r="106" spans="3:6" customFormat="1" x14ac:dyDescent="0.3">
      <c r="C106" s="55"/>
      <c r="D106" s="144"/>
      <c r="E106" s="55"/>
      <c r="F106" s="149"/>
    </row>
    <row r="107" spans="3:6" customFormat="1" x14ac:dyDescent="0.3">
      <c r="C107" s="55"/>
      <c r="D107" s="144"/>
      <c r="E107" s="55"/>
      <c r="F107" s="149"/>
    </row>
    <row r="108" spans="3:6" customFormat="1" x14ac:dyDescent="0.3">
      <c r="C108" s="55"/>
      <c r="D108" s="144"/>
      <c r="E108" s="55"/>
      <c r="F108" s="149"/>
    </row>
    <row r="109" spans="3:6" customFormat="1" x14ac:dyDescent="0.3">
      <c r="C109" s="55"/>
      <c r="D109" s="144"/>
      <c r="E109" s="55"/>
      <c r="F109" s="149"/>
    </row>
    <row r="110" spans="3:6" customFormat="1" x14ac:dyDescent="0.3">
      <c r="C110" s="55"/>
      <c r="D110" s="144"/>
      <c r="E110" s="55"/>
      <c r="F110" s="149"/>
    </row>
    <row r="111" spans="3:6" customFormat="1" x14ac:dyDescent="0.3">
      <c r="C111" s="55"/>
      <c r="D111" s="144"/>
      <c r="E111" s="55"/>
      <c r="F111" s="149"/>
    </row>
    <row r="112" spans="3:6" customFormat="1" x14ac:dyDescent="0.3">
      <c r="C112" s="55"/>
      <c r="D112" s="144"/>
      <c r="E112" s="55"/>
      <c r="F112" s="149"/>
    </row>
    <row r="113" spans="3:6" customFormat="1" x14ac:dyDescent="0.3">
      <c r="C113" s="55"/>
      <c r="D113" s="144"/>
      <c r="E113" s="55"/>
      <c r="F113" s="149"/>
    </row>
    <row r="114" spans="3:6" customFormat="1" x14ac:dyDescent="0.3">
      <c r="C114" s="55"/>
      <c r="D114" s="144"/>
      <c r="E114" s="55"/>
      <c r="F114" s="149"/>
    </row>
    <row r="115" spans="3:6" customFormat="1" x14ac:dyDescent="0.3">
      <c r="C115" s="55"/>
      <c r="D115" s="144"/>
      <c r="E115" s="55"/>
      <c r="F115" s="149"/>
    </row>
    <row r="116" spans="3:6" customFormat="1" x14ac:dyDescent="0.3">
      <c r="C116" s="55"/>
      <c r="D116" s="144"/>
      <c r="E116" s="55"/>
      <c r="F116" s="149"/>
    </row>
    <row r="117" spans="3:6" customFormat="1" x14ac:dyDescent="0.3">
      <c r="C117" s="55"/>
      <c r="D117" s="144"/>
      <c r="E117" s="55"/>
      <c r="F117" s="149"/>
    </row>
    <row r="118" spans="3:6" customFormat="1" x14ac:dyDescent="0.3">
      <c r="C118" s="55"/>
      <c r="D118" s="144"/>
      <c r="E118" s="55"/>
      <c r="F118" s="149"/>
    </row>
    <row r="119" spans="3:6" customFormat="1" x14ac:dyDescent="0.3">
      <c r="C119" s="55"/>
      <c r="D119" s="144"/>
      <c r="E119" s="55"/>
      <c r="F119" s="149"/>
    </row>
    <row r="120" spans="3:6" customFormat="1" x14ac:dyDescent="0.3">
      <c r="C120" s="55"/>
      <c r="D120" s="144"/>
      <c r="E120" s="55"/>
      <c r="F120" s="149"/>
    </row>
    <row r="121" spans="3:6" customFormat="1" x14ac:dyDescent="0.3">
      <c r="C121" s="55"/>
      <c r="D121" s="144"/>
      <c r="E121" s="55"/>
      <c r="F121" s="149"/>
    </row>
    <row r="122" spans="3:6" customFormat="1" x14ac:dyDescent="0.3">
      <c r="C122" s="55"/>
      <c r="D122" s="144"/>
      <c r="E122" s="55"/>
      <c r="F122" s="149"/>
    </row>
    <row r="123" spans="3:6" customFormat="1" x14ac:dyDescent="0.3">
      <c r="C123" s="55"/>
      <c r="D123" s="144"/>
      <c r="E123" s="55"/>
      <c r="F123" s="149"/>
    </row>
    <row r="124" spans="3:6" customFormat="1" x14ac:dyDescent="0.3">
      <c r="C124" s="55"/>
      <c r="D124" s="144"/>
      <c r="E124" s="55"/>
      <c r="F124" s="149"/>
    </row>
    <row r="125" spans="3:6" customFormat="1" x14ac:dyDescent="0.3">
      <c r="C125" s="55"/>
      <c r="D125" s="144"/>
      <c r="E125" s="55"/>
      <c r="F125" s="149"/>
    </row>
    <row r="126" spans="3:6" customFormat="1" x14ac:dyDescent="0.3">
      <c r="C126" s="55"/>
      <c r="D126" s="144"/>
      <c r="E126" s="55"/>
      <c r="F126" s="149"/>
    </row>
    <row r="127" spans="3:6" customFormat="1" x14ac:dyDescent="0.3">
      <c r="C127" s="55"/>
      <c r="D127" s="144"/>
      <c r="E127" s="55"/>
      <c r="F127" s="149"/>
    </row>
    <row r="128" spans="3:6" customFormat="1" x14ac:dyDescent="0.3">
      <c r="C128" s="55"/>
      <c r="D128" s="144"/>
      <c r="E128" s="55"/>
      <c r="F128" s="149"/>
    </row>
    <row r="129" spans="3:6" customFormat="1" x14ac:dyDescent="0.3">
      <c r="C129" s="55"/>
      <c r="D129" s="144"/>
      <c r="E129" s="55"/>
      <c r="F129" s="149"/>
    </row>
    <row r="130" spans="3:6" customFormat="1" x14ac:dyDescent="0.3">
      <c r="C130" s="55"/>
      <c r="D130" s="144"/>
      <c r="E130" s="55"/>
      <c r="F130" s="149"/>
    </row>
    <row r="131" spans="3:6" customFormat="1" x14ac:dyDescent="0.3">
      <c r="C131" s="55"/>
      <c r="D131" s="144"/>
      <c r="E131" s="55"/>
      <c r="F131" s="149"/>
    </row>
    <row r="132" spans="3:6" customFormat="1" x14ac:dyDescent="0.3">
      <c r="C132" s="55"/>
      <c r="D132" s="144"/>
      <c r="E132" s="55"/>
      <c r="F132" s="149"/>
    </row>
    <row r="133" spans="3:6" customFormat="1" x14ac:dyDescent="0.3">
      <c r="C133" s="55"/>
      <c r="D133" s="144"/>
      <c r="E133" s="55"/>
      <c r="F133" s="149"/>
    </row>
    <row r="134" spans="3:6" customFormat="1" x14ac:dyDescent="0.3">
      <c r="C134" s="55"/>
      <c r="D134" s="144"/>
      <c r="E134" s="55"/>
      <c r="F134" s="149"/>
    </row>
    <row r="135" spans="3:6" customFormat="1" x14ac:dyDescent="0.3">
      <c r="C135" s="55"/>
      <c r="D135" s="144"/>
      <c r="E135" s="55"/>
      <c r="F135" s="149"/>
    </row>
    <row r="136" spans="3:6" customFormat="1" x14ac:dyDescent="0.3">
      <c r="C136" s="55"/>
      <c r="D136" s="144"/>
      <c r="E136" s="55"/>
      <c r="F136" s="149"/>
    </row>
    <row r="137" spans="3:6" customFormat="1" x14ac:dyDescent="0.3">
      <c r="C137" s="55"/>
      <c r="D137" s="144"/>
      <c r="E137" s="55"/>
      <c r="F137" s="149"/>
    </row>
    <row r="138" spans="3:6" customFormat="1" x14ac:dyDescent="0.3">
      <c r="C138" s="55"/>
      <c r="D138" s="144"/>
      <c r="E138" s="55"/>
      <c r="F138" s="149"/>
    </row>
    <row r="139" spans="3:6" customFormat="1" x14ac:dyDescent="0.3">
      <c r="C139" s="55"/>
      <c r="D139" s="144"/>
      <c r="E139" s="55"/>
      <c r="F139" s="149"/>
    </row>
    <row r="140" spans="3:6" customFormat="1" x14ac:dyDescent="0.3">
      <c r="C140" s="55"/>
      <c r="D140" s="144"/>
      <c r="E140" s="55"/>
      <c r="F140" s="149"/>
    </row>
    <row r="141" spans="3:6" customFormat="1" x14ac:dyDescent="0.3">
      <c r="C141" s="55"/>
      <c r="D141" s="144"/>
      <c r="E141" s="55"/>
      <c r="F141" s="149"/>
    </row>
    <row r="142" spans="3:6" customFormat="1" x14ac:dyDescent="0.3">
      <c r="C142" s="55"/>
      <c r="D142" s="144"/>
      <c r="E142" s="55"/>
      <c r="F142" s="149"/>
    </row>
    <row r="143" spans="3:6" customFormat="1" x14ac:dyDescent="0.3">
      <c r="C143" s="55"/>
      <c r="D143" s="144"/>
      <c r="E143" s="55"/>
      <c r="F143" s="149"/>
    </row>
    <row r="144" spans="3:6" customFormat="1" x14ac:dyDescent="0.3">
      <c r="C144" s="55"/>
      <c r="D144" s="144"/>
      <c r="E144" s="55"/>
      <c r="F144" s="149"/>
    </row>
    <row r="145" spans="3:6" customFormat="1" x14ac:dyDescent="0.3">
      <c r="C145" s="55"/>
      <c r="D145" s="144"/>
      <c r="E145" s="55"/>
      <c r="F145" s="149"/>
    </row>
    <row r="146" spans="3:6" customFormat="1" x14ac:dyDescent="0.3">
      <c r="C146" s="55"/>
      <c r="D146" s="144"/>
      <c r="E146" s="55"/>
      <c r="F146" s="149"/>
    </row>
    <row r="147" spans="3:6" customFormat="1" x14ac:dyDescent="0.3">
      <c r="C147" s="55"/>
      <c r="D147" s="144"/>
      <c r="E147" s="55"/>
      <c r="F147" s="149"/>
    </row>
    <row r="148" spans="3:6" customFormat="1" x14ac:dyDescent="0.3">
      <c r="C148" s="55"/>
      <c r="D148" s="144"/>
      <c r="E148" s="55"/>
      <c r="F148" s="149"/>
    </row>
    <row r="149" spans="3:6" customFormat="1" x14ac:dyDescent="0.3">
      <c r="C149" s="55"/>
      <c r="D149" s="144"/>
      <c r="E149" s="55"/>
      <c r="F149" s="149"/>
    </row>
    <row r="150" spans="3:6" customFormat="1" x14ac:dyDescent="0.3">
      <c r="C150" s="55"/>
      <c r="D150" s="144"/>
      <c r="E150" s="55"/>
      <c r="F150" s="149"/>
    </row>
    <row r="151" spans="3:6" customFormat="1" x14ac:dyDescent="0.3">
      <c r="C151" s="55"/>
      <c r="D151" s="144"/>
      <c r="E151" s="55"/>
      <c r="F151" s="149"/>
    </row>
    <row r="152" spans="3:6" customFormat="1" x14ac:dyDescent="0.3">
      <c r="C152" s="55"/>
      <c r="D152" s="144"/>
      <c r="E152" s="55"/>
      <c r="F152" s="149"/>
    </row>
    <row r="153" spans="3:6" customFormat="1" x14ac:dyDescent="0.3">
      <c r="C153" s="55"/>
      <c r="D153" s="144"/>
      <c r="E153" s="55"/>
      <c r="F153" s="149"/>
    </row>
    <row r="154" spans="3:6" customFormat="1" x14ac:dyDescent="0.3">
      <c r="C154" s="55"/>
      <c r="D154" s="144"/>
      <c r="E154" s="55"/>
      <c r="F154" s="149"/>
    </row>
    <row r="155" spans="3:6" customFormat="1" x14ac:dyDescent="0.3">
      <c r="C155" s="55"/>
      <c r="D155" s="144"/>
      <c r="E155" s="55"/>
      <c r="F155" s="149"/>
    </row>
    <row r="156" spans="3:6" customFormat="1" x14ac:dyDescent="0.3">
      <c r="C156" s="55"/>
      <c r="D156" s="144"/>
      <c r="E156" s="55"/>
      <c r="F156" s="149"/>
    </row>
    <row r="157" spans="3:6" customFormat="1" x14ac:dyDescent="0.3">
      <c r="C157" s="55"/>
      <c r="D157" s="144"/>
      <c r="E157" s="55"/>
      <c r="F157" s="149"/>
    </row>
    <row r="158" spans="3:6" customFormat="1" x14ac:dyDescent="0.3">
      <c r="C158" s="55"/>
      <c r="D158" s="144"/>
      <c r="E158" s="55"/>
      <c r="F158" s="149"/>
    </row>
    <row r="159" spans="3:6" customFormat="1" x14ac:dyDescent="0.3">
      <c r="C159" s="55"/>
      <c r="D159" s="144"/>
      <c r="E159" s="55"/>
      <c r="F159" s="149"/>
    </row>
    <row r="160" spans="3:6" customFormat="1" x14ac:dyDescent="0.3">
      <c r="C160" s="55"/>
      <c r="D160" s="144"/>
      <c r="E160" s="55"/>
      <c r="F160" s="149"/>
    </row>
    <row r="161" spans="3:6" customFormat="1" x14ac:dyDescent="0.3">
      <c r="C161" s="55"/>
      <c r="D161" s="144"/>
      <c r="E161" s="55"/>
      <c r="F161" s="149"/>
    </row>
    <row r="162" spans="3:6" customFormat="1" x14ac:dyDescent="0.3">
      <c r="C162" s="55"/>
      <c r="D162" s="144"/>
      <c r="E162" s="55"/>
      <c r="F162" s="149"/>
    </row>
    <row r="163" spans="3:6" customFormat="1" x14ac:dyDescent="0.3">
      <c r="C163" s="55"/>
      <c r="D163" s="144"/>
      <c r="E163" s="55"/>
      <c r="F163" s="149"/>
    </row>
    <row r="164" spans="3:6" customFormat="1" x14ac:dyDescent="0.3">
      <c r="C164" s="55"/>
      <c r="D164" s="144"/>
      <c r="E164" s="55"/>
      <c r="F164" s="149"/>
    </row>
    <row r="165" spans="3:6" customFormat="1" x14ac:dyDescent="0.3">
      <c r="C165" s="55"/>
      <c r="D165" s="144"/>
      <c r="E165" s="55"/>
      <c r="F165" s="149"/>
    </row>
    <row r="166" spans="3:6" customFormat="1" x14ac:dyDescent="0.3">
      <c r="C166" s="55"/>
      <c r="D166" s="144"/>
      <c r="E166" s="55"/>
      <c r="F166" s="149"/>
    </row>
    <row r="167" spans="3:6" customFormat="1" x14ac:dyDescent="0.3">
      <c r="C167" s="55"/>
      <c r="D167" s="144"/>
      <c r="E167" s="55"/>
      <c r="F167" s="149"/>
    </row>
    <row r="168" spans="3:6" customFormat="1" x14ac:dyDescent="0.3">
      <c r="C168" s="55"/>
      <c r="D168" s="144"/>
      <c r="E168" s="55"/>
      <c r="F168" s="149"/>
    </row>
    <row r="169" spans="3:6" customFormat="1" x14ac:dyDescent="0.3">
      <c r="C169" s="55"/>
      <c r="D169" s="144"/>
      <c r="E169" s="55"/>
      <c r="F169" s="149"/>
    </row>
    <row r="170" spans="3:6" customFormat="1" x14ac:dyDescent="0.3">
      <c r="C170" s="55"/>
      <c r="D170" s="144"/>
      <c r="E170" s="55"/>
      <c r="F170" s="149"/>
    </row>
    <row r="171" spans="3:6" customFormat="1" x14ac:dyDescent="0.3">
      <c r="C171" s="55"/>
      <c r="D171" s="144"/>
      <c r="E171" s="55"/>
      <c r="F171" s="149"/>
    </row>
    <row r="172" spans="3:6" customFormat="1" x14ac:dyDescent="0.3">
      <c r="C172" s="55"/>
      <c r="D172" s="144"/>
      <c r="E172" s="55"/>
      <c r="F172" s="149"/>
    </row>
    <row r="173" spans="3:6" customFormat="1" x14ac:dyDescent="0.3">
      <c r="C173" s="55"/>
      <c r="D173" s="144"/>
      <c r="E173" s="55"/>
      <c r="F173" s="149"/>
    </row>
    <row r="174" spans="3:6" customFormat="1" x14ac:dyDescent="0.3">
      <c r="C174" s="55"/>
      <c r="D174" s="144"/>
      <c r="E174" s="55"/>
      <c r="F174" s="149"/>
    </row>
    <row r="175" spans="3:6" customFormat="1" x14ac:dyDescent="0.3">
      <c r="C175" s="55"/>
      <c r="D175" s="144"/>
      <c r="E175" s="55"/>
      <c r="F175" s="149"/>
    </row>
    <row r="176" spans="3:6" customFormat="1" x14ac:dyDescent="0.3">
      <c r="C176" s="55"/>
      <c r="D176" s="144"/>
      <c r="E176" s="55"/>
      <c r="F176" s="149"/>
    </row>
    <row r="177" spans="3:6" customFormat="1" x14ac:dyDescent="0.3">
      <c r="C177" s="55"/>
      <c r="D177" s="144"/>
      <c r="E177" s="55"/>
      <c r="F177" s="149"/>
    </row>
    <row r="178" spans="3:6" customFormat="1" x14ac:dyDescent="0.3">
      <c r="C178" s="55"/>
      <c r="D178" s="144"/>
      <c r="E178" s="55"/>
      <c r="F178" s="149"/>
    </row>
    <row r="179" spans="3:6" customFormat="1" x14ac:dyDescent="0.3">
      <c r="C179" s="55"/>
      <c r="D179" s="144"/>
      <c r="E179" s="55"/>
      <c r="F179" s="149"/>
    </row>
    <row r="180" spans="3:6" customFormat="1" x14ac:dyDescent="0.3">
      <c r="C180" s="55"/>
      <c r="D180" s="144"/>
      <c r="E180" s="55"/>
      <c r="F180" s="149"/>
    </row>
    <row r="181" spans="3:6" customFormat="1" x14ac:dyDescent="0.3">
      <c r="C181" s="55"/>
      <c r="D181" s="144"/>
      <c r="E181" s="55"/>
      <c r="F181" s="149"/>
    </row>
    <row r="182" spans="3:6" customFormat="1" x14ac:dyDescent="0.3">
      <c r="C182" s="55"/>
      <c r="D182" s="144"/>
      <c r="E182" s="55"/>
      <c r="F182" s="149"/>
    </row>
    <row r="183" spans="3:6" customFormat="1" x14ac:dyDescent="0.3">
      <c r="C183" s="55"/>
      <c r="D183" s="144"/>
      <c r="E183" s="55"/>
      <c r="F183" s="149"/>
    </row>
    <row r="184" spans="3:6" customFormat="1" x14ac:dyDescent="0.3">
      <c r="C184" s="55"/>
      <c r="D184" s="144"/>
      <c r="E184" s="55"/>
      <c r="F184" s="149"/>
    </row>
    <row r="185" spans="3:6" customFormat="1" x14ac:dyDescent="0.3">
      <c r="C185" s="55"/>
      <c r="D185" s="144"/>
      <c r="E185" s="55"/>
      <c r="F185" s="149"/>
    </row>
    <row r="186" spans="3:6" customFormat="1" x14ac:dyDescent="0.3">
      <c r="C186" s="55"/>
      <c r="D186" s="144"/>
      <c r="E186" s="55"/>
      <c r="F186" s="149"/>
    </row>
    <row r="187" spans="3:6" customFormat="1" x14ac:dyDescent="0.3">
      <c r="C187" s="55"/>
      <c r="D187" s="144"/>
      <c r="E187" s="55"/>
      <c r="F187" s="149"/>
    </row>
    <row r="188" spans="3:6" customFormat="1" x14ac:dyDescent="0.3">
      <c r="C188" s="55"/>
      <c r="D188" s="144"/>
      <c r="E188" s="55"/>
      <c r="F188" s="149"/>
    </row>
    <row r="189" spans="3:6" customFormat="1" x14ac:dyDescent="0.3">
      <c r="C189" s="55"/>
      <c r="D189" s="144"/>
      <c r="E189" s="55"/>
      <c r="F189" s="149"/>
    </row>
    <row r="190" spans="3:6" customFormat="1" x14ac:dyDescent="0.3">
      <c r="C190" s="55"/>
      <c r="D190" s="144"/>
      <c r="E190" s="55"/>
      <c r="F190" s="149"/>
    </row>
    <row r="191" spans="3:6" customFormat="1" x14ac:dyDescent="0.3">
      <c r="C191" s="55"/>
      <c r="D191" s="144"/>
      <c r="E191" s="55"/>
      <c r="F191" s="149"/>
    </row>
    <row r="192" spans="3:6" customFormat="1" x14ac:dyDescent="0.3">
      <c r="C192" s="55"/>
      <c r="D192" s="144"/>
      <c r="E192" s="55"/>
      <c r="F192" s="149"/>
    </row>
    <row r="193" spans="3:6" customFormat="1" x14ac:dyDescent="0.3">
      <c r="C193" s="55"/>
      <c r="D193" s="144"/>
      <c r="E193" s="55"/>
      <c r="F193" s="149"/>
    </row>
    <row r="194" spans="3:6" customFormat="1" x14ac:dyDescent="0.3">
      <c r="C194" s="55"/>
      <c r="D194" s="144"/>
      <c r="E194" s="55"/>
      <c r="F194" s="149"/>
    </row>
    <row r="195" spans="3:6" customFormat="1" x14ac:dyDescent="0.3">
      <c r="C195" s="55"/>
      <c r="D195" s="144"/>
      <c r="E195" s="55"/>
      <c r="F195" s="149"/>
    </row>
    <row r="196" spans="3:6" customFormat="1" x14ac:dyDescent="0.3">
      <c r="C196" s="55"/>
      <c r="D196" s="144"/>
      <c r="E196" s="55"/>
      <c r="F196" s="149"/>
    </row>
    <row r="197" spans="3:6" customFormat="1" x14ac:dyDescent="0.3">
      <c r="C197" s="55"/>
      <c r="D197" s="144"/>
      <c r="E197" s="55"/>
      <c r="F197" s="149"/>
    </row>
    <row r="198" spans="3:6" customFormat="1" x14ac:dyDescent="0.3">
      <c r="C198" s="55"/>
      <c r="D198" s="144"/>
      <c r="E198" s="55"/>
      <c r="F198" s="149"/>
    </row>
    <row r="199" spans="3:6" customFormat="1" x14ac:dyDescent="0.3">
      <c r="C199" s="55"/>
      <c r="D199" s="144"/>
      <c r="E199" s="55"/>
      <c r="F199" s="149"/>
    </row>
    <row r="200" spans="3:6" customFormat="1" x14ac:dyDescent="0.3">
      <c r="C200" s="55"/>
      <c r="D200" s="144"/>
      <c r="E200" s="55"/>
      <c r="F200" s="149"/>
    </row>
    <row r="201" spans="3:6" customFormat="1" x14ac:dyDescent="0.3">
      <c r="C201" s="55"/>
      <c r="D201" s="144"/>
      <c r="E201" s="55"/>
      <c r="F201" s="149"/>
    </row>
    <row r="202" spans="3:6" customFormat="1" x14ac:dyDescent="0.3">
      <c r="C202" s="55"/>
      <c r="D202" s="144"/>
      <c r="E202" s="55"/>
      <c r="F202" s="149"/>
    </row>
    <row r="203" spans="3:6" customFormat="1" x14ac:dyDescent="0.3">
      <c r="C203" s="55"/>
      <c r="D203" s="144"/>
      <c r="E203" s="55"/>
      <c r="F203" s="149"/>
    </row>
    <row r="204" spans="3:6" customFormat="1" x14ac:dyDescent="0.3">
      <c r="C204" s="55"/>
      <c r="D204" s="144"/>
      <c r="E204" s="55"/>
      <c r="F204" s="149"/>
    </row>
    <row r="205" spans="3:6" customFormat="1" x14ac:dyDescent="0.3">
      <c r="C205" s="55"/>
      <c r="D205" s="144"/>
      <c r="E205" s="55"/>
      <c r="F205" s="149"/>
    </row>
    <row r="206" spans="3:6" customFormat="1" x14ac:dyDescent="0.3">
      <c r="C206" s="55"/>
      <c r="D206" s="144"/>
      <c r="E206" s="55"/>
      <c r="F206" s="149"/>
    </row>
    <row r="207" spans="3:6" customFormat="1" x14ac:dyDescent="0.3">
      <c r="C207" s="55"/>
      <c r="D207" s="144"/>
      <c r="E207" s="55"/>
      <c r="F207" s="149"/>
    </row>
    <row r="208" spans="3:6" customFormat="1" x14ac:dyDescent="0.3">
      <c r="C208" s="55"/>
      <c r="D208" s="144"/>
      <c r="E208" s="55"/>
      <c r="F208" s="149"/>
    </row>
    <row r="209" spans="3:6" customFormat="1" x14ac:dyDescent="0.3">
      <c r="C209" s="55"/>
      <c r="D209" s="144"/>
      <c r="E209" s="55"/>
      <c r="F209" s="149"/>
    </row>
    <row r="210" spans="3:6" customFormat="1" x14ac:dyDescent="0.3">
      <c r="C210" s="55"/>
      <c r="D210" s="144"/>
      <c r="E210" s="55"/>
      <c r="F210" s="149"/>
    </row>
    <row r="211" spans="3:6" customFormat="1" x14ac:dyDescent="0.3">
      <c r="C211" s="55"/>
      <c r="D211" s="144"/>
      <c r="E211" s="55"/>
      <c r="F211" s="149"/>
    </row>
    <row r="212" spans="3:6" customFormat="1" x14ac:dyDescent="0.3">
      <c r="C212" s="55"/>
      <c r="D212" s="144"/>
      <c r="E212" s="55"/>
      <c r="F212" s="149"/>
    </row>
    <row r="213" spans="3:6" customFormat="1" x14ac:dyDescent="0.3">
      <c r="C213" s="55"/>
      <c r="D213" s="144"/>
      <c r="E213" s="55"/>
      <c r="F213" s="149"/>
    </row>
    <row r="214" spans="3:6" customFormat="1" x14ac:dyDescent="0.3">
      <c r="C214" s="55"/>
      <c r="D214" s="144"/>
      <c r="E214" s="55"/>
      <c r="F214" s="149"/>
    </row>
    <row r="215" spans="3:6" customFormat="1" x14ac:dyDescent="0.3">
      <c r="C215" s="55"/>
      <c r="D215" s="144"/>
      <c r="E215" s="55"/>
      <c r="F215" s="149"/>
    </row>
    <row r="216" spans="3:6" customFormat="1" x14ac:dyDescent="0.3">
      <c r="C216" s="55"/>
      <c r="D216" s="144"/>
      <c r="E216" s="55"/>
      <c r="F216" s="149"/>
    </row>
    <row r="217" spans="3:6" customFormat="1" x14ac:dyDescent="0.3">
      <c r="C217" s="55"/>
      <c r="D217" s="144"/>
      <c r="E217" s="55"/>
      <c r="F217" s="149"/>
    </row>
    <row r="218" spans="3:6" customFormat="1" x14ac:dyDescent="0.3">
      <c r="C218" s="55"/>
      <c r="D218" s="144"/>
      <c r="E218" s="55"/>
      <c r="F218" s="149"/>
    </row>
    <row r="219" spans="3:6" customFormat="1" x14ac:dyDescent="0.3">
      <c r="C219" s="55"/>
      <c r="D219" s="144"/>
      <c r="E219" s="55"/>
      <c r="F219" s="149"/>
    </row>
    <row r="220" spans="3:6" customFormat="1" x14ac:dyDescent="0.3">
      <c r="C220" s="55"/>
      <c r="D220" s="144"/>
      <c r="E220" s="55"/>
      <c r="F220" s="149"/>
    </row>
    <row r="221" spans="3:6" customFormat="1" x14ac:dyDescent="0.3">
      <c r="C221" s="55"/>
      <c r="D221" s="144"/>
      <c r="E221" s="55"/>
      <c r="F221" s="149"/>
    </row>
    <row r="222" spans="3:6" customFormat="1" x14ac:dyDescent="0.3">
      <c r="C222" s="55"/>
      <c r="D222" s="144"/>
      <c r="E222" s="55"/>
      <c r="F222" s="149"/>
    </row>
    <row r="223" spans="3:6" customFormat="1" x14ac:dyDescent="0.3">
      <c r="C223" s="55"/>
      <c r="D223" s="144"/>
      <c r="E223" s="55"/>
      <c r="F223" s="149"/>
    </row>
    <row r="224" spans="3:6" customFormat="1" x14ac:dyDescent="0.3">
      <c r="C224" s="55"/>
      <c r="D224" s="144"/>
      <c r="E224" s="55"/>
      <c r="F224" s="149"/>
    </row>
    <row r="225" spans="3:6" customFormat="1" x14ac:dyDescent="0.3">
      <c r="C225" s="55"/>
      <c r="D225" s="144"/>
      <c r="E225" s="55"/>
      <c r="F225" s="149"/>
    </row>
    <row r="226" spans="3:6" customFormat="1" x14ac:dyDescent="0.3">
      <c r="C226" s="55"/>
      <c r="D226" s="144"/>
      <c r="E226" s="55"/>
      <c r="F226" s="149"/>
    </row>
    <row r="227" spans="3:6" customFormat="1" x14ac:dyDescent="0.3">
      <c r="C227" s="55"/>
      <c r="D227" s="144"/>
      <c r="E227" s="55"/>
      <c r="F227" s="149"/>
    </row>
    <row r="228" spans="3:6" customFormat="1" x14ac:dyDescent="0.3">
      <c r="C228" s="55"/>
      <c r="D228" s="144"/>
      <c r="E228" s="55"/>
      <c r="F228" s="149"/>
    </row>
    <row r="229" spans="3:6" customFormat="1" x14ac:dyDescent="0.3">
      <c r="C229" s="55"/>
      <c r="D229" s="144"/>
      <c r="E229" s="55"/>
      <c r="F229" s="149"/>
    </row>
    <row r="230" spans="3:6" customFormat="1" x14ac:dyDescent="0.3">
      <c r="C230" s="55"/>
      <c r="D230" s="144"/>
      <c r="E230" s="55"/>
      <c r="F230" s="149"/>
    </row>
    <row r="231" spans="3:6" customFormat="1" x14ac:dyDescent="0.3">
      <c r="C231" s="55"/>
      <c r="D231" s="144"/>
      <c r="E231" s="55"/>
      <c r="F231" s="149"/>
    </row>
    <row r="232" spans="3:6" customFormat="1" x14ac:dyDescent="0.3">
      <c r="C232" s="55"/>
      <c r="D232" s="144"/>
      <c r="E232" s="55"/>
      <c r="F232" s="149"/>
    </row>
    <row r="233" spans="3:6" customFormat="1" x14ac:dyDescent="0.3">
      <c r="C233" s="55"/>
      <c r="D233" s="144"/>
      <c r="E233" s="55"/>
      <c r="F233" s="149"/>
    </row>
    <row r="234" spans="3:6" customFormat="1" x14ac:dyDescent="0.3">
      <c r="C234" s="55"/>
      <c r="D234" s="144"/>
      <c r="E234" s="55"/>
      <c r="F234" s="149"/>
    </row>
    <row r="235" spans="3:6" customFormat="1" x14ac:dyDescent="0.3">
      <c r="C235" s="55"/>
      <c r="D235" s="144"/>
      <c r="E235" s="55"/>
      <c r="F235" s="149"/>
    </row>
    <row r="236" spans="3:6" customFormat="1" x14ac:dyDescent="0.3">
      <c r="C236" s="55"/>
      <c r="D236" s="144"/>
      <c r="E236" s="55"/>
      <c r="F236" s="149"/>
    </row>
    <row r="237" spans="3:6" customFormat="1" x14ac:dyDescent="0.3">
      <c r="C237" s="55"/>
      <c r="D237" s="144"/>
      <c r="E237" s="55"/>
      <c r="F237" s="149"/>
    </row>
    <row r="238" spans="3:6" customFormat="1" x14ac:dyDescent="0.3">
      <c r="C238" s="55"/>
      <c r="D238" s="144"/>
      <c r="E238" s="55"/>
      <c r="F238" s="149"/>
    </row>
    <row r="239" spans="3:6" customFormat="1" x14ac:dyDescent="0.3">
      <c r="C239" s="55"/>
      <c r="D239" s="144"/>
      <c r="E239" s="55"/>
      <c r="F239" s="149"/>
    </row>
    <row r="240" spans="3:6" customFormat="1" x14ac:dyDescent="0.3">
      <c r="C240" s="55"/>
      <c r="D240" s="144"/>
      <c r="E240" s="55"/>
      <c r="F240" s="149"/>
    </row>
    <row r="241" spans="3:6" customFormat="1" x14ac:dyDescent="0.3">
      <c r="C241" s="55"/>
      <c r="D241" s="144"/>
      <c r="E241" s="55"/>
      <c r="F241" s="149"/>
    </row>
    <row r="242" spans="3:6" customFormat="1" x14ac:dyDescent="0.3">
      <c r="C242" s="55"/>
      <c r="D242" s="144"/>
      <c r="E242" s="55"/>
      <c r="F242" s="149"/>
    </row>
    <row r="243" spans="3:6" customFormat="1" x14ac:dyDescent="0.3">
      <c r="C243" s="55"/>
      <c r="D243" s="144"/>
      <c r="E243" s="55"/>
      <c r="F243" s="149"/>
    </row>
    <row r="244" spans="3:6" customFormat="1" x14ac:dyDescent="0.3">
      <c r="C244" s="55"/>
      <c r="D244" s="144"/>
      <c r="E244" s="55"/>
      <c r="F244" s="149"/>
    </row>
    <row r="245" spans="3:6" customFormat="1" x14ac:dyDescent="0.3">
      <c r="C245" s="55"/>
      <c r="D245" s="144"/>
      <c r="E245" s="55"/>
      <c r="F245" s="149"/>
    </row>
    <row r="246" spans="3:6" customFormat="1" x14ac:dyDescent="0.3">
      <c r="C246" s="55"/>
      <c r="D246" s="144"/>
      <c r="E246" s="55"/>
      <c r="F246" s="149"/>
    </row>
    <row r="247" spans="3:6" customFormat="1" x14ac:dyDescent="0.3">
      <c r="C247" s="55"/>
      <c r="D247" s="144"/>
      <c r="E247" s="55"/>
      <c r="F247" s="149"/>
    </row>
    <row r="248" spans="3:6" customFormat="1" x14ac:dyDescent="0.3">
      <c r="C248" s="55"/>
      <c r="D248" s="144"/>
      <c r="E248" s="55"/>
      <c r="F248" s="149"/>
    </row>
    <row r="249" spans="3:6" customFormat="1" x14ac:dyDescent="0.3">
      <c r="C249" s="55"/>
      <c r="D249" s="144"/>
      <c r="E249" s="55"/>
      <c r="F249" s="149"/>
    </row>
    <row r="250" spans="3:6" customFormat="1" x14ac:dyDescent="0.3">
      <c r="C250" s="55"/>
      <c r="D250" s="144"/>
      <c r="E250" s="55"/>
      <c r="F250" s="149"/>
    </row>
    <row r="251" spans="3:6" customFormat="1" x14ac:dyDescent="0.3">
      <c r="C251" s="55"/>
      <c r="D251" s="144"/>
      <c r="E251" s="55"/>
      <c r="F251" s="149"/>
    </row>
    <row r="252" spans="3:6" customFormat="1" x14ac:dyDescent="0.3">
      <c r="C252" s="55"/>
      <c r="D252" s="144"/>
      <c r="E252" s="55"/>
      <c r="F252" s="149"/>
    </row>
    <row r="253" spans="3:6" customFormat="1" x14ac:dyDescent="0.3">
      <c r="C253" s="55"/>
      <c r="D253" s="144"/>
      <c r="E253" s="55"/>
      <c r="F253" s="149"/>
    </row>
    <row r="254" spans="3:6" customFormat="1" x14ac:dyDescent="0.3">
      <c r="C254" s="55"/>
      <c r="D254" s="144"/>
      <c r="E254" s="55"/>
      <c r="F254" s="149"/>
    </row>
    <row r="255" spans="3:6" customFormat="1" x14ac:dyDescent="0.3">
      <c r="C255" s="55"/>
      <c r="D255" s="144"/>
      <c r="E255" s="55"/>
      <c r="F255" s="149"/>
    </row>
    <row r="256" spans="3:6" customFormat="1" x14ac:dyDescent="0.3">
      <c r="C256" s="55"/>
      <c r="D256" s="144"/>
      <c r="E256" s="55"/>
      <c r="F256" s="149"/>
    </row>
    <row r="257" spans="3:6" customFormat="1" x14ac:dyDescent="0.3">
      <c r="C257" s="55"/>
      <c r="D257" s="144"/>
      <c r="E257" s="55"/>
      <c r="F257" s="149"/>
    </row>
    <row r="258" spans="3:6" customFormat="1" x14ac:dyDescent="0.3">
      <c r="C258" s="55"/>
      <c r="D258" s="144"/>
      <c r="E258" s="55"/>
      <c r="F258" s="149"/>
    </row>
    <row r="259" spans="3:6" customFormat="1" x14ac:dyDescent="0.3">
      <c r="C259" s="55"/>
      <c r="D259" s="144"/>
      <c r="E259" s="55"/>
      <c r="F259" s="149"/>
    </row>
    <row r="260" spans="3:6" customFormat="1" x14ac:dyDescent="0.3">
      <c r="C260" s="55"/>
      <c r="D260" s="144"/>
      <c r="E260" s="55"/>
      <c r="F260" s="149"/>
    </row>
    <row r="261" spans="3:6" customFormat="1" x14ac:dyDescent="0.3">
      <c r="C261" s="55"/>
      <c r="D261" s="144"/>
      <c r="E261" s="55"/>
      <c r="F261" s="149"/>
    </row>
    <row r="262" spans="3:6" customFormat="1" x14ac:dyDescent="0.3">
      <c r="C262" s="55"/>
      <c r="D262" s="144"/>
      <c r="E262" s="55"/>
      <c r="F262" s="149"/>
    </row>
    <row r="263" spans="3:6" customFormat="1" x14ac:dyDescent="0.3">
      <c r="C263" s="55"/>
      <c r="D263" s="144"/>
      <c r="E263" s="55"/>
      <c r="F263" s="149"/>
    </row>
    <row r="264" spans="3:6" customFormat="1" x14ac:dyDescent="0.3">
      <c r="C264" s="55"/>
      <c r="D264" s="144"/>
      <c r="E264" s="55"/>
      <c r="F264" s="149"/>
    </row>
    <row r="265" spans="3:6" customFormat="1" x14ac:dyDescent="0.3">
      <c r="C265" s="55"/>
      <c r="D265" s="144"/>
      <c r="E265" s="55"/>
      <c r="F265" s="149"/>
    </row>
    <row r="266" spans="3:6" customFormat="1" x14ac:dyDescent="0.3">
      <c r="C266" s="55"/>
      <c r="D266" s="144"/>
      <c r="E266" s="55"/>
      <c r="F266" s="149"/>
    </row>
    <row r="267" spans="3:6" customFormat="1" x14ac:dyDescent="0.3">
      <c r="C267" s="55"/>
      <c r="D267" s="144"/>
      <c r="E267" s="55"/>
      <c r="F267" s="149"/>
    </row>
    <row r="268" spans="3:6" customFormat="1" x14ac:dyDescent="0.3">
      <c r="C268" s="55"/>
      <c r="D268" s="144"/>
      <c r="E268" s="55"/>
      <c r="F268" s="149"/>
    </row>
    <row r="269" spans="3:6" customFormat="1" x14ac:dyDescent="0.3">
      <c r="C269" s="55"/>
      <c r="D269" s="144"/>
      <c r="E269" s="55"/>
      <c r="F269" s="149"/>
    </row>
    <row r="270" spans="3:6" customFormat="1" x14ac:dyDescent="0.3">
      <c r="C270" s="55"/>
      <c r="D270" s="144"/>
      <c r="E270" s="55"/>
      <c r="F270" s="149"/>
    </row>
    <row r="271" spans="3:6" customFormat="1" x14ac:dyDescent="0.3">
      <c r="C271" s="55"/>
      <c r="D271" s="144"/>
      <c r="E271" s="55"/>
      <c r="F271" s="149"/>
    </row>
    <row r="272" spans="3:6" customFormat="1" x14ac:dyDescent="0.3">
      <c r="C272" s="55"/>
      <c r="D272" s="144"/>
      <c r="E272" s="55"/>
      <c r="F272" s="149"/>
    </row>
    <row r="273" spans="3:6" customFormat="1" x14ac:dyDescent="0.3">
      <c r="C273" s="55"/>
      <c r="D273" s="144"/>
      <c r="E273" s="55"/>
      <c r="F273" s="149"/>
    </row>
    <row r="274" spans="3:6" customFormat="1" x14ac:dyDescent="0.3">
      <c r="C274" s="55"/>
      <c r="D274" s="144"/>
      <c r="E274" s="55"/>
      <c r="F274" s="149"/>
    </row>
    <row r="275" spans="3:6" customFormat="1" x14ac:dyDescent="0.3">
      <c r="C275" s="55"/>
      <c r="D275" s="144"/>
      <c r="E275" s="55"/>
      <c r="F275" s="149"/>
    </row>
    <row r="276" spans="3:6" customFormat="1" x14ac:dyDescent="0.3">
      <c r="C276" s="55"/>
      <c r="D276" s="144"/>
      <c r="E276" s="55"/>
      <c r="F276" s="149"/>
    </row>
    <row r="277" spans="3:6" customFormat="1" x14ac:dyDescent="0.3">
      <c r="C277" s="55"/>
      <c r="D277" s="144"/>
      <c r="E277" s="55"/>
      <c r="F277" s="149"/>
    </row>
    <row r="278" spans="3:6" customFormat="1" x14ac:dyDescent="0.3">
      <c r="C278" s="55"/>
      <c r="D278" s="144"/>
      <c r="E278" s="55"/>
      <c r="F278" s="149"/>
    </row>
    <row r="279" spans="3:6" customFormat="1" x14ac:dyDescent="0.3">
      <c r="C279" s="55"/>
      <c r="D279" s="144"/>
      <c r="E279" s="55"/>
      <c r="F279" s="149"/>
    </row>
    <row r="280" spans="3:6" customFormat="1" x14ac:dyDescent="0.3">
      <c r="C280" s="55"/>
      <c r="D280" s="144"/>
      <c r="E280" s="55"/>
      <c r="F280" s="149"/>
    </row>
    <row r="281" spans="3:6" customFormat="1" x14ac:dyDescent="0.3">
      <c r="C281" s="55"/>
      <c r="D281" s="144"/>
      <c r="E281" s="55"/>
      <c r="F281" s="149"/>
    </row>
    <row r="282" spans="3:6" customFormat="1" x14ac:dyDescent="0.3">
      <c r="C282" s="55"/>
      <c r="D282" s="144"/>
      <c r="E282" s="55"/>
      <c r="F282" s="149"/>
    </row>
    <row r="283" spans="3:6" customFormat="1" x14ac:dyDescent="0.3">
      <c r="C283" s="55"/>
      <c r="D283" s="144"/>
      <c r="E283" s="55"/>
      <c r="F283" s="149"/>
    </row>
    <row r="284" spans="3:6" customFormat="1" x14ac:dyDescent="0.3">
      <c r="C284" s="55"/>
      <c r="D284" s="144"/>
      <c r="E284" s="55"/>
      <c r="F284" s="149"/>
    </row>
    <row r="285" spans="3:6" customFormat="1" x14ac:dyDescent="0.3">
      <c r="C285" s="55"/>
      <c r="D285" s="144"/>
      <c r="E285" s="55"/>
      <c r="F285" s="149"/>
    </row>
    <row r="286" spans="3:6" customFormat="1" x14ac:dyDescent="0.3">
      <c r="C286" s="55"/>
      <c r="D286" s="144"/>
      <c r="E286" s="55"/>
      <c r="F286" s="149"/>
    </row>
    <row r="287" spans="3:6" customFormat="1" x14ac:dyDescent="0.3">
      <c r="C287" s="55"/>
      <c r="D287" s="144"/>
      <c r="E287" s="55"/>
      <c r="F287" s="149"/>
    </row>
    <row r="288" spans="3:6" customFormat="1" x14ac:dyDescent="0.3">
      <c r="C288" s="55"/>
      <c r="D288" s="144"/>
      <c r="E288" s="55"/>
      <c r="F288" s="149"/>
    </row>
    <row r="289" spans="3:6" customFormat="1" x14ac:dyDescent="0.3">
      <c r="C289" s="55"/>
      <c r="D289" s="144"/>
      <c r="E289" s="55"/>
      <c r="F289" s="149"/>
    </row>
    <row r="290" spans="3:6" customFormat="1" x14ac:dyDescent="0.3">
      <c r="C290" s="55"/>
      <c r="D290" s="144"/>
      <c r="E290" s="55"/>
      <c r="F290" s="149"/>
    </row>
    <row r="291" spans="3:6" customFormat="1" x14ac:dyDescent="0.3">
      <c r="C291" s="55"/>
      <c r="D291" s="144"/>
      <c r="E291" s="55"/>
      <c r="F291" s="149"/>
    </row>
    <row r="292" spans="3:6" customFormat="1" x14ac:dyDescent="0.3">
      <c r="C292" s="55"/>
      <c r="D292" s="144"/>
      <c r="E292" s="55"/>
      <c r="F292" s="149"/>
    </row>
    <row r="293" spans="3:6" customFormat="1" x14ac:dyDescent="0.3">
      <c r="C293" s="55"/>
      <c r="D293" s="144"/>
      <c r="E293" s="55"/>
      <c r="F293" s="149"/>
    </row>
    <row r="294" spans="3:6" customFormat="1" x14ac:dyDescent="0.3">
      <c r="C294" s="55"/>
      <c r="D294" s="144"/>
      <c r="E294" s="55"/>
      <c r="F294" s="149"/>
    </row>
    <row r="295" spans="3:6" customFormat="1" x14ac:dyDescent="0.3">
      <c r="C295" s="55"/>
      <c r="D295" s="144"/>
      <c r="E295" s="55"/>
      <c r="F295" s="149"/>
    </row>
    <row r="296" spans="3:6" customFormat="1" x14ac:dyDescent="0.3">
      <c r="C296" s="55"/>
      <c r="D296" s="144"/>
      <c r="E296" s="55"/>
      <c r="F296" s="149"/>
    </row>
    <row r="297" spans="3:6" customFormat="1" x14ac:dyDescent="0.3">
      <c r="C297" s="55"/>
      <c r="D297" s="144"/>
      <c r="E297" s="55"/>
      <c r="F297" s="149"/>
    </row>
    <row r="298" spans="3:6" customFormat="1" x14ac:dyDescent="0.3">
      <c r="C298" s="55"/>
      <c r="D298" s="144"/>
      <c r="E298" s="55"/>
      <c r="F298" s="149"/>
    </row>
    <row r="299" spans="3:6" customFormat="1" x14ac:dyDescent="0.3">
      <c r="C299" s="55"/>
      <c r="D299" s="144"/>
      <c r="E299" s="55"/>
      <c r="F299" s="149"/>
    </row>
    <row r="300" spans="3:6" customFormat="1" x14ac:dyDescent="0.3">
      <c r="C300" s="55"/>
      <c r="D300" s="144"/>
      <c r="E300" s="55"/>
      <c r="F300" s="149"/>
    </row>
    <row r="301" spans="3:6" customFormat="1" x14ac:dyDescent="0.3">
      <c r="C301" s="55"/>
      <c r="D301" s="144"/>
      <c r="E301" s="55"/>
      <c r="F301" s="149"/>
    </row>
    <row r="302" spans="3:6" customFormat="1" x14ac:dyDescent="0.3">
      <c r="C302" s="55"/>
      <c r="D302" s="144"/>
      <c r="E302" s="55"/>
      <c r="F302" s="149"/>
    </row>
    <row r="303" spans="3:6" customFormat="1" x14ac:dyDescent="0.3">
      <c r="C303" s="55"/>
      <c r="D303" s="144"/>
      <c r="E303" s="55"/>
      <c r="F303" s="149"/>
    </row>
    <row r="304" spans="3:6" customFormat="1" x14ac:dyDescent="0.3">
      <c r="C304" s="55"/>
      <c r="D304" s="144"/>
      <c r="E304" s="55"/>
      <c r="F304" s="149"/>
    </row>
    <row r="305" spans="3:6" customFormat="1" x14ac:dyDescent="0.3">
      <c r="C305" s="55"/>
      <c r="D305" s="144"/>
      <c r="E305" s="55"/>
      <c r="F305" s="149"/>
    </row>
    <row r="306" spans="3:6" customFormat="1" x14ac:dyDescent="0.3">
      <c r="C306" s="55"/>
      <c r="D306" s="144"/>
      <c r="E306" s="55"/>
      <c r="F306" s="149"/>
    </row>
    <row r="307" spans="3:6" customFormat="1" x14ac:dyDescent="0.3">
      <c r="C307" s="55"/>
      <c r="D307" s="144"/>
      <c r="E307" s="55"/>
      <c r="F307" s="149"/>
    </row>
    <row r="308" spans="3:6" customFormat="1" x14ac:dyDescent="0.3">
      <c r="C308" s="55"/>
      <c r="D308" s="144"/>
      <c r="E308" s="55"/>
      <c r="F308" s="149"/>
    </row>
    <row r="309" spans="3:6" customFormat="1" x14ac:dyDescent="0.3">
      <c r="C309" s="55"/>
      <c r="D309" s="144"/>
      <c r="E309" s="55"/>
      <c r="F309" s="149"/>
    </row>
    <row r="310" spans="3:6" customFormat="1" x14ac:dyDescent="0.3">
      <c r="C310" s="55"/>
      <c r="D310" s="144"/>
      <c r="E310" s="55"/>
      <c r="F310" s="149"/>
    </row>
    <row r="311" spans="3:6" customFormat="1" x14ac:dyDescent="0.3">
      <c r="C311" s="55"/>
      <c r="D311" s="144"/>
      <c r="E311" s="55"/>
      <c r="F311" s="149"/>
    </row>
    <row r="312" spans="3:6" customFormat="1" x14ac:dyDescent="0.3">
      <c r="C312" s="55"/>
      <c r="D312" s="144"/>
      <c r="E312" s="55"/>
      <c r="F312" s="149"/>
    </row>
    <row r="313" spans="3:6" customFormat="1" x14ac:dyDescent="0.3">
      <c r="C313" s="55"/>
      <c r="D313" s="144"/>
      <c r="E313" s="55"/>
      <c r="F313" s="149"/>
    </row>
    <row r="314" spans="3:6" customFormat="1" x14ac:dyDescent="0.3">
      <c r="C314" s="55"/>
      <c r="D314" s="144"/>
      <c r="E314" s="55"/>
      <c r="F314" s="149"/>
    </row>
    <row r="315" spans="3:6" customFormat="1" x14ac:dyDescent="0.3">
      <c r="C315" s="55"/>
      <c r="D315" s="144"/>
      <c r="E315" s="55"/>
      <c r="F315" s="149"/>
    </row>
    <row r="316" spans="3:6" customFormat="1" x14ac:dyDescent="0.3">
      <c r="C316" s="55"/>
      <c r="D316" s="144"/>
      <c r="E316" s="55"/>
      <c r="F316" s="149"/>
    </row>
    <row r="317" spans="3:6" customFormat="1" x14ac:dyDescent="0.3">
      <c r="C317" s="55"/>
      <c r="D317" s="144"/>
      <c r="E317" s="55"/>
      <c r="F317" s="149"/>
    </row>
    <row r="318" spans="3:6" customFormat="1" x14ac:dyDescent="0.3">
      <c r="C318" s="55"/>
      <c r="D318" s="144"/>
      <c r="E318" s="55"/>
      <c r="F318" s="149"/>
    </row>
    <row r="319" spans="3:6" customFormat="1" x14ac:dyDescent="0.3">
      <c r="C319" s="55"/>
      <c r="D319" s="144"/>
      <c r="E319" s="55"/>
      <c r="F319" s="149"/>
    </row>
    <row r="320" spans="3:6" customFormat="1" x14ac:dyDescent="0.3">
      <c r="C320" s="55"/>
      <c r="D320" s="144"/>
      <c r="E320" s="55"/>
      <c r="F320" s="149"/>
    </row>
    <row r="321" spans="3:6" customFormat="1" x14ac:dyDescent="0.3">
      <c r="C321" s="55"/>
      <c r="D321" s="144"/>
      <c r="E321" s="55"/>
      <c r="F321" s="149"/>
    </row>
    <row r="322" spans="3:6" customFormat="1" x14ac:dyDescent="0.3">
      <c r="C322" s="55"/>
      <c r="D322" s="144"/>
      <c r="E322" s="55"/>
      <c r="F322" s="149"/>
    </row>
    <row r="323" spans="3:6" customFormat="1" x14ac:dyDescent="0.3">
      <c r="C323" s="55"/>
      <c r="D323" s="144"/>
      <c r="E323" s="55"/>
      <c r="F323" s="149"/>
    </row>
    <row r="324" spans="3:6" customFormat="1" x14ac:dyDescent="0.3">
      <c r="C324" s="55"/>
      <c r="D324" s="144"/>
      <c r="E324" s="55"/>
      <c r="F324" s="149"/>
    </row>
    <row r="325" spans="3:6" customFormat="1" x14ac:dyDescent="0.3">
      <c r="C325" s="55"/>
      <c r="D325" s="144"/>
      <c r="E325" s="55"/>
      <c r="F325" s="149"/>
    </row>
    <row r="326" spans="3:6" customFormat="1" x14ac:dyDescent="0.3">
      <c r="C326" s="55"/>
      <c r="D326" s="144"/>
      <c r="E326" s="55"/>
      <c r="F326" s="149"/>
    </row>
    <row r="327" spans="3:6" customFormat="1" x14ac:dyDescent="0.3">
      <c r="C327" s="55"/>
      <c r="D327" s="144"/>
      <c r="E327" s="55"/>
      <c r="F327" s="149"/>
    </row>
    <row r="328" spans="3:6" customFormat="1" x14ac:dyDescent="0.3">
      <c r="C328" s="55"/>
      <c r="D328" s="144"/>
      <c r="E328" s="55"/>
      <c r="F328" s="149"/>
    </row>
    <row r="329" spans="3:6" customFormat="1" x14ac:dyDescent="0.3">
      <c r="C329" s="55"/>
      <c r="D329" s="144"/>
      <c r="E329" s="55"/>
      <c r="F329" s="149"/>
    </row>
    <row r="330" spans="3:6" customFormat="1" x14ac:dyDescent="0.3">
      <c r="C330" s="55"/>
      <c r="D330" s="144"/>
      <c r="E330" s="55"/>
      <c r="F330" s="149"/>
    </row>
    <row r="331" spans="3:6" customFormat="1" x14ac:dyDescent="0.3">
      <c r="C331" s="55"/>
      <c r="D331" s="144"/>
      <c r="E331" s="55"/>
      <c r="F331" s="149"/>
    </row>
    <row r="332" spans="3:6" customFormat="1" x14ac:dyDescent="0.3">
      <c r="C332" s="55"/>
      <c r="D332" s="144"/>
      <c r="E332" s="55"/>
      <c r="F332" s="149"/>
    </row>
    <row r="333" spans="3:6" customFormat="1" x14ac:dyDescent="0.3">
      <c r="C333" s="55"/>
      <c r="D333" s="144"/>
      <c r="E333" s="55"/>
      <c r="F333" s="149"/>
    </row>
    <row r="334" spans="3:6" customFormat="1" x14ac:dyDescent="0.3">
      <c r="C334" s="55"/>
      <c r="D334" s="144"/>
      <c r="E334" s="55"/>
      <c r="F334" s="149"/>
    </row>
    <row r="335" spans="3:6" customFormat="1" x14ac:dyDescent="0.3">
      <c r="C335" s="55"/>
      <c r="D335" s="144"/>
      <c r="E335" s="55"/>
      <c r="F335" s="149"/>
    </row>
    <row r="336" spans="3:6" customFormat="1" x14ac:dyDescent="0.3">
      <c r="C336" s="55"/>
      <c r="D336" s="144"/>
      <c r="E336" s="55"/>
      <c r="F336" s="149"/>
    </row>
    <row r="337" spans="3:6" customFormat="1" x14ac:dyDescent="0.3">
      <c r="C337" s="55"/>
      <c r="D337" s="144"/>
      <c r="E337" s="55"/>
      <c r="F337" s="149"/>
    </row>
    <row r="338" spans="3:6" customFormat="1" x14ac:dyDescent="0.3">
      <c r="C338" s="55"/>
      <c r="D338" s="144"/>
      <c r="E338" s="55"/>
      <c r="F338" s="149"/>
    </row>
    <row r="339" spans="3:6" customFormat="1" x14ac:dyDescent="0.3">
      <c r="C339" s="55"/>
      <c r="D339" s="144"/>
      <c r="E339" s="55"/>
      <c r="F339" s="149"/>
    </row>
    <row r="340" spans="3:6" customFormat="1" x14ac:dyDescent="0.3">
      <c r="C340" s="55"/>
      <c r="D340" s="144"/>
      <c r="E340" s="55"/>
      <c r="F340" s="149"/>
    </row>
    <row r="341" spans="3:6" customFormat="1" x14ac:dyDescent="0.3">
      <c r="C341" s="55"/>
      <c r="D341" s="144"/>
      <c r="E341" s="55"/>
      <c r="F341" s="149"/>
    </row>
    <row r="342" spans="3:6" customFormat="1" x14ac:dyDescent="0.3">
      <c r="C342" s="55"/>
      <c r="D342" s="144"/>
      <c r="E342" s="55"/>
      <c r="F342" s="149"/>
    </row>
    <row r="343" spans="3:6" customFormat="1" x14ac:dyDescent="0.3">
      <c r="C343" s="55"/>
      <c r="D343" s="144"/>
      <c r="E343" s="55"/>
      <c r="F343" s="149"/>
    </row>
    <row r="344" spans="3:6" customFormat="1" x14ac:dyDescent="0.3">
      <c r="C344" s="55"/>
      <c r="D344" s="144"/>
      <c r="E344" s="55"/>
      <c r="F344" s="149"/>
    </row>
    <row r="345" spans="3:6" customFormat="1" x14ac:dyDescent="0.3">
      <c r="C345" s="55"/>
      <c r="D345" s="144"/>
      <c r="E345" s="55"/>
      <c r="F345" s="149"/>
    </row>
    <row r="346" spans="3:6" customFormat="1" x14ac:dyDescent="0.3">
      <c r="C346" s="55"/>
      <c r="D346" s="144"/>
      <c r="E346" s="55"/>
      <c r="F346" s="149"/>
    </row>
    <row r="347" spans="3:6" customFormat="1" x14ac:dyDescent="0.3">
      <c r="C347" s="55"/>
      <c r="D347" s="144"/>
      <c r="E347" s="55"/>
      <c r="F347" s="149"/>
    </row>
    <row r="348" spans="3:6" customFormat="1" x14ac:dyDescent="0.3">
      <c r="C348" s="55"/>
      <c r="D348" s="144"/>
      <c r="E348" s="55"/>
      <c r="F348" s="149"/>
    </row>
    <row r="349" spans="3:6" customFormat="1" x14ac:dyDescent="0.3">
      <c r="C349" s="55"/>
      <c r="D349" s="144"/>
      <c r="E349" s="55"/>
      <c r="F349" s="149"/>
    </row>
    <row r="350" spans="3:6" customFormat="1" x14ac:dyDescent="0.3">
      <c r="C350" s="55"/>
      <c r="D350" s="144"/>
      <c r="E350" s="55"/>
      <c r="F350" s="149"/>
    </row>
    <row r="351" spans="3:6" customFormat="1" x14ac:dyDescent="0.3">
      <c r="C351" s="55"/>
      <c r="D351" s="144"/>
      <c r="E351" s="55"/>
      <c r="F351" s="149"/>
    </row>
    <row r="352" spans="3:6" customFormat="1" x14ac:dyDescent="0.3">
      <c r="C352" s="55"/>
      <c r="D352" s="144"/>
      <c r="E352" s="55"/>
      <c r="F352" s="149"/>
    </row>
    <row r="353" spans="3:6" customFormat="1" x14ac:dyDescent="0.3">
      <c r="C353" s="55"/>
      <c r="D353" s="144"/>
      <c r="E353" s="55"/>
      <c r="F353" s="149"/>
    </row>
    <row r="354" spans="3:6" customFormat="1" x14ac:dyDescent="0.3">
      <c r="C354" s="55"/>
      <c r="D354" s="144"/>
      <c r="E354" s="55"/>
      <c r="F354" s="149"/>
    </row>
    <row r="355" spans="3:6" customFormat="1" x14ac:dyDescent="0.3">
      <c r="C355" s="55"/>
      <c r="D355" s="144"/>
      <c r="E355" s="55"/>
      <c r="F355" s="149"/>
    </row>
    <row r="356" spans="3:6" customFormat="1" x14ac:dyDescent="0.3">
      <c r="C356" s="55"/>
      <c r="D356" s="144"/>
      <c r="E356" s="55"/>
      <c r="F356" s="149"/>
    </row>
    <row r="357" spans="3:6" customFormat="1" x14ac:dyDescent="0.3">
      <c r="C357" s="55"/>
      <c r="D357" s="144"/>
      <c r="E357" s="55"/>
      <c r="F357" s="149"/>
    </row>
    <row r="358" spans="3:6" customFormat="1" x14ac:dyDescent="0.3">
      <c r="C358" s="55"/>
      <c r="D358" s="144"/>
      <c r="E358" s="55"/>
      <c r="F358" s="149"/>
    </row>
    <row r="359" spans="3:6" customFormat="1" x14ac:dyDescent="0.3">
      <c r="C359" s="55"/>
      <c r="D359" s="144"/>
      <c r="E359" s="55"/>
      <c r="F359" s="149"/>
    </row>
    <row r="360" spans="3:6" customFormat="1" x14ac:dyDescent="0.3">
      <c r="C360" s="55"/>
      <c r="D360" s="144"/>
      <c r="E360" s="55"/>
      <c r="F360" s="149"/>
    </row>
    <row r="361" spans="3:6" customFormat="1" x14ac:dyDescent="0.3">
      <c r="C361" s="55"/>
      <c r="D361" s="144"/>
      <c r="E361" s="55"/>
      <c r="F361" s="149"/>
    </row>
    <row r="362" spans="3:6" customFormat="1" x14ac:dyDescent="0.3">
      <c r="C362" s="55"/>
      <c r="D362" s="144"/>
      <c r="E362" s="55"/>
      <c r="F362" s="149"/>
    </row>
    <row r="363" spans="3:6" customFormat="1" x14ac:dyDescent="0.3">
      <c r="C363" s="55"/>
      <c r="D363" s="144"/>
      <c r="E363" s="55"/>
      <c r="F363" s="149"/>
    </row>
    <row r="364" spans="3:6" customFormat="1" x14ac:dyDescent="0.3">
      <c r="C364" s="55"/>
      <c r="D364" s="144"/>
      <c r="E364" s="55"/>
      <c r="F364" s="149"/>
    </row>
    <row r="365" spans="3:6" customFormat="1" x14ac:dyDescent="0.3">
      <c r="C365" s="55"/>
      <c r="D365" s="144"/>
      <c r="E365" s="55"/>
      <c r="F365" s="149"/>
    </row>
    <row r="366" spans="3:6" customFormat="1" x14ac:dyDescent="0.3">
      <c r="C366" s="55"/>
      <c r="D366" s="144"/>
      <c r="E366" s="55"/>
      <c r="F366" s="149"/>
    </row>
    <row r="367" spans="3:6" customFormat="1" x14ac:dyDescent="0.3">
      <c r="C367" s="55"/>
      <c r="D367" s="144"/>
      <c r="E367" s="55"/>
      <c r="F367" s="149"/>
    </row>
    <row r="368" spans="3:6" customFormat="1" x14ac:dyDescent="0.3">
      <c r="C368" s="55"/>
      <c r="D368" s="144"/>
      <c r="E368" s="55"/>
      <c r="F368" s="149"/>
    </row>
    <row r="369" spans="3:6" customFormat="1" x14ac:dyDescent="0.3">
      <c r="C369" s="55"/>
      <c r="D369" s="144"/>
      <c r="E369" s="55"/>
      <c r="F369" s="149"/>
    </row>
    <row r="370" spans="3:6" customFormat="1" x14ac:dyDescent="0.3">
      <c r="C370" s="55"/>
      <c r="D370" s="144"/>
      <c r="E370" s="55"/>
      <c r="F370" s="149"/>
    </row>
    <row r="371" spans="3:6" customFormat="1" x14ac:dyDescent="0.3">
      <c r="C371" s="55"/>
      <c r="D371" s="144"/>
      <c r="E371" s="55"/>
      <c r="F371" s="149"/>
    </row>
    <row r="372" spans="3:6" customFormat="1" x14ac:dyDescent="0.3">
      <c r="C372" s="55"/>
      <c r="D372" s="144"/>
      <c r="E372" s="55"/>
      <c r="F372" s="149"/>
    </row>
    <row r="373" spans="3:6" customFormat="1" x14ac:dyDescent="0.3">
      <c r="C373" s="55"/>
      <c r="D373" s="144"/>
      <c r="E373" s="55"/>
      <c r="F373" s="149"/>
    </row>
    <row r="374" spans="3:6" customFormat="1" x14ac:dyDescent="0.3">
      <c r="C374" s="55"/>
      <c r="D374" s="144"/>
      <c r="E374" s="55"/>
      <c r="F374" s="149"/>
    </row>
    <row r="375" spans="3:6" customFormat="1" x14ac:dyDescent="0.3">
      <c r="C375" s="55"/>
      <c r="D375" s="144"/>
      <c r="E375" s="55"/>
      <c r="F375" s="149"/>
    </row>
    <row r="376" spans="3:6" customFormat="1" x14ac:dyDescent="0.3">
      <c r="C376" s="55"/>
      <c r="D376" s="144"/>
      <c r="E376" s="55"/>
      <c r="F376" s="149"/>
    </row>
    <row r="377" spans="3:6" customFormat="1" x14ac:dyDescent="0.3">
      <c r="C377" s="55"/>
      <c r="D377" s="144"/>
      <c r="E377" s="55"/>
      <c r="F377" s="149"/>
    </row>
    <row r="378" spans="3:6" customFormat="1" x14ac:dyDescent="0.3">
      <c r="C378" s="55"/>
      <c r="D378" s="144"/>
      <c r="E378" s="55"/>
      <c r="F378" s="149"/>
    </row>
    <row r="379" spans="3:6" customFormat="1" x14ac:dyDescent="0.3">
      <c r="C379" s="55"/>
      <c r="D379" s="144"/>
      <c r="E379" s="55"/>
      <c r="F379" s="149"/>
    </row>
    <row r="380" spans="3:6" customFormat="1" x14ac:dyDescent="0.3">
      <c r="C380" s="55"/>
      <c r="D380" s="144"/>
      <c r="E380" s="55"/>
      <c r="F380" s="149"/>
    </row>
    <row r="381" spans="3:6" customFormat="1" x14ac:dyDescent="0.3">
      <c r="C381" s="55"/>
      <c r="D381" s="144"/>
      <c r="E381" s="55"/>
      <c r="F381" s="149"/>
    </row>
    <row r="382" spans="3:6" customFormat="1" x14ac:dyDescent="0.3">
      <c r="C382" s="55"/>
      <c r="D382" s="144"/>
      <c r="E382" s="55"/>
      <c r="F382" s="149"/>
    </row>
    <row r="383" spans="3:6" customFormat="1" x14ac:dyDescent="0.3">
      <c r="C383" s="55"/>
      <c r="D383" s="144"/>
      <c r="E383" s="55"/>
      <c r="F383" s="149"/>
    </row>
    <row r="384" spans="3:6" customFormat="1" x14ac:dyDescent="0.3">
      <c r="C384" s="55"/>
      <c r="D384" s="144"/>
      <c r="E384" s="55"/>
      <c r="F384" s="149"/>
    </row>
    <row r="385" spans="3:6" customFormat="1" x14ac:dyDescent="0.3">
      <c r="C385" s="55"/>
      <c r="D385" s="144"/>
      <c r="E385" s="55"/>
      <c r="F385" s="149"/>
    </row>
    <row r="386" spans="3:6" customFormat="1" x14ac:dyDescent="0.3">
      <c r="C386" s="55"/>
      <c r="D386" s="144"/>
      <c r="E386" s="55"/>
      <c r="F386" s="149"/>
    </row>
    <row r="387" spans="3:6" customFormat="1" x14ac:dyDescent="0.3">
      <c r="C387" s="55"/>
      <c r="D387" s="144"/>
      <c r="E387" s="55"/>
      <c r="F387" s="149"/>
    </row>
    <row r="388" spans="3:6" customFormat="1" x14ac:dyDescent="0.3">
      <c r="C388" s="55"/>
      <c r="D388" s="144"/>
      <c r="E388" s="55"/>
      <c r="F388" s="149"/>
    </row>
    <row r="389" spans="3:6" customFormat="1" x14ac:dyDescent="0.3">
      <c r="C389" s="55"/>
      <c r="D389" s="144"/>
      <c r="E389" s="55"/>
      <c r="F389" s="149"/>
    </row>
    <row r="390" spans="3:6" customFormat="1" x14ac:dyDescent="0.3">
      <c r="C390" s="55"/>
      <c r="D390" s="144"/>
      <c r="E390" s="55"/>
      <c r="F390" s="149"/>
    </row>
    <row r="391" spans="3:6" customFormat="1" x14ac:dyDescent="0.3">
      <c r="C391" s="55"/>
      <c r="D391" s="144"/>
      <c r="E391" s="55"/>
      <c r="F391" s="149"/>
    </row>
    <row r="392" spans="3:6" customFormat="1" x14ac:dyDescent="0.3">
      <c r="C392" s="55"/>
      <c r="D392" s="144"/>
      <c r="E392" s="55"/>
      <c r="F392" s="149"/>
    </row>
    <row r="393" spans="3:6" customFormat="1" x14ac:dyDescent="0.3">
      <c r="C393" s="55"/>
      <c r="D393" s="144"/>
      <c r="E393" s="55"/>
      <c r="F393" s="149"/>
    </row>
    <row r="394" spans="3:6" customFormat="1" x14ac:dyDescent="0.3">
      <c r="C394" s="55"/>
      <c r="D394" s="144"/>
      <c r="E394" s="55"/>
      <c r="F394" s="149"/>
    </row>
    <row r="395" spans="3:6" customFormat="1" x14ac:dyDescent="0.3">
      <c r="C395" s="55"/>
      <c r="D395" s="144"/>
      <c r="E395" s="55"/>
      <c r="F395" s="149"/>
    </row>
    <row r="396" spans="3:6" customFormat="1" x14ac:dyDescent="0.3">
      <c r="C396" s="55"/>
      <c r="D396" s="144"/>
      <c r="E396" s="55"/>
      <c r="F396" s="149"/>
    </row>
    <row r="397" spans="3:6" customFormat="1" x14ac:dyDescent="0.3">
      <c r="C397" s="55"/>
      <c r="D397" s="144"/>
      <c r="E397" s="55"/>
      <c r="F397" s="149"/>
    </row>
    <row r="398" spans="3:6" customFormat="1" x14ac:dyDescent="0.3">
      <c r="C398" s="55"/>
      <c r="D398" s="144"/>
      <c r="E398" s="55"/>
      <c r="F398" s="149"/>
    </row>
    <row r="399" spans="3:6" customFormat="1" x14ac:dyDescent="0.3">
      <c r="C399" s="55"/>
      <c r="D399" s="144"/>
      <c r="E399" s="55"/>
      <c r="F399" s="149"/>
    </row>
    <row r="400" spans="3:6" customFormat="1" x14ac:dyDescent="0.3">
      <c r="C400" s="55"/>
      <c r="D400" s="144"/>
      <c r="E400" s="55"/>
      <c r="F400" s="149"/>
    </row>
    <row r="401" spans="3:6" customFormat="1" x14ac:dyDescent="0.3">
      <c r="C401" s="55"/>
      <c r="D401" s="144"/>
      <c r="E401" s="55"/>
      <c r="F401" s="149"/>
    </row>
    <row r="402" spans="3:6" customFormat="1" x14ac:dyDescent="0.3">
      <c r="C402" s="55"/>
      <c r="D402" s="144"/>
      <c r="E402" s="55"/>
      <c r="F402" s="149"/>
    </row>
    <row r="403" spans="3:6" customFormat="1" x14ac:dyDescent="0.3">
      <c r="C403" s="55"/>
      <c r="D403" s="144"/>
      <c r="E403" s="55"/>
      <c r="F403" s="149"/>
    </row>
    <row r="404" spans="3:6" customFormat="1" x14ac:dyDescent="0.3">
      <c r="C404" s="55"/>
      <c r="D404" s="144"/>
      <c r="E404" s="55"/>
      <c r="F404" s="149"/>
    </row>
    <row r="405" spans="3:6" customFormat="1" x14ac:dyDescent="0.3">
      <c r="C405" s="55"/>
      <c r="D405" s="144"/>
      <c r="E405" s="55"/>
      <c r="F405" s="149"/>
    </row>
    <row r="406" spans="3:6" customFormat="1" x14ac:dyDescent="0.3">
      <c r="C406" s="55"/>
      <c r="D406" s="144"/>
      <c r="E406" s="55"/>
      <c r="F406" s="149"/>
    </row>
    <row r="407" spans="3:6" customFormat="1" x14ac:dyDescent="0.3">
      <c r="C407" s="55"/>
      <c r="D407" s="144"/>
      <c r="E407" s="55"/>
      <c r="F407" s="149"/>
    </row>
    <row r="408" spans="3:6" customFormat="1" x14ac:dyDescent="0.3">
      <c r="C408" s="55"/>
      <c r="D408" s="144"/>
      <c r="E408" s="55"/>
      <c r="F408" s="149"/>
    </row>
    <row r="409" spans="3:6" customFormat="1" x14ac:dyDescent="0.3">
      <c r="C409" s="55"/>
      <c r="D409" s="144"/>
      <c r="E409" s="55"/>
      <c r="F409" s="149"/>
    </row>
    <row r="410" spans="3:6" customFormat="1" x14ac:dyDescent="0.3">
      <c r="C410" s="55"/>
      <c r="D410" s="144"/>
      <c r="E410" s="55"/>
      <c r="F410" s="149"/>
    </row>
    <row r="411" spans="3:6" customFormat="1" x14ac:dyDescent="0.3">
      <c r="C411" s="55"/>
      <c r="D411" s="144"/>
      <c r="E411" s="55"/>
      <c r="F411" s="149"/>
    </row>
    <row r="412" spans="3:6" customFormat="1" x14ac:dyDescent="0.3">
      <c r="C412" s="55"/>
      <c r="D412" s="144"/>
      <c r="E412" s="55"/>
      <c r="F412" s="149"/>
    </row>
    <row r="413" spans="3:6" customFormat="1" x14ac:dyDescent="0.3">
      <c r="C413" s="55"/>
      <c r="D413" s="144"/>
      <c r="E413" s="55"/>
      <c r="F413" s="149"/>
    </row>
    <row r="414" spans="3:6" customFormat="1" x14ac:dyDescent="0.3">
      <c r="C414" s="55"/>
      <c r="D414" s="144"/>
      <c r="E414" s="55"/>
      <c r="F414" s="149"/>
    </row>
    <row r="415" spans="3:6" customFormat="1" x14ac:dyDescent="0.3">
      <c r="C415" s="55"/>
      <c r="D415" s="144"/>
      <c r="E415" s="55"/>
      <c r="F415" s="149"/>
    </row>
    <row r="416" spans="3:6" customFormat="1" x14ac:dyDescent="0.3">
      <c r="C416" s="55"/>
      <c r="D416" s="144"/>
      <c r="E416" s="55"/>
      <c r="F416" s="149"/>
    </row>
    <row r="417" spans="3:6" customFormat="1" x14ac:dyDescent="0.3">
      <c r="C417" s="55"/>
      <c r="D417" s="144"/>
      <c r="E417" s="55"/>
      <c r="F417" s="149"/>
    </row>
    <row r="418" spans="3:6" customFormat="1" x14ac:dyDescent="0.3">
      <c r="C418" s="55"/>
      <c r="D418" s="144"/>
      <c r="E418" s="55"/>
      <c r="F418" s="149"/>
    </row>
    <row r="419" spans="3:6" customFormat="1" x14ac:dyDescent="0.3">
      <c r="C419" s="55"/>
      <c r="D419" s="144"/>
      <c r="E419" s="55"/>
      <c r="F419" s="149"/>
    </row>
    <row r="420" spans="3:6" customFormat="1" x14ac:dyDescent="0.3">
      <c r="C420" s="55"/>
      <c r="D420" s="144"/>
      <c r="E420" s="55"/>
      <c r="F420" s="149"/>
    </row>
    <row r="421" spans="3:6" customFormat="1" x14ac:dyDescent="0.3">
      <c r="C421" s="55"/>
      <c r="D421" s="144"/>
      <c r="E421" s="55"/>
      <c r="F421" s="149"/>
    </row>
    <row r="422" spans="3:6" customFormat="1" x14ac:dyDescent="0.3">
      <c r="C422" s="55"/>
      <c r="D422" s="144"/>
      <c r="E422" s="55"/>
      <c r="F422" s="149"/>
    </row>
    <row r="423" spans="3:6" customFormat="1" x14ac:dyDescent="0.3">
      <c r="C423" s="55"/>
      <c r="D423" s="144"/>
      <c r="E423" s="55"/>
      <c r="F423" s="149"/>
    </row>
    <row r="424" spans="3:6" customFormat="1" x14ac:dyDescent="0.3">
      <c r="C424" s="55"/>
      <c r="D424" s="144"/>
      <c r="E424" s="55"/>
      <c r="F424" s="149"/>
    </row>
    <row r="425" spans="3:6" customFormat="1" x14ac:dyDescent="0.3">
      <c r="C425" s="55"/>
      <c r="D425" s="144"/>
      <c r="E425" s="55"/>
      <c r="F425" s="149"/>
    </row>
    <row r="426" spans="3:6" customFormat="1" x14ac:dyDescent="0.3">
      <c r="C426" s="55"/>
      <c r="D426" s="144"/>
      <c r="E426" s="55"/>
      <c r="F426" s="149"/>
    </row>
    <row r="427" spans="3:6" customFormat="1" x14ac:dyDescent="0.3">
      <c r="C427" s="55"/>
      <c r="D427" s="144"/>
      <c r="E427" s="55"/>
      <c r="F427" s="149"/>
    </row>
    <row r="428" spans="3:6" customFormat="1" x14ac:dyDescent="0.3">
      <c r="C428" s="55"/>
      <c r="D428" s="144"/>
      <c r="E428" s="55"/>
      <c r="F428" s="149"/>
    </row>
    <row r="429" spans="3:6" customFormat="1" x14ac:dyDescent="0.3">
      <c r="C429" s="55"/>
      <c r="D429" s="144"/>
      <c r="E429" s="55"/>
      <c r="F429" s="149"/>
    </row>
    <row r="430" spans="3:6" customFormat="1" x14ac:dyDescent="0.3">
      <c r="C430" s="55"/>
      <c r="D430" s="144"/>
      <c r="E430" s="55"/>
      <c r="F430" s="149"/>
    </row>
    <row r="431" spans="3:6" customFormat="1" x14ac:dyDescent="0.3">
      <c r="C431" s="55"/>
      <c r="D431" s="144"/>
      <c r="E431" s="55"/>
      <c r="F431" s="149"/>
    </row>
    <row r="432" spans="3:6" customFormat="1" x14ac:dyDescent="0.3">
      <c r="C432" s="55"/>
      <c r="D432" s="144"/>
      <c r="E432" s="55"/>
      <c r="F432" s="149"/>
    </row>
    <row r="433" spans="3:6" customFormat="1" x14ac:dyDescent="0.3">
      <c r="C433" s="55"/>
      <c r="D433" s="144"/>
      <c r="E433" s="55"/>
      <c r="F433" s="149"/>
    </row>
    <row r="434" spans="3:6" customFormat="1" x14ac:dyDescent="0.3">
      <c r="C434" s="55"/>
      <c r="D434" s="144"/>
      <c r="E434" s="55"/>
      <c r="F434" s="149"/>
    </row>
    <row r="435" spans="3:6" customFormat="1" x14ac:dyDescent="0.3">
      <c r="C435" s="55"/>
      <c r="D435" s="144"/>
      <c r="E435" s="55"/>
      <c r="F435" s="149"/>
    </row>
    <row r="436" spans="3:6" customFormat="1" x14ac:dyDescent="0.3">
      <c r="C436" s="55"/>
      <c r="D436" s="144"/>
      <c r="E436" s="55"/>
      <c r="F436" s="149"/>
    </row>
    <row r="437" spans="3:6" customFormat="1" x14ac:dyDescent="0.3">
      <c r="C437" s="55"/>
      <c r="D437" s="144"/>
      <c r="E437" s="55"/>
      <c r="F437" s="149"/>
    </row>
    <row r="438" spans="3:6" customFormat="1" x14ac:dyDescent="0.3">
      <c r="C438" s="55"/>
      <c r="D438" s="144"/>
      <c r="E438" s="55"/>
      <c r="F438" s="149"/>
    </row>
    <row r="439" spans="3:6" customFormat="1" x14ac:dyDescent="0.3">
      <c r="C439" s="55"/>
      <c r="D439" s="144"/>
      <c r="E439" s="55"/>
      <c r="F439" s="149"/>
    </row>
    <row r="440" spans="3:6" customFormat="1" x14ac:dyDescent="0.3">
      <c r="C440" s="55"/>
      <c r="D440" s="144"/>
      <c r="E440" s="55"/>
      <c r="F440" s="149"/>
    </row>
    <row r="441" spans="3:6" customFormat="1" x14ac:dyDescent="0.3">
      <c r="C441" s="55"/>
      <c r="D441" s="144"/>
      <c r="E441" s="55"/>
      <c r="F441" s="149"/>
    </row>
    <row r="442" spans="3:6" customFormat="1" x14ac:dyDescent="0.3">
      <c r="C442" s="55"/>
      <c r="D442" s="144"/>
      <c r="E442" s="55"/>
      <c r="F442" s="149"/>
    </row>
    <row r="443" spans="3:6" customFormat="1" x14ac:dyDescent="0.3">
      <c r="C443" s="55"/>
      <c r="D443" s="144"/>
      <c r="E443" s="55"/>
      <c r="F443" s="149"/>
    </row>
    <row r="444" spans="3:6" customFormat="1" x14ac:dyDescent="0.3">
      <c r="C444" s="55"/>
      <c r="D444" s="144"/>
      <c r="E444" s="55"/>
      <c r="F444" s="149"/>
    </row>
    <row r="445" spans="3:6" customFormat="1" x14ac:dyDescent="0.3">
      <c r="C445" s="55"/>
      <c r="D445" s="144"/>
      <c r="E445" s="55"/>
      <c r="F445" s="149"/>
    </row>
    <row r="446" spans="3:6" customFormat="1" x14ac:dyDescent="0.3">
      <c r="C446" s="55"/>
      <c r="D446" s="144"/>
      <c r="E446" s="55"/>
      <c r="F446" s="149"/>
    </row>
    <row r="447" spans="3:6" customFormat="1" x14ac:dyDescent="0.3">
      <c r="C447" s="55"/>
      <c r="D447" s="144"/>
      <c r="E447" s="55"/>
      <c r="F447" s="149"/>
    </row>
    <row r="448" spans="3:6" customFormat="1" x14ac:dyDescent="0.3">
      <c r="C448" s="55"/>
      <c r="D448" s="144"/>
      <c r="E448" s="55"/>
      <c r="F448" s="149"/>
    </row>
    <row r="449" spans="3:6" customFormat="1" x14ac:dyDescent="0.3">
      <c r="C449" s="55"/>
      <c r="D449" s="144"/>
      <c r="E449" s="55"/>
      <c r="F449" s="149"/>
    </row>
    <row r="450" spans="3:6" customFormat="1" x14ac:dyDescent="0.3">
      <c r="C450" s="55"/>
      <c r="D450" s="144"/>
      <c r="E450" s="55"/>
      <c r="F450" s="149"/>
    </row>
    <row r="451" spans="3:6" customFormat="1" x14ac:dyDescent="0.3">
      <c r="C451" s="55"/>
      <c r="D451" s="144"/>
      <c r="E451" s="55"/>
      <c r="F451" s="149"/>
    </row>
    <row r="452" spans="3:6" customFormat="1" x14ac:dyDescent="0.3">
      <c r="C452" s="55"/>
      <c r="D452" s="144"/>
      <c r="E452" s="55"/>
      <c r="F452" s="149"/>
    </row>
    <row r="453" spans="3:6" customFormat="1" x14ac:dyDescent="0.3">
      <c r="C453" s="55"/>
      <c r="D453" s="144"/>
      <c r="E453" s="55"/>
      <c r="F453" s="149"/>
    </row>
    <row r="454" spans="3:6" customFormat="1" x14ac:dyDescent="0.3">
      <c r="C454" s="55"/>
      <c r="D454" s="144"/>
      <c r="E454" s="55"/>
      <c r="F454" s="149"/>
    </row>
    <row r="455" spans="3:6" customFormat="1" x14ac:dyDescent="0.3">
      <c r="C455" s="55"/>
      <c r="D455" s="144"/>
      <c r="E455" s="55"/>
      <c r="F455" s="149"/>
    </row>
    <row r="456" spans="3:6" customFormat="1" x14ac:dyDescent="0.3">
      <c r="C456" s="55"/>
      <c r="D456" s="144"/>
      <c r="E456" s="55"/>
      <c r="F456" s="149"/>
    </row>
    <row r="457" spans="3:6" customFormat="1" x14ac:dyDescent="0.3">
      <c r="C457" s="55"/>
      <c r="D457" s="144"/>
      <c r="E457" s="55"/>
      <c r="F457" s="149"/>
    </row>
    <row r="458" spans="3:6" customFormat="1" x14ac:dyDescent="0.3">
      <c r="C458" s="55"/>
      <c r="D458" s="144"/>
      <c r="E458" s="55"/>
      <c r="F458" s="149"/>
    </row>
    <row r="459" spans="3:6" customFormat="1" x14ac:dyDescent="0.3">
      <c r="C459" s="55"/>
      <c r="D459" s="144"/>
      <c r="E459" s="55"/>
      <c r="F459" s="149"/>
    </row>
    <row r="460" spans="3:6" customFormat="1" x14ac:dyDescent="0.3">
      <c r="C460" s="55"/>
      <c r="D460" s="144"/>
      <c r="E460" s="55"/>
      <c r="F460" s="149"/>
    </row>
    <row r="461" spans="3:6" customFormat="1" x14ac:dyDescent="0.3">
      <c r="C461" s="55"/>
      <c r="D461" s="144"/>
      <c r="E461" s="55"/>
      <c r="F461" s="149"/>
    </row>
    <row r="462" spans="3:6" customFormat="1" x14ac:dyDescent="0.3">
      <c r="C462" s="55"/>
      <c r="D462" s="144"/>
      <c r="E462" s="55"/>
      <c r="F462" s="149"/>
    </row>
  </sheetData>
  <protectedRanges>
    <protectedRange sqref="E4:F4" name="IINPUTS"/>
  </protectedRange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3F979B7-2503-4A2A-B558-1CA1A1DEB2EC}">
          <x14:formula1>
            <xm:f>Configuration!$T$13:$T$15</xm:f>
          </x14:formula1>
          <xm:sqref>D10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F403D-5130-48C3-925E-03DFE2038015}">
  <sheetPr codeName="Feuil10">
    <tabColor theme="5" tint="0.39997558519241921"/>
  </sheetPr>
  <dimension ref="A1:W709"/>
  <sheetViews>
    <sheetView showGridLines="0" workbookViewId="0">
      <selection activeCell="F22" sqref="F22"/>
    </sheetView>
  </sheetViews>
  <sheetFormatPr baseColWidth="10" defaultColWidth="10.88671875" defaultRowHeight="14.4" x14ac:dyDescent="0.3"/>
  <cols>
    <col min="1" max="1" width="10.88671875" style="69"/>
    <col min="2" max="2" width="24.88671875" style="69" bestFit="1" customWidth="1"/>
    <col min="3" max="3" width="21.33203125" style="69" customWidth="1"/>
    <col min="4" max="4" width="61.44140625" style="79" customWidth="1"/>
    <col min="5" max="5" width="20.44140625" style="79" customWidth="1"/>
    <col min="6" max="6" width="20.109375" style="79" customWidth="1"/>
    <col min="7" max="7" width="15.44140625" style="79" customWidth="1"/>
    <col min="8" max="8" width="10.44140625" style="69" bestFit="1" customWidth="1"/>
    <col min="9" max="9" width="13.5546875" style="69" bestFit="1" customWidth="1"/>
    <col min="10" max="13" width="8.109375" style="69" bestFit="1" customWidth="1"/>
    <col min="14" max="14" width="9.88671875" style="69" bestFit="1" customWidth="1"/>
    <col min="15" max="15" width="13.109375" bestFit="1" customWidth="1"/>
    <col min="16" max="19" width="8.109375" bestFit="1" customWidth="1"/>
    <col min="20" max="20" width="11.44140625" customWidth="1"/>
    <col min="21" max="21" width="12.5546875" customWidth="1"/>
    <col min="22" max="22" width="8.109375" style="69" bestFit="1" customWidth="1"/>
    <col min="23" max="23" width="43.109375" style="81" customWidth="1"/>
    <col min="24" max="25" width="8.109375" style="69" bestFit="1" customWidth="1"/>
    <col min="26" max="26" width="9.109375" style="69" bestFit="1" customWidth="1"/>
    <col min="27" max="100" width="8.109375" style="69" bestFit="1" customWidth="1"/>
    <col min="101" max="101" width="9.109375" style="69" bestFit="1" customWidth="1"/>
    <col min="102" max="241" width="8.109375" style="69" bestFit="1" customWidth="1"/>
    <col min="242" max="242" width="2" style="69" bestFit="1" customWidth="1"/>
    <col min="243" max="16384" width="10.88671875" style="69"/>
  </cols>
  <sheetData>
    <row r="1" spans="1:23" customFormat="1" x14ac:dyDescent="0.3"/>
    <row r="2" spans="1:23" customFormat="1" x14ac:dyDescent="0.3"/>
    <row r="3" spans="1:23" customFormat="1" x14ac:dyDescent="0.3"/>
    <row r="4" spans="1:23" customFormat="1" x14ac:dyDescent="0.3">
      <c r="C4" s="73" t="s">
        <v>4544</v>
      </c>
      <c r="D4" s="48" t="s">
        <v>6675</v>
      </c>
    </row>
    <row r="5" spans="1:23" customFormat="1" x14ac:dyDescent="0.3"/>
    <row r="6" spans="1:23" customFormat="1" ht="16.5" customHeight="1" x14ac:dyDescent="0.3">
      <c r="A6" s="12"/>
      <c r="B6" s="11" t="s">
        <v>1240</v>
      </c>
      <c r="C6" s="12"/>
      <c r="D6" s="12"/>
      <c r="E6" s="12"/>
      <c r="F6" s="12"/>
      <c r="G6" s="12"/>
      <c r="H6" s="12"/>
      <c r="I6" s="12"/>
      <c r="W6" s="81"/>
    </row>
    <row r="7" spans="1:23" customFormat="1" x14ac:dyDescent="0.3"/>
    <row r="8" spans="1:23" customFormat="1" x14ac:dyDescent="0.3">
      <c r="C8" s="73" t="s">
        <v>262</v>
      </c>
      <c r="D8" s="48" t="s">
        <v>4545</v>
      </c>
    </row>
    <row r="9" spans="1:23" customFormat="1" x14ac:dyDescent="0.3">
      <c r="C9" s="73" t="s">
        <v>4543</v>
      </c>
      <c r="D9" s="142" t="s">
        <v>4546</v>
      </c>
    </row>
    <row r="10" spans="1:23" customFormat="1" x14ac:dyDescent="0.3">
      <c r="C10" s="89"/>
      <c r="D10" s="89"/>
    </row>
    <row r="11" spans="1:23" customFormat="1" x14ac:dyDescent="0.3">
      <c r="E11" s="88"/>
      <c r="F11" s="88"/>
      <c r="G11" s="89"/>
    </row>
    <row r="12" spans="1:23" customFormat="1" x14ac:dyDescent="0.3">
      <c r="C12" s="36" t="s">
        <v>262</v>
      </c>
      <c r="D12" s="36" t="s">
        <v>4542</v>
      </c>
      <c r="E12" s="88"/>
      <c r="F12" s="88"/>
      <c r="G12" s="89"/>
    </row>
    <row r="13" spans="1:23" customFormat="1" x14ac:dyDescent="0.3">
      <c r="C13" s="75" t="s">
        <v>4552</v>
      </c>
      <c r="D13" s="75" t="s">
        <v>4552</v>
      </c>
      <c r="E13" s="76"/>
      <c r="F13" s="76"/>
      <c r="G13" s="76"/>
      <c r="W13" s="81"/>
    </row>
    <row r="14" spans="1:23" customFormat="1" x14ac:dyDescent="0.3">
      <c r="C14" s="51" t="s">
        <v>4553</v>
      </c>
      <c r="D14" s="75" t="s">
        <v>4553</v>
      </c>
      <c r="E14" s="76"/>
      <c r="F14" s="76"/>
      <c r="G14" s="76"/>
      <c r="W14" s="81"/>
    </row>
    <row r="15" spans="1:23" customFormat="1" x14ac:dyDescent="0.3">
      <c r="C15" s="51" t="s">
        <v>4554</v>
      </c>
      <c r="D15" s="75" t="s">
        <v>4554</v>
      </c>
      <c r="E15" s="76"/>
      <c r="F15" s="76"/>
      <c r="G15" s="76"/>
      <c r="W15" s="81"/>
    </row>
    <row r="16" spans="1:23" customFormat="1" x14ac:dyDescent="0.3">
      <c r="C16" s="51" t="s">
        <v>4556</v>
      </c>
      <c r="D16" s="75" t="s">
        <v>4556</v>
      </c>
      <c r="E16" s="76"/>
      <c r="F16" s="76"/>
      <c r="G16" s="76"/>
      <c r="W16" s="81"/>
    </row>
    <row r="17" spans="3:23" customFormat="1" x14ac:dyDescent="0.3">
      <c r="C17" s="51" t="s">
        <v>4555</v>
      </c>
      <c r="D17" s="75" t="s">
        <v>4555</v>
      </c>
      <c r="E17" s="76"/>
      <c r="F17" s="76"/>
      <c r="G17" s="76"/>
      <c r="W17" s="81"/>
    </row>
    <row r="18" spans="3:23" customFormat="1" x14ac:dyDescent="0.3">
      <c r="C18" s="51" t="s">
        <v>4557</v>
      </c>
      <c r="D18" s="75" t="s">
        <v>4557</v>
      </c>
      <c r="E18" s="76"/>
      <c r="F18" s="76"/>
      <c r="G18" s="76"/>
      <c r="W18" s="81"/>
    </row>
    <row r="19" spans="3:23" customFormat="1" x14ac:dyDescent="0.3">
      <c r="C19" s="51" t="s">
        <v>4558</v>
      </c>
      <c r="D19" s="75" t="s">
        <v>4558</v>
      </c>
      <c r="E19" s="76"/>
      <c r="F19" s="76"/>
      <c r="G19" s="76"/>
      <c r="W19" s="81"/>
    </row>
    <row r="20" spans="3:23" customFormat="1" x14ac:dyDescent="0.3">
      <c r="C20" s="51" t="s">
        <v>4559</v>
      </c>
      <c r="D20" s="75" t="s">
        <v>4559</v>
      </c>
      <c r="E20" s="76"/>
      <c r="F20" s="76"/>
      <c r="G20" s="76"/>
      <c r="W20" s="81"/>
    </row>
    <row r="21" spans="3:23" customFormat="1" x14ac:dyDescent="0.3">
      <c r="C21" s="51" t="s">
        <v>4560</v>
      </c>
      <c r="D21" s="75" t="s">
        <v>4560</v>
      </c>
      <c r="E21" s="76"/>
      <c r="F21" s="76"/>
      <c r="G21" s="76"/>
      <c r="W21" s="81"/>
    </row>
    <row r="22" spans="3:23" customFormat="1" x14ac:dyDescent="0.3">
      <c r="C22" s="51" t="s">
        <v>4561</v>
      </c>
      <c r="D22" s="75" t="s">
        <v>4561</v>
      </c>
      <c r="E22" s="76"/>
      <c r="F22" s="76"/>
      <c r="G22" s="76"/>
      <c r="W22" s="81"/>
    </row>
    <row r="23" spans="3:23" customFormat="1" x14ac:dyDescent="0.3">
      <c r="C23" s="51" t="s">
        <v>4562</v>
      </c>
      <c r="D23" s="75" t="s">
        <v>4562</v>
      </c>
      <c r="E23" s="76"/>
      <c r="F23" s="76"/>
      <c r="G23" s="76"/>
      <c r="W23" s="81"/>
    </row>
    <row r="24" spans="3:23" customFormat="1" x14ac:dyDescent="0.3">
      <c r="C24" s="51"/>
      <c r="D24" s="75"/>
      <c r="E24" s="76"/>
      <c r="F24" s="76"/>
      <c r="G24" s="76"/>
      <c r="W24" s="81"/>
    </row>
    <row r="25" spans="3:23" customFormat="1" x14ac:dyDescent="0.3">
      <c r="C25" s="51"/>
      <c r="D25" s="75"/>
      <c r="E25" s="76"/>
      <c r="F25" s="76"/>
      <c r="G25" s="76"/>
      <c r="W25" s="81"/>
    </row>
    <row r="26" spans="3:23" customFormat="1" x14ac:dyDescent="0.3">
      <c r="C26" s="51"/>
      <c r="D26" s="75"/>
      <c r="E26" s="76"/>
      <c r="F26" s="76"/>
      <c r="G26" s="76"/>
      <c r="W26" s="81"/>
    </row>
    <row r="27" spans="3:23" customFormat="1" x14ac:dyDescent="0.3">
      <c r="C27" s="51"/>
      <c r="D27" s="75"/>
      <c r="E27" s="76"/>
      <c r="F27" s="76"/>
      <c r="G27" s="76"/>
      <c r="W27" s="81"/>
    </row>
    <row r="28" spans="3:23" customFormat="1" x14ac:dyDescent="0.3">
      <c r="C28" s="51"/>
      <c r="D28" s="75"/>
      <c r="E28" s="76"/>
      <c r="F28" s="76"/>
      <c r="G28" s="76"/>
      <c r="W28" s="81"/>
    </row>
    <row r="29" spans="3:23" customFormat="1" x14ac:dyDescent="0.3">
      <c r="C29" s="51"/>
      <c r="D29" s="75"/>
      <c r="E29" s="76"/>
      <c r="F29" s="76"/>
      <c r="G29" s="76"/>
      <c r="W29" s="81"/>
    </row>
    <row r="30" spans="3:23" customFormat="1" x14ac:dyDescent="0.3">
      <c r="C30" s="51"/>
      <c r="D30" s="75"/>
      <c r="E30" s="76"/>
      <c r="F30" s="76"/>
      <c r="G30" s="76"/>
      <c r="W30" s="81"/>
    </row>
    <row r="31" spans="3:23" customFormat="1" x14ac:dyDescent="0.3">
      <c r="C31" s="51"/>
      <c r="D31" s="75"/>
      <c r="E31" s="76"/>
      <c r="F31" s="76"/>
      <c r="G31" s="76"/>
      <c r="W31" s="81"/>
    </row>
    <row r="32" spans="3:23" customFormat="1" x14ac:dyDescent="0.3">
      <c r="C32" s="51"/>
      <c r="D32" s="75"/>
      <c r="E32" s="76"/>
      <c r="F32" s="76"/>
      <c r="G32" s="76"/>
      <c r="W32" s="81"/>
    </row>
    <row r="33" spans="3:23" customFormat="1" x14ac:dyDescent="0.3">
      <c r="C33" s="51"/>
      <c r="D33" s="75"/>
      <c r="E33" s="76"/>
      <c r="F33" s="76"/>
      <c r="G33" s="76"/>
      <c r="W33" s="81"/>
    </row>
    <row r="34" spans="3:23" customFormat="1" x14ac:dyDescent="0.3">
      <c r="C34" s="51"/>
      <c r="D34" s="75"/>
      <c r="E34" s="76"/>
      <c r="F34" s="76"/>
      <c r="G34" s="76"/>
      <c r="W34" s="81"/>
    </row>
    <row r="35" spans="3:23" customFormat="1" x14ac:dyDescent="0.3">
      <c r="C35" s="51"/>
      <c r="D35" s="75"/>
      <c r="E35" s="76"/>
      <c r="F35" s="76"/>
      <c r="G35" s="76"/>
      <c r="W35" s="81"/>
    </row>
    <row r="36" spans="3:23" customFormat="1" x14ac:dyDescent="0.3">
      <c r="C36" s="51"/>
      <c r="D36" s="75"/>
      <c r="E36" s="76"/>
      <c r="F36" s="76"/>
      <c r="G36" s="76"/>
      <c r="W36" s="81"/>
    </row>
    <row r="37" spans="3:23" customFormat="1" x14ac:dyDescent="0.3">
      <c r="C37" s="51"/>
      <c r="D37" s="75"/>
      <c r="E37" s="76"/>
      <c r="F37" s="76"/>
      <c r="G37" s="76"/>
      <c r="W37" s="81"/>
    </row>
    <row r="38" spans="3:23" customFormat="1" x14ac:dyDescent="0.3">
      <c r="C38" s="51"/>
      <c r="D38" s="75"/>
      <c r="E38" s="76"/>
      <c r="F38" s="76"/>
      <c r="G38" s="76"/>
      <c r="W38" s="81"/>
    </row>
    <row r="39" spans="3:23" customFormat="1" x14ac:dyDescent="0.3">
      <c r="C39" s="51"/>
      <c r="D39" s="75"/>
      <c r="E39" s="76"/>
      <c r="F39" s="76"/>
      <c r="G39" s="76"/>
      <c r="W39" s="81"/>
    </row>
    <row r="40" spans="3:23" customFormat="1" x14ac:dyDescent="0.3">
      <c r="C40" s="51"/>
      <c r="D40" s="75"/>
      <c r="E40" s="76"/>
      <c r="F40" s="76"/>
      <c r="G40" s="76"/>
      <c r="W40" s="81"/>
    </row>
    <row r="41" spans="3:23" customFormat="1" x14ac:dyDescent="0.3">
      <c r="C41" s="51"/>
      <c r="D41" s="75"/>
      <c r="E41" s="76"/>
      <c r="F41" s="76"/>
      <c r="G41" s="76"/>
      <c r="W41" s="81"/>
    </row>
    <row r="42" spans="3:23" customFormat="1" x14ac:dyDescent="0.3">
      <c r="C42" s="51"/>
      <c r="D42" s="75"/>
      <c r="E42" s="76"/>
      <c r="F42" s="76"/>
      <c r="G42" s="76"/>
      <c r="W42" s="81"/>
    </row>
    <row r="43" spans="3:23" customFormat="1" x14ac:dyDescent="0.3">
      <c r="C43" s="51"/>
      <c r="D43" s="75"/>
      <c r="E43" s="76"/>
      <c r="F43" s="76"/>
      <c r="G43" s="76"/>
      <c r="W43" s="81"/>
    </row>
    <row r="44" spans="3:23" customFormat="1" x14ac:dyDescent="0.3">
      <c r="C44" s="51"/>
      <c r="D44" s="75"/>
      <c r="E44" s="76"/>
      <c r="F44" s="76"/>
      <c r="G44" s="76"/>
      <c r="W44" s="81"/>
    </row>
    <row r="45" spans="3:23" customFormat="1" x14ac:dyDescent="0.3">
      <c r="C45" s="51"/>
      <c r="D45" s="75"/>
      <c r="E45" s="76"/>
      <c r="F45" s="76"/>
      <c r="G45" s="76"/>
      <c r="W45" s="81"/>
    </row>
    <row r="46" spans="3:23" customFormat="1" x14ac:dyDescent="0.3">
      <c r="C46" s="51"/>
      <c r="D46" s="75"/>
      <c r="E46" s="76"/>
      <c r="F46" s="76"/>
      <c r="G46" s="76"/>
      <c r="W46" s="81"/>
    </row>
    <row r="47" spans="3:23" customFormat="1" x14ac:dyDescent="0.3">
      <c r="C47" s="51"/>
      <c r="D47" s="75"/>
      <c r="E47" s="76"/>
      <c r="F47" s="76"/>
      <c r="G47" s="76"/>
      <c r="W47" s="81"/>
    </row>
    <row r="48" spans="3:23" customFormat="1" x14ac:dyDescent="0.3">
      <c r="C48" s="51"/>
      <c r="D48" s="75"/>
      <c r="E48" s="76"/>
      <c r="F48" s="76"/>
      <c r="G48" s="76"/>
      <c r="W48" s="81"/>
    </row>
    <row r="49" spans="3:23" customFormat="1" x14ac:dyDescent="0.3">
      <c r="C49" s="51"/>
      <c r="D49" s="75"/>
      <c r="E49" s="76"/>
      <c r="F49" s="76"/>
      <c r="G49" s="76"/>
      <c r="W49" s="81"/>
    </row>
    <row r="50" spans="3:23" customFormat="1" x14ac:dyDescent="0.3">
      <c r="C50" s="51"/>
      <c r="D50" s="75"/>
      <c r="E50" s="76"/>
      <c r="F50" s="76"/>
      <c r="G50" s="76"/>
      <c r="W50" s="81"/>
    </row>
    <row r="51" spans="3:23" customFormat="1" x14ac:dyDescent="0.3">
      <c r="C51" s="51"/>
      <c r="D51" s="75"/>
      <c r="E51" s="76"/>
      <c r="F51" s="76"/>
      <c r="G51" s="76"/>
      <c r="W51" s="81"/>
    </row>
    <row r="52" spans="3:23" customFormat="1" x14ac:dyDescent="0.3">
      <c r="C52" s="51"/>
      <c r="D52" s="75"/>
      <c r="E52" s="76"/>
      <c r="F52" s="76"/>
      <c r="G52" s="76"/>
      <c r="W52" s="81"/>
    </row>
    <row r="53" spans="3:23" customFormat="1" x14ac:dyDescent="0.3">
      <c r="C53" s="51"/>
      <c r="D53" s="75"/>
      <c r="E53" s="76"/>
      <c r="F53" s="76"/>
      <c r="G53" s="76"/>
      <c r="W53" s="81"/>
    </row>
    <row r="54" spans="3:23" customFormat="1" x14ac:dyDescent="0.3">
      <c r="C54" s="51"/>
      <c r="D54" s="75"/>
      <c r="E54" s="76"/>
      <c r="F54" s="76"/>
      <c r="G54" s="76"/>
      <c r="W54" s="81"/>
    </row>
    <row r="55" spans="3:23" customFormat="1" x14ac:dyDescent="0.3">
      <c r="C55" s="51"/>
      <c r="D55" s="75"/>
      <c r="E55" s="76"/>
      <c r="F55" s="76"/>
      <c r="G55" s="76"/>
      <c r="W55" s="81"/>
    </row>
    <row r="56" spans="3:23" customFormat="1" x14ac:dyDescent="0.3">
      <c r="C56" s="51"/>
      <c r="D56" s="75"/>
      <c r="E56" s="76"/>
      <c r="F56" s="76"/>
      <c r="G56" s="76"/>
      <c r="W56" s="81"/>
    </row>
    <row r="57" spans="3:23" customFormat="1" x14ac:dyDescent="0.3">
      <c r="C57" s="51"/>
      <c r="D57" s="75"/>
      <c r="E57" s="76"/>
      <c r="F57" s="76"/>
      <c r="G57" s="76"/>
      <c r="W57" s="81"/>
    </row>
    <row r="58" spans="3:23" customFormat="1" x14ac:dyDescent="0.3">
      <c r="C58" s="51"/>
      <c r="D58" s="75"/>
      <c r="E58" s="76"/>
      <c r="F58" s="76"/>
      <c r="G58" s="76"/>
      <c r="W58" s="81"/>
    </row>
    <row r="59" spans="3:23" customFormat="1" x14ac:dyDescent="0.3">
      <c r="C59" s="51"/>
      <c r="D59" s="75"/>
      <c r="E59" s="76"/>
      <c r="F59" s="76"/>
      <c r="G59" s="76"/>
      <c r="W59" s="81"/>
    </row>
    <row r="60" spans="3:23" customFormat="1" x14ac:dyDescent="0.3">
      <c r="C60" s="51"/>
      <c r="D60" s="75"/>
      <c r="E60" s="76"/>
      <c r="F60" s="76"/>
      <c r="G60" s="76"/>
      <c r="W60" s="81"/>
    </row>
    <row r="61" spans="3:23" customFormat="1" x14ac:dyDescent="0.3">
      <c r="C61" s="51"/>
      <c r="D61" s="75"/>
      <c r="E61" s="76"/>
      <c r="F61" s="76"/>
      <c r="G61" s="76"/>
      <c r="W61" s="81"/>
    </row>
    <row r="62" spans="3:23" customFormat="1" x14ac:dyDescent="0.3">
      <c r="C62" s="51"/>
      <c r="D62" s="75"/>
      <c r="E62" s="76"/>
      <c r="F62" s="76"/>
      <c r="G62" s="76"/>
      <c r="W62" s="81"/>
    </row>
    <row r="63" spans="3:23" customFormat="1" x14ac:dyDescent="0.3">
      <c r="C63" s="51"/>
      <c r="D63" s="75"/>
      <c r="E63" s="76"/>
      <c r="F63" s="76"/>
      <c r="G63" s="76"/>
      <c r="W63" s="81"/>
    </row>
    <row r="64" spans="3:23" customFormat="1" x14ac:dyDescent="0.3">
      <c r="C64" s="51"/>
      <c r="D64" s="75"/>
      <c r="E64" s="76"/>
      <c r="F64" s="76"/>
      <c r="G64" s="76"/>
      <c r="W64" s="81"/>
    </row>
    <row r="65" spans="3:23" customFormat="1" x14ac:dyDescent="0.3">
      <c r="C65" s="51"/>
      <c r="D65" s="75"/>
      <c r="E65" s="76"/>
      <c r="F65" s="76"/>
      <c r="G65" s="76"/>
      <c r="W65" s="81"/>
    </row>
    <row r="66" spans="3:23" customFormat="1" x14ac:dyDescent="0.3">
      <c r="C66" s="51"/>
      <c r="D66" s="75"/>
      <c r="E66" s="76"/>
      <c r="F66" s="76"/>
      <c r="G66" s="76"/>
      <c r="W66" s="81"/>
    </row>
    <row r="67" spans="3:23" customFormat="1" x14ac:dyDescent="0.3">
      <c r="C67" s="51"/>
      <c r="D67" s="75"/>
      <c r="E67" s="76"/>
      <c r="F67" s="76"/>
      <c r="G67" s="76"/>
      <c r="W67" s="81"/>
    </row>
    <row r="68" spans="3:23" customFormat="1" x14ac:dyDescent="0.3">
      <c r="C68" s="51"/>
      <c r="D68" s="75"/>
      <c r="E68" s="76"/>
      <c r="F68" s="76"/>
      <c r="G68" s="76"/>
      <c r="W68" s="81"/>
    </row>
    <row r="69" spans="3:23" customFormat="1" x14ac:dyDescent="0.3">
      <c r="C69" s="51"/>
      <c r="D69" s="75"/>
      <c r="E69" s="76"/>
      <c r="F69" s="76"/>
      <c r="G69" s="76"/>
      <c r="W69" s="81"/>
    </row>
    <row r="70" spans="3:23" customFormat="1" x14ac:dyDescent="0.3">
      <c r="C70" s="51"/>
      <c r="D70" s="75"/>
      <c r="E70" s="76"/>
      <c r="F70" s="76"/>
      <c r="G70" s="76"/>
      <c r="W70" s="81"/>
    </row>
    <row r="71" spans="3:23" customFormat="1" x14ac:dyDescent="0.3">
      <c r="C71" s="51"/>
      <c r="D71" s="75"/>
      <c r="E71" s="76"/>
      <c r="F71" s="76"/>
      <c r="G71" s="76"/>
      <c r="W71" s="81"/>
    </row>
    <row r="72" spans="3:23" customFormat="1" x14ac:dyDescent="0.3">
      <c r="C72" s="51"/>
      <c r="D72" s="75"/>
      <c r="E72" s="76"/>
      <c r="F72" s="76"/>
      <c r="G72" s="76"/>
      <c r="W72" s="81"/>
    </row>
    <row r="73" spans="3:23" customFormat="1" x14ac:dyDescent="0.3">
      <c r="C73" s="51"/>
      <c r="D73" s="75"/>
      <c r="E73" s="76"/>
      <c r="F73" s="76"/>
      <c r="G73" s="76"/>
      <c r="W73" s="81"/>
    </row>
    <row r="74" spans="3:23" customFormat="1" x14ac:dyDescent="0.3">
      <c r="C74" s="51"/>
      <c r="D74" s="75"/>
      <c r="E74" s="76"/>
      <c r="F74" s="76"/>
      <c r="G74" s="76"/>
      <c r="W74" s="81"/>
    </row>
    <row r="75" spans="3:23" customFormat="1" x14ac:dyDescent="0.3">
      <c r="C75" s="51"/>
      <c r="D75" s="75"/>
      <c r="E75" s="76"/>
      <c r="F75" s="76"/>
      <c r="G75" s="76"/>
      <c r="W75" s="81"/>
    </row>
    <row r="76" spans="3:23" customFormat="1" x14ac:dyDescent="0.3">
      <c r="C76" s="51"/>
      <c r="D76" s="75"/>
      <c r="E76" s="76"/>
      <c r="F76" s="76"/>
      <c r="G76" s="76"/>
      <c r="W76" s="81"/>
    </row>
    <row r="77" spans="3:23" customFormat="1" x14ac:dyDescent="0.3">
      <c r="D77" s="76"/>
      <c r="E77" s="76"/>
      <c r="F77" s="76"/>
      <c r="G77" s="76"/>
      <c r="W77" s="81"/>
    </row>
    <row r="78" spans="3:23" customFormat="1" x14ac:dyDescent="0.3">
      <c r="D78" s="76"/>
      <c r="E78" s="76"/>
      <c r="F78" s="76"/>
      <c r="G78" s="76"/>
      <c r="W78" s="81"/>
    </row>
    <row r="79" spans="3:23" customFormat="1" x14ac:dyDescent="0.3">
      <c r="D79" s="76"/>
      <c r="E79" s="76"/>
      <c r="F79" s="76"/>
      <c r="G79" s="76"/>
      <c r="W79" s="81"/>
    </row>
    <row r="80" spans="3:23" customFormat="1" x14ac:dyDescent="0.3">
      <c r="D80" s="76"/>
      <c r="E80" s="76"/>
      <c r="F80" s="76"/>
      <c r="G80" s="76"/>
      <c r="W80" s="81"/>
    </row>
    <row r="81" spans="4:23" customFormat="1" x14ac:dyDescent="0.3">
      <c r="D81" s="76"/>
      <c r="E81" s="76"/>
      <c r="F81" s="76"/>
      <c r="G81" s="76"/>
      <c r="W81" s="81"/>
    </row>
    <row r="82" spans="4:23" customFormat="1" x14ac:dyDescent="0.3">
      <c r="D82" s="76"/>
      <c r="E82" s="76"/>
      <c r="F82" s="76"/>
      <c r="G82" s="76"/>
      <c r="W82" s="81"/>
    </row>
    <row r="83" spans="4:23" customFormat="1" x14ac:dyDescent="0.3">
      <c r="D83" s="76"/>
      <c r="E83" s="76"/>
      <c r="F83" s="76"/>
      <c r="G83" s="76"/>
      <c r="W83" s="81"/>
    </row>
    <row r="84" spans="4:23" customFormat="1" x14ac:dyDescent="0.3">
      <c r="D84" s="76"/>
      <c r="E84" s="76"/>
      <c r="F84" s="76"/>
      <c r="G84" s="76"/>
      <c r="W84" s="81"/>
    </row>
    <row r="85" spans="4:23" customFormat="1" x14ac:dyDescent="0.3">
      <c r="D85" s="76"/>
      <c r="E85" s="76"/>
      <c r="F85" s="76"/>
      <c r="G85" s="76"/>
      <c r="W85" s="81"/>
    </row>
    <row r="86" spans="4:23" customFormat="1" x14ac:dyDescent="0.3">
      <c r="D86" s="76"/>
      <c r="E86" s="76"/>
      <c r="F86" s="76"/>
      <c r="G86" s="76"/>
      <c r="W86" s="81"/>
    </row>
    <row r="87" spans="4:23" customFormat="1" x14ac:dyDescent="0.3">
      <c r="D87" s="76"/>
      <c r="E87" s="76"/>
      <c r="F87" s="76"/>
      <c r="G87" s="76"/>
      <c r="W87" s="81"/>
    </row>
    <row r="88" spans="4:23" customFormat="1" x14ac:dyDescent="0.3">
      <c r="D88" s="76"/>
      <c r="E88" s="76"/>
      <c r="F88" s="76"/>
      <c r="G88" s="76"/>
      <c r="W88" s="81"/>
    </row>
    <row r="89" spans="4:23" customFormat="1" x14ac:dyDescent="0.3">
      <c r="D89" s="76"/>
      <c r="E89" s="76"/>
      <c r="F89" s="76"/>
      <c r="G89" s="76"/>
      <c r="W89" s="81"/>
    </row>
    <row r="90" spans="4:23" customFormat="1" x14ac:dyDescent="0.3">
      <c r="D90" s="76"/>
      <c r="E90" s="76"/>
      <c r="F90" s="76"/>
      <c r="G90" s="76"/>
      <c r="W90" s="81"/>
    </row>
    <row r="91" spans="4:23" customFormat="1" x14ac:dyDescent="0.3">
      <c r="D91" s="76"/>
      <c r="E91" s="76"/>
      <c r="F91" s="76"/>
      <c r="G91" s="76"/>
      <c r="W91" s="81"/>
    </row>
    <row r="92" spans="4:23" customFormat="1" x14ac:dyDescent="0.3">
      <c r="D92" s="76"/>
      <c r="E92" s="76"/>
      <c r="F92" s="76"/>
      <c r="G92" s="76"/>
      <c r="W92" s="81"/>
    </row>
    <row r="93" spans="4:23" customFormat="1" x14ac:dyDescent="0.3">
      <c r="D93" s="76"/>
      <c r="E93" s="76"/>
      <c r="F93" s="76"/>
      <c r="G93" s="76"/>
      <c r="W93" s="81"/>
    </row>
    <row r="94" spans="4:23" customFormat="1" x14ac:dyDescent="0.3">
      <c r="D94" s="76"/>
      <c r="E94" s="76"/>
      <c r="F94" s="76"/>
      <c r="G94" s="76"/>
      <c r="W94" s="81"/>
    </row>
    <row r="95" spans="4:23" customFormat="1" x14ac:dyDescent="0.3">
      <c r="D95" s="76"/>
      <c r="E95" s="76"/>
      <c r="F95" s="76"/>
      <c r="G95" s="76"/>
      <c r="W95" s="81"/>
    </row>
    <row r="96" spans="4:23" customFormat="1" x14ac:dyDescent="0.3">
      <c r="D96" s="76"/>
      <c r="E96" s="76"/>
      <c r="F96" s="76"/>
      <c r="G96" s="76"/>
      <c r="W96" s="81"/>
    </row>
    <row r="97" spans="4:23" customFormat="1" x14ac:dyDescent="0.3">
      <c r="D97" s="76"/>
      <c r="E97" s="76"/>
      <c r="F97" s="76"/>
      <c r="G97" s="76"/>
      <c r="W97" s="81"/>
    </row>
    <row r="98" spans="4:23" customFormat="1" x14ac:dyDescent="0.3">
      <c r="D98" s="76"/>
      <c r="E98" s="76"/>
      <c r="F98" s="76"/>
      <c r="G98" s="76"/>
      <c r="W98" s="81"/>
    </row>
    <row r="99" spans="4:23" customFormat="1" x14ac:dyDescent="0.3">
      <c r="D99" s="76"/>
      <c r="E99" s="76"/>
      <c r="F99" s="76"/>
      <c r="G99" s="76"/>
      <c r="W99" s="81"/>
    </row>
    <row r="100" spans="4:23" customFormat="1" x14ac:dyDescent="0.3">
      <c r="D100" s="76"/>
      <c r="E100" s="76"/>
      <c r="F100" s="76"/>
      <c r="G100" s="76"/>
      <c r="W100" s="81"/>
    </row>
    <row r="101" spans="4:23" customFormat="1" x14ac:dyDescent="0.3">
      <c r="D101" s="76"/>
      <c r="E101" s="76"/>
      <c r="F101" s="76"/>
      <c r="G101" s="76"/>
      <c r="W101" s="81"/>
    </row>
    <row r="102" spans="4:23" customFormat="1" x14ac:dyDescent="0.3">
      <c r="D102" s="76"/>
      <c r="E102" s="76"/>
      <c r="F102" s="76"/>
      <c r="G102" s="76"/>
      <c r="W102" s="81"/>
    </row>
    <row r="103" spans="4:23" customFormat="1" x14ac:dyDescent="0.3">
      <c r="D103" s="76"/>
      <c r="E103" s="76"/>
      <c r="F103" s="76"/>
      <c r="G103" s="76"/>
      <c r="W103" s="81"/>
    </row>
    <row r="104" spans="4:23" customFormat="1" x14ac:dyDescent="0.3">
      <c r="D104" s="76"/>
      <c r="E104" s="76"/>
      <c r="F104" s="76"/>
      <c r="G104" s="76"/>
      <c r="W104" s="81"/>
    </row>
    <row r="105" spans="4:23" customFormat="1" x14ac:dyDescent="0.3">
      <c r="D105" s="76"/>
      <c r="E105" s="76"/>
      <c r="F105" s="76"/>
      <c r="G105" s="76"/>
      <c r="W105" s="81"/>
    </row>
    <row r="106" spans="4:23" customFormat="1" x14ac:dyDescent="0.3">
      <c r="D106" s="76"/>
      <c r="E106" s="76"/>
      <c r="F106" s="76"/>
      <c r="G106" s="76"/>
      <c r="W106" s="81"/>
    </row>
    <row r="107" spans="4:23" customFormat="1" x14ac:dyDescent="0.3">
      <c r="D107" s="76"/>
      <c r="E107" s="76"/>
      <c r="F107" s="76"/>
      <c r="G107" s="76"/>
      <c r="W107" s="81"/>
    </row>
    <row r="108" spans="4:23" customFormat="1" x14ac:dyDescent="0.3">
      <c r="D108" s="76"/>
      <c r="E108" s="76"/>
      <c r="F108" s="76"/>
      <c r="G108" s="76"/>
      <c r="W108" s="81"/>
    </row>
    <row r="109" spans="4:23" customFormat="1" x14ac:dyDescent="0.3">
      <c r="D109" s="76"/>
      <c r="E109" s="76"/>
      <c r="F109" s="76"/>
      <c r="G109" s="76"/>
      <c r="W109" s="81"/>
    </row>
    <row r="110" spans="4:23" customFormat="1" x14ac:dyDescent="0.3">
      <c r="D110" s="76"/>
      <c r="E110" s="76"/>
      <c r="F110" s="76"/>
      <c r="G110" s="76"/>
      <c r="W110" s="81"/>
    </row>
    <row r="111" spans="4:23" customFormat="1" x14ac:dyDescent="0.3">
      <c r="D111" s="76"/>
      <c r="E111" s="76"/>
      <c r="F111" s="76"/>
      <c r="G111" s="76"/>
      <c r="W111" s="81"/>
    </row>
    <row r="112" spans="4:23" customFormat="1" x14ac:dyDescent="0.3">
      <c r="D112" s="76"/>
      <c r="E112" s="76"/>
      <c r="F112" s="76"/>
      <c r="G112" s="76"/>
      <c r="W112" s="81"/>
    </row>
    <row r="113" spans="4:23" customFormat="1" x14ac:dyDescent="0.3">
      <c r="D113" s="76"/>
      <c r="E113" s="76"/>
      <c r="F113" s="76"/>
      <c r="G113" s="76"/>
      <c r="W113" s="81"/>
    </row>
    <row r="114" spans="4:23" customFormat="1" x14ac:dyDescent="0.3">
      <c r="D114" s="76"/>
      <c r="E114" s="76"/>
      <c r="F114" s="76"/>
      <c r="G114" s="76"/>
      <c r="W114" s="81"/>
    </row>
    <row r="115" spans="4:23" customFormat="1" x14ac:dyDescent="0.3">
      <c r="D115" s="76"/>
      <c r="E115" s="76"/>
      <c r="F115" s="76"/>
      <c r="G115" s="76"/>
      <c r="W115" s="81"/>
    </row>
    <row r="116" spans="4:23" customFormat="1" x14ac:dyDescent="0.3">
      <c r="D116" s="76"/>
      <c r="E116" s="76"/>
      <c r="F116" s="76"/>
      <c r="G116" s="76"/>
      <c r="W116" s="81"/>
    </row>
    <row r="117" spans="4:23" customFormat="1" x14ac:dyDescent="0.3">
      <c r="D117" s="76"/>
      <c r="E117" s="76"/>
      <c r="F117" s="76"/>
      <c r="G117" s="76"/>
      <c r="W117" s="81"/>
    </row>
    <row r="118" spans="4:23" customFormat="1" x14ac:dyDescent="0.3">
      <c r="D118" s="76"/>
      <c r="E118" s="76"/>
      <c r="F118" s="76"/>
      <c r="G118" s="76"/>
      <c r="W118" s="81"/>
    </row>
    <row r="119" spans="4:23" customFormat="1" x14ac:dyDescent="0.3">
      <c r="D119" s="76"/>
      <c r="E119" s="76"/>
      <c r="F119" s="76"/>
      <c r="G119" s="76"/>
      <c r="W119" s="81"/>
    </row>
    <row r="120" spans="4:23" customFormat="1" x14ac:dyDescent="0.3">
      <c r="D120" s="76"/>
      <c r="E120" s="76"/>
      <c r="F120" s="76"/>
      <c r="G120" s="76"/>
      <c r="W120" s="81"/>
    </row>
    <row r="121" spans="4:23" customFormat="1" x14ac:dyDescent="0.3">
      <c r="D121" s="76"/>
      <c r="E121" s="76"/>
      <c r="F121" s="76"/>
      <c r="G121" s="76"/>
      <c r="W121" s="81"/>
    </row>
    <row r="122" spans="4:23" customFormat="1" x14ac:dyDescent="0.3">
      <c r="D122" s="76"/>
      <c r="E122" s="76"/>
      <c r="F122" s="76"/>
      <c r="G122" s="76"/>
      <c r="W122" s="81"/>
    </row>
    <row r="123" spans="4:23" customFormat="1" x14ac:dyDescent="0.3">
      <c r="D123" s="76"/>
      <c r="E123" s="76"/>
      <c r="F123" s="76"/>
      <c r="G123" s="76"/>
      <c r="W123" s="81"/>
    </row>
    <row r="124" spans="4:23" customFormat="1" x14ac:dyDescent="0.3">
      <c r="D124" s="76"/>
      <c r="E124" s="76"/>
      <c r="F124" s="76"/>
      <c r="G124" s="76"/>
      <c r="W124" s="81"/>
    </row>
    <row r="125" spans="4:23" customFormat="1" x14ac:dyDescent="0.3">
      <c r="D125" s="76"/>
      <c r="E125" s="76"/>
      <c r="F125" s="76"/>
      <c r="G125" s="76"/>
      <c r="W125" s="81"/>
    </row>
    <row r="126" spans="4:23" customFormat="1" x14ac:dyDescent="0.3">
      <c r="D126" s="76"/>
      <c r="E126" s="76"/>
      <c r="F126" s="76"/>
      <c r="G126" s="76"/>
      <c r="W126" s="81"/>
    </row>
    <row r="127" spans="4:23" customFormat="1" x14ac:dyDescent="0.3">
      <c r="D127" s="76"/>
      <c r="E127" s="76"/>
      <c r="F127" s="76"/>
      <c r="G127" s="76"/>
      <c r="W127" s="81"/>
    </row>
    <row r="128" spans="4:23" customFormat="1" x14ac:dyDescent="0.3">
      <c r="D128" s="76"/>
      <c r="E128" s="76"/>
      <c r="F128" s="76"/>
      <c r="G128" s="76"/>
      <c r="W128" s="81"/>
    </row>
    <row r="129" spans="4:23" customFormat="1" x14ac:dyDescent="0.3">
      <c r="D129" s="76"/>
      <c r="E129" s="76"/>
      <c r="F129" s="76"/>
      <c r="G129" s="76"/>
      <c r="W129" s="81"/>
    </row>
    <row r="130" spans="4:23" customFormat="1" x14ac:dyDescent="0.3">
      <c r="D130" s="76"/>
      <c r="E130" s="76"/>
      <c r="F130" s="76"/>
      <c r="G130" s="76"/>
      <c r="W130" s="81"/>
    </row>
    <row r="131" spans="4:23" customFormat="1" x14ac:dyDescent="0.3">
      <c r="D131" s="76"/>
      <c r="E131" s="76"/>
      <c r="F131" s="76"/>
      <c r="G131" s="76"/>
      <c r="W131" s="81"/>
    </row>
    <row r="132" spans="4:23" customFormat="1" x14ac:dyDescent="0.3">
      <c r="D132" s="76"/>
      <c r="E132" s="76"/>
      <c r="F132" s="76"/>
      <c r="G132" s="76"/>
      <c r="W132" s="81"/>
    </row>
    <row r="133" spans="4:23" customFormat="1" x14ac:dyDescent="0.3">
      <c r="D133" s="76"/>
      <c r="E133" s="76"/>
      <c r="F133" s="76"/>
      <c r="G133" s="76"/>
      <c r="W133" s="81"/>
    </row>
    <row r="134" spans="4:23" customFormat="1" x14ac:dyDescent="0.3">
      <c r="D134" s="76"/>
      <c r="E134" s="76"/>
      <c r="F134" s="76"/>
      <c r="G134" s="76"/>
      <c r="W134" s="81"/>
    </row>
    <row r="135" spans="4:23" customFormat="1" x14ac:dyDescent="0.3">
      <c r="D135" s="76"/>
      <c r="E135" s="76"/>
      <c r="F135" s="76"/>
      <c r="G135" s="76"/>
      <c r="W135" s="81"/>
    </row>
    <row r="136" spans="4:23" customFormat="1" x14ac:dyDescent="0.3">
      <c r="D136" s="76"/>
      <c r="E136" s="76"/>
      <c r="F136" s="76"/>
      <c r="G136" s="76"/>
      <c r="W136" s="81"/>
    </row>
    <row r="137" spans="4:23" customFormat="1" x14ac:dyDescent="0.3">
      <c r="D137" s="76"/>
      <c r="E137" s="76"/>
      <c r="F137" s="76"/>
      <c r="G137" s="76"/>
      <c r="W137" s="81"/>
    </row>
    <row r="138" spans="4:23" customFormat="1" x14ac:dyDescent="0.3">
      <c r="D138" s="76"/>
      <c r="E138" s="76"/>
      <c r="F138" s="76"/>
      <c r="G138" s="76"/>
      <c r="W138" s="81"/>
    </row>
    <row r="139" spans="4:23" customFormat="1" x14ac:dyDescent="0.3">
      <c r="D139" s="76"/>
      <c r="E139" s="76"/>
      <c r="F139" s="76"/>
      <c r="G139" s="76"/>
      <c r="W139" s="81"/>
    </row>
    <row r="140" spans="4:23" customFormat="1" x14ac:dyDescent="0.3">
      <c r="D140" s="76"/>
      <c r="E140" s="76"/>
      <c r="F140" s="76"/>
      <c r="G140" s="76"/>
      <c r="W140" s="81"/>
    </row>
    <row r="141" spans="4:23" customFormat="1" x14ac:dyDescent="0.3">
      <c r="D141" s="76"/>
      <c r="E141" s="76"/>
      <c r="F141" s="76"/>
      <c r="G141" s="76"/>
      <c r="W141" s="81"/>
    </row>
    <row r="142" spans="4:23" customFormat="1" x14ac:dyDescent="0.3">
      <c r="D142" s="76"/>
      <c r="E142" s="76"/>
      <c r="F142" s="76"/>
      <c r="G142" s="76"/>
      <c r="W142" s="81"/>
    </row>
    <row r="143" spans="4:23" customFormat="1" x14ac:dyDescent="0.3">
      <c r="D143" s="76"/>
      <c r="E143" s="76"/>
      <c r="F143" s="76"/>
      <c r="G143" s="76"/>
      <c r="W143" s="81"/>
    </row>
    <row r="144" spans="4:23" customFormat="1" x14ac:dyDescent="0.3">
      <c r="D144" s="76"/>
      <c r="E144" s="76"/>
      <c r="F144" s="76"/>
      <c r="G144" s="76"/>
      <c r="W144" s="81"/>
    </row>
    <row r="145" spans="4:23" customFormat="1" x14ac:dyDescent="0.3">
      <c r="D145" s="76"/>
      <c r="E145" s="76"/>
      <c r="F145" s="76"/>
      <c r="G145" s="76"/>
      <c r="W145" s="81"/>
    </row>
    <row r="146" spans="4:23" customFormat="1" x14ac:dyDescent="0.3">
      <c r="D146" s="76"/>
      <c r="E146" s="76"/>
      <c r="F146" s="76"/>
      <c r="G146" s="76"/>
      <c r="W146" s="81"/>
    </row>
    <row r="147" spans="4:23" customFormat="1" x14ac:dyDescent="0.3">
      <c r="D147" s="76"/>
      <c r="E147" s="76"/>
      <c r="F147" s="76"/>
      <c r="G147" s="76"/>
      <c r="W147" s="81"/>
    </row>
    <row r="148" spans="4:23" customFormat="1" x14ac:dyDescent="0.3">
      <c r="D148" s="76"/>
      <c r="E148" s="76"/>
      <c r="F148" s="76"/>
      <c r="G148" s="76"/>
      <c r="W148" s="81"/>
    </row>
    <row r="149" spans="4:23" customFormat="1" x14ac:dyDescent="0.3">
      <c r="D149" s="76"/>
      <c r="E149" s="76"/>
      <c r="F149" s="76"/>
      <c r="G149" s="76"/>
      <c r="W149" s="81"/>
    </row>
    <row r="150" spans="4:23" customFormat="1" x14ac:dyDescent="0.3">
      <c r="D150" s="76"/>
      <c r="E150" s="76"/>
      <c r="F150" s="76"/>
      <c r="G150" s="76"/>
      <c r="W150" s="81"/>
    </row>
    <row r="151" spans="4:23" customFormat="1" x14ac:dyDescent="0.3">
      <c r="D151" s="76"/>
      <c r="E151" s="76"/>
      <c r="F151" s="76"/>
      <c r="G151" s="76"/>
      <c r="W151" s="81"/>
    </row>
    <row r="152" spans="4:23" customFormat="1" x14ac:dyDescent="0.3">
      <c r="D152" s="76"/>
      <c r="E152" s="76"/>
      <c r="F152" s="76"/>
      <c r="G152" s="76"/>
      <c r="W152" s="81"/>
    </row>
    <row r="153" spans="4:23" customFormat="1" x14ac:dyDescent="0.3">
      <c r="D153" s="76"/>
      <c r="E153" s="76"/>
      <c r="F153" s="76"/>
      <c r="G153" s="76"/>
      <c r="W153" s="81"/>
    </row>
    <row r="154" spans="4:23" customFormat="1" x14ac:dyDescent="0.3">
      <c r="D154" s="76"/>
      <c r="E154" s="76"/>
      <c r="F154" s="76"/>
      <c r="G154" s="76"/>
      <c r="W154" s="81"/>
    </row>
    <row r="155" spans="4:23" customFormat="1" x14ac:dyDescent="0.3">
      <c r="D155" s="76"/>
      <c r="E155" s="76"/>
      <c r="F155" s="76"/>
      <c r="G155" s="76"/>
      <c r="W155" s="81"/>
    </row>
    <row r="156" spans="4:23" customFormat="1" x14ac:dyDescent="0.3">
      <c r="D156" s="76"/>
      <c r="E156" s="76"/>
      <c r="F156" s="76"/>
      <c r="G156" s="76"/>
      <c r="W156" s="81"/>
    </row>
    <row r="157" spans="4:23" customFormat="1" x14ac:dyDescent="0.3">
      <c r="D157" s="76"/>
      <c r="E157" s="76"/>
      <c r="F157" s="76"/>
      <c r="G157" s="76"/>
      <c r="W157" s="81"/>
    </row>
    <row r="158" spans="4:23" customFormat="1" x14ac:dyDescent="0.3">
      <c r="D158" s="76"/>
      <c r="E158" s="76"/>
      <c r="F158" s="76"/>
      <c r="G158" s="76"/>
      <c r="W158" s="81"/>
    </row>
    <row r="159" spans="4:23" customFormat="1" x14ac:dyDescent="0.3">
      <c r="D159" s="76"/>
      <c r="E159" s="76"/>
      <c r="F159" s="76"/>
      <c r="G159" s="76"/>
      <c r="W159" s="81"/>
    </row>
    <row r="160" spans="4:23" customFormat="1" x14ac:dyDescent="0.3">
      <c r="D160" s="76"/>
      <c r="E160" s="76"/>
      <c r="F160" s="76"/>
      <c r="G160" s="76"/>
      <c r="W160" s="81"/>
    </row>
    <row r="161" spans="4:23" customFormat="1" x14ac:dyDescent="0.3">
      <c r="D161" s="76"/>
      <c r="E161" s="76"/>
      <c r="F161" s="76"/>
      <c r="G161" s="76"/>
      <c r="W161" s="81"/>
    </row>
    <row r="162" spans="4:23" customFormat="1" x14ac:dyDescent="0.3">
      <c r="D162" s="76"/>
      <c r="E162" s="76"/>
      <c r="F162" s="76"/>
      <c r="G162" s="76"/>
      <c r="W162" s="81"/>
    </row>
    <row r="163" spans="4:23" customFormat="1" x14ac:dyDescent="0.3">
      <c r="D163" s="76"/>
      <c r="E163" s="76"/>
      <c r="F163" s="76"/>
      <c r="G163" s="76"/>
      <c r="W163" s="81"/>
    </row>
    <row r="164" spans="4:23" customFormat="1" x14ac:dyDescent="0.3">
      <c r="D164" s="76"/>
      <c r="E164" s="76"/>
      <c r="F164" s="76"/>
      <c r="G164" s="76"/>
      <c r="W164" s="81"/>
    </row>
    <row r="165" spans="4:23" customFormat="1" x14ac:dyDescent="0.3">
      <c r="D165" s="76"/>
      <c r="E165" s="76"/>
      <c r="F165" s="76"/>
      <c r="G165" s="76"/>
      <c r="W165" s="81"/>
    </row>
    <row r="166" spans="4:23" customFormat="1" x14ac:dyDescent="0.3">
      <c r="D166" s="76"/>
      <c r="E166" s="76"/>
      <c r="F166" s="76"/>
      <c r="G166" s="76"/>
      <c r="W166" s="81"/>
    </row>
    <row r="167" spans="4:23" customFormat="1" x14ac:dyDescent="0.3">
      <c r="D167" s="76"/>
      <c r="E167" s="76"/>
      <c r="F167" s="76"/>
      <c r="G167" s="76"/>
      <c r="W167" s="81"/>
    </row>
    <row r="168" spans="4:23" customFormat="1" x14ac:dyDescent="0.3">
      <c r="D168" s="76"/>
      <c r="E168" s="76"/>
      <c r="F168" s="76"/>
      <c r="G168" s="76"/>
      <c r="W168" s="81"/>
    </row>
    <row r="169" spans="4:23" customFormat="1" x14ac:dyDescent="0.3">
      <c r="D169" s="76"/>
      <c r="E169" s="76"/>
      <c r="F169" s="76"/>
      <c r="G169" s="76"/>
      <c r="W169" s="81"/>
    </row>
    <row r="170" spans="4:23" customFormat="1" x14ac:dyDescent="0.3">
      <c r="D170" s="76"/>
      <c r="E170" s="76"/>
      <c r="F170" s="76"/>
      <c r="G170" s="76"/>
      <c r="W170" s="81"/>
    </row>
    <row r="171" spans="4:23" customFormat="1" x14ac:dyDescent="0.3">
      <c r="D171" s="76"/>
      <c r="E171" s="76"/>
      <c r="F171" s="76"/>
      <c r="G171" s="76"/>
      <c r="W171" s="81"/>
    </row>
    <row r="172" spans="4:23" customFormat="1" x14ac:dyDescent="0.3">
      <c r="D172" s="76"/>
      <c r="E172" s="76"/>
      <c r="F172" s="76"/>
      <c r="G172" s="76"/>
      <c r="W172" s="81"/>
    </row>
    <row r="173" spans="4:23" customFormat="1" x14ac:dyDescent="0.3">
      <c r="D173" s="76"/>
      <c r="E173" s="76"/>
      <c r="F173" s="76"/>
      <c r="G173" s="76"/>
      <c r="W173" s="81"/>
    </row>
    <row r="174" spans="4:23" customFormat="1" x14ac:dyDescent="0.3">
      <c r="D174" s="76"/>
      <c r="E174" s="76"/>
      <c r="F174" s="76"/>
      <c r="G174" s="76"/>
      <c r="W174" s="81"/>
    </row>
    <row r="175" spans="4:23" customFormat="1" x14ac:dyDescent="0.3">
      <c r="D175" s="76"/>
      <c r="E175" s="76"/>
      <c r="F175" s="76"/>
      <c r="G175" s="76"/>
      <c r="W175" s="81"/>
    </row>
    <row r="176" spans="4:23" customFormat="1" x14ac:dyDescent="0.3">
      <c r="D176" s="76"/>
      <c r="E176" s="76"/>
      <c r="F176" s="76"/>
      <c r="G176" s="76"/>
      <c r="W176" s="81"/>
    </row>
    <row r="177" spans="4:23" customFormat="1" x14ac:dyDescent="0.3">
      <c r="D177" s="76"/>
      <c r="E177" s="76"/>
      <c r="F177" s="76"/>
      <c r="G177" s="76"/>
      <c r="W177" s="81"/>
    </row>
    <row r="178" spans="4:23" customFormat="1" x14ac:dyDescent="0.3">
      <c r="D178" s="76"/>
      <c r="E178" s="76"/>
      <c r="F178" s="76"/>
      <c r="G178" s="76"/>
      <c r="W178" s="81"/>
    </row>
    <row r="179" spans="4:23" customFormat="1" x14ac:dyDescent="0.3">
      <c r="D179" s="76"/>
      <c r="E179" s="76"/>
      <c r="F179" s="76"/>
      <c r="G179" s="76"/>
      <c r="W179" s="81"/>
    </row>
    <row r="180" spans="4:23" customFormat="1" x14ac:dyDescent="0.3">
      <c r="D180" s="76"/>
      <c r="E180" s="76"/>
      <c r="F180" s="76"/>
      <c r="G180" s="76"/>
      <c r="W180" s="81"/>
    </row>
    <row r="181" spans="4:23" customFormat="1" x14ac:dyDescent="0.3">
      <c r="D181" s="76"/>
      <c r="E181" s="76"/>
      <c r="F181" s="76"/>
      <c r="G181" s="76"/>
      <c r="W181" s="81"/>
    </row>
    <row r="182" spans="4:23" customFormat="1" x14ac:dyDescent="0.3">
      <c r="D182" s="76"/>
      <c r="E182" s="76"/>
      <c r="F182" s="76"/>
      <c r="G182" s="76"/>
      <c r="W182" s="81"/>
    </row>
    <row r="183" spans="4:23" customFormat="1" x14ac:dyDescent="0.3">
      <c r="D183" s="76"/>
      <c r="E183" s="76"/>
      <c r="F183" s="76"/>
      <c r="G183" s="76"/>
      <c r="W183" s="81"/>
    </row>
    <row r="184" spans="4:23" customFormat="1" x14ac:dyDescent="0.3">
      <c r="D184" s="76"/>
      <c r="E184" s="76"/>
      <c r="F184" s="76"/>
      <c r="G184" s="76"/>
      <c r="W184" s="81"/>
    </row>
    <row r="185" spans="4:23" customFormat="1" x14ac:dyDescent="0.3">
      <c r="D185" s="76"/>
      <c r="E185" s="76"/>
      <c r="F185" s="76"/>
      <c r="G185" s="76"/>
      <c r="W185" s="81"/>
    </row>
    <row r="186" spans="4:23" customFormat="1" x14ac:dyDescent="0.3">
      <c r="D186" s="76"/>
      <c r="E186" s="76"/>
      <c r="F186" s="76"/>
      <c r="G186" s="76"/>
      <c r="W186" s="81"/>
    </row>
    <row r="187" spans="4:23" customFormat="1" x14ac:dyDescent="0.3">
      <c r="D187" s="76"/>
      <c r="E187" s="76"/>
      <c r="F187" s="76"/>
      <c r="G187" s="76"/>
      <c r="W187" s="81"/>
    </row>
    <row r="188" spans="4:23" customFormat="1" x14ac:dyDescent="0.3">
      <c r="D188" s="76"/>
      <c r="E188" s="76"/>
      <c r="F188" s="76"/>
      <c r="G188" s="76"/>
      <c r="W188" s="81"/>
    </row>
    <row r="189" spans="4:23" customFormat="1" x14ac:dyDescent="0.3">
      <c r="D189" s="76"/>
      <c r="E189" s="76"/>
      <c r="F189" s="76"/>
      <c r="G189" s="76"/>
      <c r="W189" s="81"/>
    </row>
    <row r="190" spans="4:23" customFormat="1" x14ac:dyDescent="0.3">
      <c r="D190" s="76"/>
      <c r="E190" s="76"/>
      <c r="F190" s="76"/>
      <c r="G190" s="76"/>
      <c r="W190" s="81"/>
    </row>
    <row r="191" spans="4:23" customFormat="1" x14ac:dyDescent="0.3">
      <c r="D191" s="76"/>
      <c r="E191" s="76"/>
      <c r="F191" s="76"/>
      <c r="G191" s="76"/>
      <c r="W191" s="81"/>
    </row>
    <row r="192" spans="4:23" customFormat="1" x14ac:dyDescent="0.3">
      <c r="D192" s="76"/>
      <c r="E192" s="76"/>
      <c r="F192" s="76"/>
      <c r="G192" s="76"/>
      <c r="W192" s="81"/>
    </row>
    <row r="193" spans="4:23" customFormat="1" x14ac:dyDescent="0.3">
      <c r="D193" s="76"/>
      <c r="E193" s="76"/>
      <c r="F193" s="76"/>
      <c r="G193" s="76"/>
      <c r="W193" s="81"/>
    </row>
    <row r="194" spans="4:23" customFormat="1" x14ac:dyDescent="0.3">
      <c r="D194" s="76"/>
      <c r="E194" s="76"/>
      <c r="F194" s="76"/>
      <c r="G194" s="76"/>
      <c r="W194" s="81"/>
    </row>
    <row r="195" spans="4:23" customFormat="1" x14ac:dyDescent="0.3">
      <c r="D195" s="76"/>
      <c r="E195" s="76"/>
      <c r="F195" s="76"/>
      <c r="G195" s="76"/>
      <c r="W195" s="81"/>
    </row>
    <row r="196" spans="4:23" customFormat="1" x14ac:dyDescent="0.3">
      <c r="D196" s="76"/>
      <c r="E196" s="76"/>
      <c r="F196" s="76"/>
      <c r="G196" s="76"/>
      <c r="W196" s="81"/>
    </row>
    <row r="197" spans="4:23" customFormat="1" x14ac:dyDescent="0.3">
      <c r="D197" s="76"/>
      <c r="E197" s="76"/>
      <c r="F197" s="76"/>
      <c r="G197" s="76"/>
      <c r="W197" s="81"/>
    </row>
    <row r="198" spans="4:23" customFormat="1" x14ac:dyDescent="0.3">
      <c r="D198" s="76"/>
      <c r="E198" s="76"/>
      <c r="F198" s="76"/>
      <c r="G198" s="76"/>
      <c r="W198" s="81"/>
    </row>
    <row r="199" spans="4:23" customFormat="1" x14ac:dyDescent="0.3">
      <c r="D199" s="76"/>
      <c r="E199" s="76"/>
      <c r="F199" s="76"/>
      <c r="G199" s="76"/>
      <c r="W199" s="81"/>
    </row>
    <row r="200" spans="4:23" customFormat="1" x14ac:dyDescent="0.3">
      <c r="D200" s="76"/>
      <c r="E200" s="76"/>
      <c r="F200" s="76"/>
      <c r="G200" s="76"/>
      <c r="W200" s="81"/>
    </row>
    <row r="201" spans="4:23" customFormat="1" x14ac:dyDescent="0.3">
      <c r="D201" s="76"/>
      <c r="E201" s="76"/>
      <c r="F201" s="76"/>
      <c r="G201" s="76"/>
      <c r="W201" s="81"/>
    </row>
    <row r="202" spans="4:23" customFormat="1" x14ac:dyDescent="0.3">
      <c r="D202" s="76"/>
      <c r="E202" s="76"/>
      <c r="F202" s="76"/>
      <c r="G202" s="76"/>
      <c r="W202" s="81"/>
    </row>
    <row r="203" spans="4:23" customFormat="1" x14ac:dyDescent="0.3">
      <c r="D203" s="76"/>
      <c r="E203" s="76"/>
      <c r="F203" s="76"/>
      <c r="G203" s="76"/>
      <c r="W203" s="81"/>
    </row>
    <row r="204" spans="4:23" customFormat="1" x14ac:dyDescent="0.3">
      <c r="D204" s="76"/>
      <c r="E204" s="76"/>
      <c r="F204" s="76"/>
      <c r="G204" s="76"/>
      <c r="W204" s="81"/>
    </row>
    <row r="205" spans="4:23" customFormat="1" x14ac:dyDescent="0.3">
      <c r="D205" s="76"/>
      <c r="E205" s="76"/>
      <c r="F205" s="76"/>
      <c r="G205" s="76"/>
      <c r="W205" s="81"/>
    </row>
    <row r="206" spans="4:23" customFormat="1" x14ac:dyDescent="0.3">
      <c r="D206" s="76"/>
      <c r="E206" s="76"/>
      <c r="F206" s="76"/>
      <c r="G206" s="76"/>
      <c r="W206" s="81"/>
    </row>
    <row r="207" spans="4:23" customFormat="1" x14ac:dyDescent="0.3">
      <c r="D207" s="76"/>
      <c r="E207" s="76"/>
      <c r="F207" s="76"/>
      <c r="G207" s="76"/>
      <c r="W207" s="81"/>
    </row>
    <row r="208" spans="4:23" customFormat="1" x14ac:dyDescent="0.3">
      <c r="D208" s="76"/>
      <c r="E208" s="76"/>
      <c r="F208" s="76"/>
      <c r="G208" s="76"/>
      <c r="W208" s="81"/>
    </row>
    <row r="209" spans="4:23" customFormat="1" x14ac:dyDescent="0.3">
      <c r="D209" s="76"/>
      <c r="E209" s="76"/>
      <c r="F209" s="76"/>
      <c r="G209" s="76"/>
      <c r="W209" s="81"/>
    </row>
    <row r="210" spans="4:23" customFormat="1" x14ac:dyDescent="0.3">
      <c r="D210" s="76"/>
      <c r="E210" s="76"/>
      <c r="F210" s="76"/>
      <c r="G210" s="76"/>
      <c r="W210" s="81"/>
    </row>
    <row r="211" spans="4:23" customFormat="1" x14ac:dyDescent="0.3">
      <c r="D211" s="76"/>
      <c r="E211" s="76"/>
      <c r="F211" s="76"/>
      <c r="G211" s="76"/>
      <c r="W211" s="81"/>
    </row>
    <row r="212" spans="4:23" customFormat="1" x14ac:dyDescent="0.3">
      <c r="D212" s="76"/>
      <c r="E212" s="76"/>
      <c r="F212" s="76"/>
      <c r="G212" s="76"/>
      <c r="W212" s="81"/>
    </row>
    <row r="213" spans="4:23" customFormat="1" x14ac:dyDescent="0.3">
      <c r="D213" s="76"/>
      <c r="E213" s="76"/>
      <c r="F213" s="76"/>
      <c r="G213" s="76"/>
      <c r="W213" s="81"/>
    </row>
    <row r="214" spans="4:23" customFormat="1" x14ac:dyDescent="0.3">
      <c r="D214" s="76"/>
      <c r="E214" s="76"/>
      <c r="F214" s="76"/>
      <c r="G214" s="76"/>
      <c r="W214" s="81"/>
    </row>
    <row r="215" spans="4:23" customFormat="1" x14ac:dyDescent="0.3">
      <c r="D215" s="76"/>
      <c r="E215" s="76"/>
      <c r="F215" s="76"/>
      <c r="G215" s="76"/>
      <c r="W215" s="81"/>
    </row>
    <row r="216" spans="4:23" customFormat="1" x14ac:dyDescent="0.3">
      <c r="D216" s="76"/>
      <c r="E216" s="76"/>
      <c r="F216" s="76"/>
      <c r="G216" s="76"/>
      <c r="W216" s="81"/>
    </row>
    <row r="217" spans="4:23" customFormat="1" x14ac:dyDescent="0.3">
      <c r="D217" s="76"/>
      <c r="E217" s="76"/>
      <c r="F217" s="76"/>
      <c r="G217" s="76"/>
      <c r="W217" s="81"/>
    </row>
    <row r="218" spans="4:23" customFormat="1" x14ac:dyDescent="0.3">
      <c r="D218" s="76"/>
      <c r="E218" s="76"/>
      <c r="F218" s="76"/>
      <c r="G218" s="76"/>
      <c r="W218" s="81"/>
    </row>
    <row r="219" spans="4:23" customFormat="1" x14ac:dyDescent="0.3">
      <c r="D219" s="76"/>
      <c r="E219" s="76"/>
      <c r="F219" s="76"/>
      <c r="G219" s="76"/>
      <c r="W219" s="81"/>
    </row>
    <row r="220" spans="4:23" customFormat="1" x14ac:dyDescent="0.3">
      <c r="D220" s="76"/>
      <c r="E220" s="76"/>
      <c r="F220" s="76"/>
      <c r="G220" s="76"/>
      <c r="W220" s="81"/>
    </row>
    <row r="221" spans="4:23" customFormat="1" x14ac:dyDescent="0.3">
      <c r="D221" s="76"/>
      <c r="E221" s="76"/>
      <c r="F221" s="76"/>
      <c r="G221" s="76"/>
      <c r="W221" s="81"/>
    </row>
    <row r="222" spans="4:23" customFormat="1" x14ac:dyDescent="0.3">
      <c r="D222" s="76"/>
      <c r="E222" s="76"/>
      <c r="F222" s="76"/>
      <c r="G222" s="76"/>
      <c r="W222" s="81"/>
    </row>
    <row r="223" spans="4:23" customFormat="1" x14ac:dyDescent="0.3">
      <c r="D223" s="76"/>
      <c r="E223" s="76"/>
      <c r="F223" s="76"/>
      <c r="G223" s="76"/>
      <c r="W223" s="81"/>
    </row>
    <row r="224" spans="4:23" customFormat="1" x14ac:dyDescent="0.3">
      <c r="D224" s="76"/>
      <c r="E224" s="76"/>
      <c r="F224" s="76"/>
      <c r="G224" s="76"/>
      <c r="W224" s="81"/>
    </row>
    <row r="225" spans="4:23" customFormat="1" x14ac:dyDescent="0.3">
      <c r="D225" s="76"/>
      <c r="E225" s="76"/>
      <c r="F225" s="76"/>
      <c r="G225" s="76"/>
      <c r="W225" s="81"/>
    </row>
    <row r="226" spans="4:23" customFormat="1" x14ac:dyDescent="0.3">
      <c r="D226" s="76"/>
      <c r="E226" s="76"/>
      <c r="F226" s="76"/>
      <c r="G226" s="76"/>
      <c r="W226" s="81"/>
    </row>
    <row r="227" spans="4:23" customFormat="1" x14ac:dyDescent="0.3">
      <c r="D227" s="76"/>
      <c r="E227" s="76"/>
      <c r="F227" s="76"/>
      <c r="G227" s="76"/>
      <c r="W227" s="81"/>
    </row>
    <row r="228" spans="4:23" customFormat="1" x14ac:dyDescent="0.3">
      <c r="D228" s="76"/>
      <c r="E228" s="76"/>
      <c r="F228" s="76"/>
      <c r="G228" s="76"/>
      <c r="W228" s="81"/>
    </row>
    <row r="229" spans="4:23" customFormat="1" x14ac:dyDescent="0.3">
      <c r="D229" s="76"/>
      <c r="E229" s="76"/>
      <c r="F229" s="76"/>
      <c r="G229" s="76"/>
      <c r="W229" s="81"/>
    </row>
    <row r="230" spans="4:23" customFormat="1" x14ac:dyDescent="0.3">
      <c r="D230" s="76"/>
      <c r="E230" s="76"/>
      <c r="F230" s="76"/>
      <c r="G230" s="76"/>
      <c r="W230" s="81"/>
    </row>
    <row r="231" spans="4:23" customFormat="1" x14ac:dyDescent="0.3">
      <c r="D231" s="76"/>
      <c r="E231" s="76"/>
      <c r="F231" s="76"/>
      <c r="G231" s="76"/>
      <c r="W231" s="81"/>
    </row>
    <row r="232" spans="4:23" customFormat="1" x14ac:dyDescent="0.3">
      <c r="D232" s="76"/>
      <c r="E232" s="76"/>
      <c r="F232" s="76"/>
      <c r="G232" s="76"/>
      <c r="W232" s="81"/>
    </row>
    <row r="233" spans="4:23" customFormat="1" x14ac:dyDescent="0.3">
      <c r="D233" s="76"/>
      <c r="E233" s="76"/>
      <c r="F233" s="76"/>
      <c r="G233" s="76"/>
      <c r="W233" s="81"/>
    </row>
    <row r="234" spans="4:23" customFormat="1" x14ac:dyDescent="0.3">
      <c r="D234" s="76"/>
      <c r="E234" s="76"/>
      <c r="F234" s="76"/>
      <c r="G234" s="76"/>
      <c r="W234" s="81"/>
    </row>
    <row r="235" spans="4:23" customFormat="1" x14ac:dyDescent="0.3">
      <c r="D235" s="76"/>
      <c r="E235" s="76"/>
      <c r="F235" s="76"/>
      <c r="G235" s="76"/>
      <c r="W235" s="81"/>
    </row>
    <row r="236" spans="4:23" customFormat="1" x14ac:dyDescent="0.3">
      <c r="D236" s="76"/>
      <c r="E236" s="76"/>
      <c r="F236" s="76"/>
      <c r="G236" s="76"/>
      <c r="W236" s="81"/>
    </row>
    <row r="237" spans="4:23" customFormat="1" x14ac:dyDescent="0.3">
      <c r="D237" s="76"/>
      <c r="E237" s="76"/>
      <c r="F237" s="76"/>
      <c r="G237" s="76"/>
      <c r="W237" s="81"/>
    </row>
    <row r="238" spans="4:23" customFormat="1" x14ac:dyDescent="0.3">
      <c r="D238" s="76"/>
      <c r="E238" s="76"/>
      <c r="F238" s="76"/>
      <c r="G238" s="76"/>
      <c r="W238" s="81"/>
    </row>
    <row r="239" spans="4:23" customFormat="1" x14ac:dyDescent="0.3">
      <c r="D239" s="76"/>
      <c r="E239" s="76"/>
      <c r="F239" s="76"/>
      <c r="G239" s="76"/>
      <c r="W239" s="81"/>
    </row>
    <row r="240" spans="4:23" customFormat="1" x14ac:dyDescent="0.3">
      <c r="D240" s="76"/>
      <c r="E240" s="76"/>
      <c r="F240" s="76"/>
      <c r="G240" s="76"/>
      <c r="W240" s="81"/>
    </row>
    <row r="241" spans="4:23" customFormat="1" x14ac:dyDescent="0.3">
      <c r="D241" s="76"/>
      <c r="E241" s="76"/>
      <c r="F241" s="76"/>
      <c r="G241" s="76"/>
      <c r="W241" s="81"/>
    </row>
    <row r="242" spans="4:23" customFormat="1" x14ac:dyDescent="0.3">
      <c r="D242" s="76"/>
      <c r="E242" s="76"/>
      <c r="F242" s="76"/>
      <c r="G242" s="76"/>
      <c r="W242" s="81"/>
    </row>
    <row r="243" spans="4:23" customFormat="1" x14ac:dyDescent="0.3">
      <c r="D243" s="76"/>
      <c r="E243" s="76"/>
      <c r="F243" s="76"/>
      <c r="G243" s="76"/>
      <c r="W243" s="81"/>
    </row>
    <row r="244" spans="4:23" customFormat="1" x14ac:dyDescent="0.3">
      <c r="D244" s="76"/>
      <c r="E244" s="76"/>
      <c r="F244" s="76"/>
      <c r="G244" s="76"/>
      <c r="W244" s="81"/>
    </row>
    <row r="245" spans="4:23" customFormat="1" x14ac:dyDescent="0.3">
      <c r="D245" s="76"/>
      <c r="E245" s="76"/>
      <c r="F245" s="76"/>
      <c r="G245" s="76"/>
      <c r="W245" s="81"/>
    </row>
    <row r="246" spans="4:23" customFormat="1" x14ac:dyDescent="0.3">
      <c r="D246" s="76"/>
      <c r="E246" s="76"/>
      <c r="F246" s="76"/>
      <c r="G246" s="76"/>
      <c r="W246" s="81"/>
    </row>
    <row r="247" spans="4:23" customFormat="1" x14ac:dyDescent="0.3">
      <c r="D247" s="76"/>
      <c r="E247" s="76"/>
      <c r="F247" s="76"/>
      <c r="G247" s="76"/>
      <c r="W247" s="81"/>
    </row>
    <row r="248" spans="4:23" customFormat="1" x14ac:dyDescent="0.3">
      <c r="D248" s="76"/>
      <c r="E248" s="76"/>
      <c r="F248" s="76"/>
      <c r="G248" s="76"/>
      <c r="W248" s="81"/>
    </row>
    <row r="249" spans="4:23" customFormat="1" x14ac:dyDescent="0.3">
      <c r="D249" s="76"/>
      <c r="E249" s="76"/>
      <c r="F249" s="76"/>
      <c r="G249" s="76"/>
      <c r="W249" s="81"/>
    </row>
    <row r="250" spans="4:23" customFormat="1" x14ac:dyDescent="0.3">
      <c r="D250" s="76"/>
      <c r="E250" s="76"/>
      <c r="F250" s="76"/>
      <c r="G250" s="76"/>
      <c r="W250" s="81"/>
    </row>
    <row r="251" spans="4:23" customFormat="1" x14ac:dyDescent="0.3">
      <c r="D251" s="76"/>
      <c r="E251" s="76"/>
      <c r="F251" s="76"/>
      <c r="G251" s="76"/>
      <c r="W251" s="81"/>
    </row>
    <row r="252" spans="4:23" customFormat="1" x14ac:dyDescent="0.3">
      <c r="D252" s="76"/>
      <c r="E252" s="76"/>
      <c r="F252" s="76"/>
      <c r="G252" s="76"/>
      <c r="W252" s="81"/>
    </row>
    <row r="253" spans="4:23" customFormat="1" x14ac:dyDescent="0.3">
      <c r="D253" s="76"/>
      <c r="E253" s="76"/>
      <c r="F253" s="76"/>
      <c r="G253" s="76"/>
      <c r="W253" s="81"/>
    </row>
    <row r="254" spans="4:23" customFormat="1" x14ac:dyDescent="0.3">
      <c r="D254" s="76"/>
      <c r="E254" s="76"/>
      <c r="F254" s="76"/>
      <c r="G254" s="76"/>
      <c r="W254" s="81"/>
    </row>
    <row r="255" spans="4:23" customFormat="1" x14ac:dyDescent="0.3">
      <c r="D255" s="76"/>
      <c r="E255" s="76"/>
      <c r="F255" s="76"/>
      <c r="G255" s="76"/>
      <c r="W255" s="81"/>
    </row>
    <row r="256" spans="4:23" customFormat="1" x14ac:dyDescent="0.3">
      <c r="D256" s="76"/>
      <c r="E256" s="76"/>
      <c r="F256" s="76"/>
      <c r="G256" s="76"/>
      <c r="W256" s="81"/>
    </row>
    <row r="257" spans="4:23" customFormat="1" x14ac:dyDescent="0.3">
      <c r="D257" s="76"/>
      <c r="E257" s="76"/>
      <c r="F257" s="76"/>
      <c r="G257" s="76"/>
      <c r="W257" s="81"/>
    </row>
    <row r="258" spans="4:23" customFormat="1" x14ac:dyDescent="0.3">
      <c r="D258" s="76"/>
      <c r="E258" s="76"/>
      <c r="F258" s="76"/>
      <c r="G258" s="76"/>
      <c r="W258" s="81"/>
    </row>
    <row r="259" spans="4:23" customFormat="1" x14ac:dyDescent="0.3">
      <c r="D259" s="76"/>
      <c r="E259" s="76"/>
      <c r="F259" s="76"/>
      <c r="G259" s="76"/>
      <c r="W259" s="81"/>
    </row>
    <row r="260" spans="4:23" customFormat="1" x14ac:dyDescent="0.3">
      <c r="D260" s="76"/>
      <c r="E260" s="76"/>
      <c r="F260" s="76"/>
      <c r="G260" s="76"/>
      <c r="W260" s="81"/>
    </row>
    <row r="261" spans="4:23" customFormat="1" x14ac:dyDescent="0.3">
      <c r="D261" s="76"/>
      <c r="E261" s="76"/>
      <c r="F261" s="76"/>
      <c r="G261" s="76"/>
      <c r="W261" s="81"/>
    </row>
    <row r="262" spans="4:23" customFormat="1" x14ac:dyDescent="0.3">
      <c r="D262" s="76"/>
      <c r="E262" s="76"/>
      <c r="F262" s="76"/>
      <c r="G262" s="76"/>
      <c r="W262" s="81"/>
    </row>
    <row r="263" spans="4:23" customFormat="1" x14ac:dyDescent="0.3">
      <c r="D263" s="76"/>
      <c r="E263" s="76"/>
      <c r="F263" s="76"/>
      <c r="G263" s="76"/>
      <c r="W263" s="81"/>
    </row>
    <row r="264" spans="4:23" customFormat="1" x14ac:dyDescent="0.3">
      <c r="D264" s="76"/>
      <c r="E264" s="76"/>
      <c r="F264" s="76"/>
      <c r="G264" s="76"/>
      <c r="W264" s="81"/>
    </row>
    <row r="265" spans="4:23" customFormat="1" x14ac:dyDescent="0.3">
      <c r="D265" s="76"/>
      <c r="E265" s="76"/>
      <c r="F265" s="76"/>
      <c r="G265" s="76"/>
      <c r="W265" s="81"/>
    </row>
    <row r="266" spans="4:23" customFormat="1" x14ac:dyDescent="0.3">
      <c r="D266" s="76"/>
      <c r="E266" s="76"/>
      <c r="F266" s="76"/>
      <c r="G266" s="76"/>
      <c r="W266" s="81"/>
    </row>
    <row r="267" spans="4:23" customFormat="1" x14ac:dyDescent="0.3">
      <c r="D267" s="76"/>
      <c r="E267" s="76"/>
      <c r="F267" s="76"/>
      <c r="G267" s="76"/>
      <c r="W267" s="81"/>
    </row>
    <row r="268" spans="4:23" customFormat="1" x14ac:dyDescent="0.3">
      <c r="D268" s="76"/>
      <c r="E268" s="76"/>
      <c r="F268" s="76"/>
      <c r="G268" s="76"/>
      <c r="W268" s="81"/>
    </row>
    <row r="269" spans="4:23" customFormat="1" x14ac:dyDescent="0.3">
      <c r="D269" s="76"/>
      <c r="E269" s="76"/>
      <c r="F269" s="76"/>
      <c r="G269" s="76"/>
      <c r="W269" s="81"/>
    </row>
    <row r="270" spans="4:23" customFormat="1" x14ac:dyDescent="0.3">
      <c r="D270" s="76"/>
      <c r="E270" s="76"/>
      <c r="F270" s="76"/>
      <c r="G270" s="76"/>
      <c r="W270" s="81"/>
    </row>
    <row r="271" spans="4:23" customFormat="1" x14ac:dyDescent="0.3">
      <c r="D271" s="76"/>
      <c r="E271" s="76"/>
      <c r="F271" s="76"/>
      <c r="G271" s="76"/>
      <c r="W271" s="81"/>
    </row>
    <row r="272" spans="4:23" customFormat="1" x14ac:dyDescent="0.3">
      <c r="D272" s="76"/>
      <c r="E272" s="76"/>
      <c r="F272" s="76"/>
      <c r="G272" s="76"/>
      <c r="W272" s="81"/>
    </row>
    <row r="273" spans="4:23" customFormat="1" x14ac:dyDescent="0.3">
      <c r="D273" s="76"/>
      <c r="E273" s="76"/>
      <c r="F273" s="76"/>
      <c r="G273" s="76"/>
      <c r="W273" s="81"/>
    </row>
    <row r="274" spans="4:23" customFormat="1" x14ac:dyDescent="0.3">
      <c r="D274" s="76"/>
      <c r="E274" s="76"/>
      <c r="F274" s="76"/>
      <c r="G274" s="76"/>
      <c r="W274" s="81"/>
    </row>
    <row r="275" spans="4:23" customFormat="1" x14ac:dyDescent="0.3">
      <c r="D275" s="76"/>
      <c r="E275" s="76"/>
      <c r="F275" s="76"/>
      <c r="G275" s="76"/>
      <c r="W275" s="81"/>
    </row>
    <row r="276" spans="4:23" customFormat="1" x14ac:dyDescent="0.3">
      <c r="D276" s="76"/>
      <c r="E276" s="76"/>
      <c r="F276" s="76"/>
      <c r="G276" s="76"/>
      <c r="W276" s="81"/>
    </row>
    <row r="277" spans="4:23" customFormat="1" x14ac:dyDescent="0.3">
      <c r="D277" s="76"/>
      <c r="E277" s="76"/>
      <c r="F277" s="76"/>
      <c r="G277" s="76"/>
      <c r="W277" s="81"/>
    </row>
    <row r="278" spans="4:23" customFormat="1" x14ac:dyDescent="0.3">
      <c r="D278" s="76"/>
      <c r="E278" s="76"/>
      <c r="F278" s="76"/>
      <c r="G278" s="76"/>
      <c r="W278" s="81"/>
    </row>
    <row r="279" spans="4:23" customFormat="1" x14ac:dyDescent="0.3">
      <c r="D279" s="76"/>
      <c r="E279" s="76"/>
      <c r="F279" s="76"/>
      <c r="G279" s="76"/>
      <c r="W279" s="81"/>
    </row>
    <row r="280" spans="4:23" customFormat="1" x14ac:dyDescent="0.3">
      <c r="D280" s="76"/>
      <c r="E280" s="76"/>
      <c r="F280" s="76"/>
      <c r="G280" s="76"/>
      <c r="W280" s="81"/>
    </row>
    <row r="281" spans="4:23" customFormat="1" x14ac:dyDescent="0.3">
      <c r="D281" s="76"/>
      <c r="E281" s="76"/>
      <c r="F281" s="76"/>
      <c r="G281" s="76"/>
      <c r="W281" s="81"/>
    </row>
    <row r="282" spans="4:23" customFormat="1" x14ac:dyDescent="0.3">
      <c r="D282" s="76"/>
      <c r="E282" s="76"/>
      <c r="F282" s="76"/>
      <c r="G282" s="76"/>
      <c r="W282" s="81"/>
    </row>
    <row r="283" spans="4:23" customFormat="1" x14ac:dyDescent="0.3">
      <c r="D283" s="76"/>
      <c r="E283" s="76"/>
      <c r="F283" s="76"/>
      <c r="G283" s="76"/>
      <c r="W283" s="81"/>
    </row>
    <row r="284" spans="4:23" customFormat="1" x14ac:dyDescent="0.3">
      <c r="D284" s="76"/>
      <c r="E284" s="76"/>
      <c r="F284" s="76"/>
      <c r="G284" s="76"/>
      <c r="W284" s="81"/>
    </row>
    <row r="285" spans="4:23" customFormat="1" x14ac:dyDescent="0.3">
      <c r="D285" s="76"/>
      <c r="E285" s="76"/>
      <c r="F285" s="76"/>
      <c r="G285" s="76"/>
      <c r="W285" s="81"/>
    </row>
    <row r="286" spans="4:23" customFormat="1" x14ac:dyDescent="0.3">
      <c r="D286" s="76"/>
      <c r="E286" s="76"/>
      <c r="F286" s="76"/>
      <c r="G286" s="76"/>
      <c r="W286" s="81"/>
    </row>
    <row r="287" spans="4:23" customFormat="1" x14ac:dyDescent="0.3">
      <c r="D287" s="76"/>
      <c r="E287" s="76"/>
      <c r="F287" s="76"/>
      <c r="G287" s="76"/>
      <c r="W287" s="81"/>
    </row>
    <row r="288" spans="4:23" customFormat="1" x14ac:dyDescent="0.3">
      <c r="D288" s="76"/>
      <c r="E288" s="76"/>
      <c r="F288" s="76"/>
      <c r="G288" s="76"/>
      <c r="W288" s="81"/>
    </row>
    <row r="289" spans="4:23" customFormat="1" x14ac:dyDescent="0.3">
      <c r="D289" s="76"/>
      <c r="E289" s="76"/>
      <c r="F289" s="76"/>
      <c r="G289" s="76"/>
      <c r="W289" s="81"/>
    </row>
    <row r="290" spans="4:23" customFormat="1" x14ac:dyDescent="0.3">
      <c r="D290" s="76"/>
      <c r="E290" s="76"/>
      <c r="F290" s="76"/>
      <c r="G290" s="76"/>
      <c r="W290" s="81"/>
    </row>
    <row r="291" spans="4:23" customFormat="1" x14ac:dyDescent="0.3">
      <c r="D291" s="76"/>
      <c r="E291" s="76"/>
      <c r="F291" s="76"/>
      <c r="G291" s="76"/>
      <c r="W291" s="81"/>
    </row>
    <row r="292" spans="4:23" customFormat="1" x14ac:dyDescent="0.3">
      <c r="D292" s="76"/>
      <c r="E292" s="76"/>
      <c r="F292" s="76"/>
      <c r="G292" s="76"/>
      <c r="W292" s="81"/>
    </row>
    <row r="293" spans="4:23" customFormat="1" x14ac:dyDescent="0.3">
      <c r="D293" s="76"/>
      <c r="E293" s="76"/>
      <c r="F293" s="76"/>
      <c r="G293" s="76"/>
      <c r="W293" s="81"/>
    </row>
    <row r="294" spans="4:23" customFormat="1" x14ac:dyDescent="0.3">
      <c r="D294" s="76"/>
      <c r="E294" s="76"/>
      <c r="F294" s="76"/>
      <c r="G294" s="76"/>
      <c r="W294" s="81"/>
    </row>
    <row r="295" spans="4:23" customFormat="1" x14ac:dyDescent="0.3">
      <c r="D295" s="76"/>
      <c r="E295" s="76"/>
      <c r="F295" s="76"/>
      <c r="G295" s="76"/>
      <c r="W295" s="81"/>
    </row>
    <row r="296" spans="4:23" customFormat="1" x14ac:dyDescent="0.3">
      <c r="D296" s="76"/>
      <c r="E296" s="76"/>
      <c r="F296" s="76"/>
      <c r="G296" s="76"/>
      <c r="W296" s="81"/>
    </row>
    <row r="297" spans="4:23" customFormat="1" x14ac:dyDescent="0.3">
      <c r="D297" s="76"/>
      <c r="E297" s="76"/>
      <c r="F297" s="76"/>
      <c r="G297" s="76"/>
      <c r="W297" s="81"/>
    </row>
    <row r="298" spans="4:23" customFormat="1" x14ac:dyDescent="0.3">
      <c r="D298" s="76"/>
      <c r="E298" s="76"/>
      <c r="F298" s="76"/>
      <c r="G298" s="76"/>
      <c r="W298" s="81"/>
    </row>
    <row r="299" spans="4:23" customFormat="1" x14ac:dyDescent="0.3">
      <c r="D299" s="76"/>
      <c r="E299" s="76"/>
      <c r="F299" s="76"/>
      <c r="G299" s="76"/>
      <c r="W299" s="81"/>
    </row>
    <row r="300" spans="4:23" customFormat="1" x14ac:dyDescent="0.3">
      <c r="D300" s="76"/>
      <c r="E300" s="76"/>
      <c r="F300" s="76"/>
      <c r="G300" s="76"/>
      <c r="W300" s="81"/>
    </row>
    <row r="301" spans="4:23" customFormat="1" x14ac:dyDescent="0.3">
      <c r="D301" s="76"/>
      <c r="E301" s="76"/>
      <c r="F301" s="76"/>
      <c r="G301" s="76"/>
      <c r="W301" s="81"/>
    </row>
    <row r="302" spans="4:23" customFormat="1" x14ac:dyDescent="0.3">
      <c r="D302" s="76"/>
      <c r="E302" s="76"/>
      <c r="F302" s="76"/>
      <c r="G302" s="76"/>
      <c r="W302" s="81"/>
    </row>
    <row r="303" spans="4:23" customFormat="1" x14ac:dyDescent="0.3">
      <c r="D303" s="76"/>
      <c r="E303" s="76"/>
      <c r="F303" s="76"/>
      <c r="G303" s="76"/>
      <c r="W303" s="81"/>
    </row>
    <row r="304" spans="4:23" customFormat="1" x14ac:dyDescent="0.3">
      <c r="D304" s="76"/>
      <c r="E304" s="76"/>
      <c r="F304" s="76"/>
      <c r="G304" s="76"/>
      <c r="W304" s="81"/>
    </row>
    <row r="305" spans="4:23" customFormat="1" x14ac:dyDescent="0.3">
      <c r="D305" s="76"/>
      <c r="E305" s="76"/>
      <c r="F305" s="76"/>
      <c r="G305" s="76"/>
      <c r="W305" s="81"/>
    </row>
    <row r="306" spans="4:23" customFormat="1" x14ac:dyDescent="0.3">
      <c r="D306" s="76"/>
      <c r="E306" s="76"/>
      <c r="F306" s="76"/>
      <c r="G306" s="76"/>
      <c r="W306" s="81"/>
    </row>
    <row r="307" spans="4:23" customFormat="1" x14ac:dyDescent="0.3">
      <c r="D307" s="76"/>
      <c r="E307" s="76"/>
      <c r="F307" s="76"/>
      <c r="G307" s="76"/>
      <c r="W307" s="81"/>
    </row>
    <row r="308" spans="4:23" customFormat="1" x14ac:dyDescent="0.3">
      <c r="D308" s="76"/>
      <c r="E308" s="76"/>
      <c r="F308" s="76"/>
      <c r="G308" s="76"/>
      <c r="W308" s="81"/>
    </row>
    <row r="309" spans="4:23" customFormat="1" x14ac:dyDescent="0.3">
      <c r="D309" s="76"/>
      <c r="E309" s="76"/>
      <c r="F309" s="76"/>
      <c r="G309" s="76"/>
      <c r="W309" s="81"/>
    </row>
    <row r="310" spans="4:23" customFormat="1" x14ac:dyDescent="0.3">
      <c r="D310" s="76"/>
      <c r="E310" s="76"/>
      <c r="F310" s="76"/>
      <c r="G310" s="76"/>
      <c r="W310" s="81"/>
    </row>
    <row r="311" spans="4:23" customFormat="1" x14ac:dyDescent="0.3">
      <c r="D311" s="76"/>
      <c r="E311" s="76"/>
      <c r="F311" s="76"/>
      <c r="G311" s="76"/>
      <c r="W311" s="81"/>
    </row>
    <row r="312" spans="4:23" customFormat="1" x14ac:dyDescent="0.3">
      <c r="D312" s="76"/>
      <c r="E312" s="76"/>
      <c r="F312" s="76"/>
      <c r="G312" s="76"/>
      <c r="W312" s="81"/>
    </row>
    <row r="313" spans="4:23" customFormat="1" x14ac:dyDescent="0.3">
      <c r="D313" s="76"/>
      <c r="E313" s="76"/>
      <c r="F313" s="76"/>
      <c r="G313" s="76"/>
      <c r="W313" s="81"/>
    </row>
    <row r="314" spans="4:23" customFormat="1" x14ac:dyDescent="0.3">
      <c r="D314" s="76"/>
      <c r="E314" s="76"/>
      <c r="F314" s="76"/>
      <c r="G314" s="76"/>
      <c r="W314" s="81"/>
    </row>
    <row r="315" spans="4:23" customFormat="1" x14ac:dyDescent="0.3">
      <c r="D315" s="76"/>
      <c r="E315" s="76"/>
      <c r="F315" s="76"/>
      <c r="G315" s="76"/>
      <c r="W315" s="81"/>
    </row>
    <row r="316" spans="4:23" customFormat="1" x14ac:dyDescent="0.3">
      <c r="D316" s="76"/>
      <c r="E316" s="76"/>
      <c r="F316" s="76"/>
      <c r="G316" s="76"/>
      <c r="W316" s="81"/>
    </row>
    <row r="317" spans="4:23" customFormat="1" x14ac:dyDescent="0.3">
      <c r="D317" s="76"/>
      <c r="E317" s="76"/>
      <c r="F317" s="76"/>
      <c r="G317" s="76"/>
      <c r="W317" s="81"/>
    </row>
    <row r="318" spans="4:23" customFormat="1" x14ac:dyDescent="0.3">
      <c r="D318" s="76"/>
      <c r="E318" s="76"/>
      <c r="F318" s="76"/>
      <c r="G318" s="76"/>
      <c r="W318" s="81"/>
    </row>
    <row r="319" spans="4:23" customFormat="1" x14ac:dyDescent="0.3">
      <c r="D319" s="76"/>
      <c r="E319" s="76"/>
      <c r="F319" s="76"/>
      <c r="G319" s="76"/>
      <c r="W319" s="81"/>
    </row>
    <row r="320" spans="4:23" customFormat="1" x14ac:dyDescent="0.3">
      <c r="D320" s="76"/>
      <c r="E320" s="76"/>
      <c r="F320" s="76"/>
      <c r="G320" s="76"/>
      <c r="W320" s="81"/>
    </row>
    <row r="321" spans="4:23" customFormat="1" x14ac:dyDescent="0.3">
      <c r="D321" s="76"/>
      <c r="E321" s="76"/>
      <c r="F321" s="76"/>
      <c r="G321" s="76"/>
      <c r="W321" s="81"/>
    </row>
    <row r="322" spans="4:23" customFormat="1" x14ac:dyDescent="0.3">
      <c r="D322" s="76"/>
      <c r="E322" s="76"/>
      <c r="F322" s="76"/>
      <c r="G322" s="76"/>
      <c r="W322" s="81"/>
    </row>
    <row r="323" spans="4:23" customFormat="1" x14ac:dyDescent="0.3">
      <c r="D323" s="76"/>
      <c r="E323" s="76"/>
      <c r="F323" s="76"/>
      <c r="G323" s="76"/>
      <c r="W323" s="81"/>
    </row>
    <row r="324" spans="4:23" customFormat="1" x14ac:dyDescent="0.3">
      <c r="D324" s="76"/>
      <c r="E324" s="76"/>
      <c r="F324" s="76"/>
      <c r="G324" s="76"/>
      <c r="W324" s="81"/>
    </row>
    <row r="325" spans="4:23" customFormat="1" x14ac:dyDescent="0.3">
      <c r="D325" s="76"/>
      <c r="E325" s="76"/>
      <c r="F325" s="76"/>
      <c r="G325" s="76"/>
      <c r="W325" s="81"/>
    </row>
    <row r="326" spans="4:23" customFormat="1" x14ac:dyDescent="0.3">
      <c r="D326" s="76"/>
      <c r="E326" s="76"/>
      <c r="F326" s="76"/>
      <c r="G326" s="76"/>
      <c r="W326" s="81"/>
    </row>
    <row r="327" spans="4:23" customFormat="1" x14ac:dyDescent="0.3">
      <c r="D327" s="76"/>
      <c r="E327" s="76"/>
      <c r="F327" s="76"/>
      <c r="G327" s="76"/>
      <c r="W327" s="81"/>
    </row>
    <row r="328" spans="4:23" customFormat="1" x14ac:dyDescent="0.3">
      <c r="D328" s="76"/>
      <c r="E328" s="76"/>
      <c r="F328" s="76"/>
      <c r="G328" s="76"/>
      <c r="W328" s="81"/>
    </row>
    <row r="329" spans="4:23" customFormat="1" x14ac:dyDescent="0.3">
      <c r="D329" s="76"/>
      <c r="E329" s="76"/>
      <c r="F329" s="76"/>
      <c r="G329" s="76"/>
      <c r="W329" s="81"/>
    </row>
    <row r="330" spans="4:23" customFormat="1" x14ac:dyDescent="0.3">
      <c r="D330" s="76"/>
      <c r="E330" s="76"/>
      <c r="F330" s="76"/>
      <c r="G330" s="76"/>
      <c r="W330" s="81"/>
    </row>
    <row r="331" spans="4:23" customFormat="1" x14ac:dyDescent="0.3">
      <c r="D331" s="76"/>
      <c r="E331" s="76"/>
      <c r="F331" s="76"/>
      <c r="G331" s="76"/>
      <c r="W331" s="81"/>
    </row>
    <row r="332" spans="4:23" customFormat="1" x14ac:dyDescent="0.3">
      <c r="D332" s="76"/>
      <c r="E332" s="76"/>
      <c r="F332" s="76"/>
      <c r="G332" s="76"/>
      <c r="W332" s="81"/>
    </row>
    <row r="333" spans="4:23" customFormat="1" x14ac:dyDescent="0.3">
      <c r="D333" s="76"/>
      <c r="E333" s="76"/>
      <c r="F333" s="76"/>
      <c r="G333" s="76"/>
      <c r="W333" s="81"/>
    </row>
    <row r="334" spans="4:23" customFormat="1" x14ac:dyDescent="0.3">
      <c r="D334" s="76"/>
      <c r="E334" s="76"/>
      <c r="F334" s="76"/>
      <c r="G334" s="76"/>
      <c r="W334" s="81"/>
    </row>
    <row r="335" spans="4:23" customFormat="1" x14ac:dyDescent="0.3">
      <c r="D335" s="76"/>
      <c r="E335" s="76"/>
      <c r="F335" s="76"/>
      <c r="G335" s="76"/>
      <c r="W335" s="81"/>
    </row>
    <row r="336" spans="4:23" customFormat="1" x14ac:dyDescent="0.3">
      <c r="D336" s="76"/>
      <c r="E336" s="76"/>
      <c r="F336" s="76"/>
      <c r="G336" s="76"/>
      <c r="W336" s="81"/>
    </row>
    <row r="337" spans="4:23" customFormat="1" x14ac:dyDescent="0.3">
      <c r="D337" s="76"/>
      <c r="E337" s="76"/>
      <c r="F337" s="76"/>
      <c r="G337" s="76"/>
      <c r="W337" s="81"/>
    </row>
    <row r="338" spans="4:23" customFormat="1" x14ac:dyDescent="0.3">
      <c r="D338" s="76"/>
      <c r="E338" s="76"/>
      <c r="F338" s="76"/>
      <c r="G338" s="76"/>
      <c r="W338" s="81"/>
    </row>
    <row r="339" spans="4:23" customFormat="1" x14ac:dyDescent="0.3">
      <c r="D339" s="76"/>
      <c r="E339" s="76"/>
      <c r="F339" s="76"/>
      <c r="G339" s="76"/>
      <c r="W339" s="81"/>
    </row>
    <row r="340" spans="4:23" customFormat="1" x14ac:dyDescent="0.3">
      <c r="D340" s="76"/>
      <c r="E340" s="76"/>
      <c r="F340" s="76"/>
      <c r="G340" s="76"/>
      <c r="W340" s="81"/>
    </row>
    <row r="341" spans="4:23" customFormat="1" x14ac:dyDescent="0.3">
      <c r="D341" s="76"/>
      <c r="E341" s="76"/>
      <c r="F341" s="76"/>
      <c r="G341" s="76"/>
      <c r="W341" s="81"/>
    </row>
    <row r="342" spans="4:23" customFormat="1" x14ac:dyDescent="0.3">
      <c r="D342" s="76"/>
      <c r="E342" s="76"/>
      <c r="F342" s="76"/>
      <c r="G342" s="76"/>
      <c r="W342" s="81"/>
    </row>
    <row r="343" spans="4:23" customFormat="1" x14ac:dyDescent="0.3">
      <c r="D343" s="76"/>
      <c r="E343" s="76"/>
      <c r="F343" s="76"/>
      <c r="G343" s="76"/>
      <c r="W343" s="81"/>
    </row>
    <row r="344" spans="4:23" customFormat="1" x14ac:dyDescent="0.3">
      <c r="D344" s="76"/>
      <c r="E344" s="76"/>
      <c r="F344" s="76"/>
      <c r="G344" s="76"/>
      <c r="W344" s="81"/>
    </row>
    <row r="345" spans="4:23" customFormat="1" x14ac:dyDescent="0.3">
      <c r="D345" s="76"/>
      <c r="E345" s="76"/>
      <c r="F345" s="76"/>
      <c r="G345" s="76"/>
      <c r="W345" s="81"/>
    </row>
    <row r="346" spans="4:23" customFormat="1" x14ac:dyDescent="0.3">
      <c r="D346" s="76"/>
      <c r="E346" s="76"/>
      <c r="F346" s="76"/>
      <c r="G346" s="76"/>
      <c r="W346" s="81"/>
    </row>
    <row r="347" spans="4:23" customFormat="1" x14ac:dyDescent="0.3">
      <c r="D347" s="76"/>
      <c r="E347" s="76"/>
      <c r="F347" s="76"/>
      <c r="G347" s="76"/>
      <c r="W347" s="81"/>
    </row>
    <row r="348" spans="4:23" customFormat="1" x14ac:dyDescent="0.3">
      <c r="D348" s="76"/>
      <c r="E348" s="76"/>
      <c r="F348" s="76"/>
      <c r="G348" s="76"/>
      <c r="W348" s="81"/>
    </row>
    <row r="349" spans="4:23" customFormat="1" x14ac:dyDescent="0.3">
      <c r="D349" s="76"/>
      <c r="E349" s="76"/>
      <c r="F349" s="76"/>
      <c r="G349" s="76"/>
      <c r="W349" s="81"/>
    </row>
    <row r="350" spans="4:23" customFormat="1" x14ac:dyDescent="0.3">
      <c r="D350" s="76"/>
      <c r="E350" s="76"/>
      <c r="F350" s="76"/>
      <c r="G350" s="76"/>
      <c r="W350" s="81"/>
    </row>
    <row r="351" spans="4:23" customFormat="1" x14ac:dyDescent="0.3">
      <c r="D351" s="76"/>
      <c r="E351" s="76"/>
      <c r="F351" s="76"/>
      <c r="G351" s="76"/>
      <c r="W351" s="81"/>
    </row>
    <row r="352" spans="4:23" customFormat="1" x14ac:dyDescent="0.3">
      <c r="D352" s="76"/>
      <c r="E352" s="76"/>
      <c r="F352" s="76"/>
      <c r="G352" s="76"/>
      <c r="W352" s="81"/>
    </row>
    <row r="353" spans="4:23" customFormat="1" x14ac:dyDescent="0.3">
      <c r="D353" s="76"/>
      <c r="E353" s="76"/>
      <c r="F353" s="76"/>
      <c r="G353" s="76"/>
      <c r="W353" s="81"/>
    </row>
    <row r="354" spans="4:23" customFormat="1" x14ac:dyDescent="0.3">
      <c r="D354" s="76"/>
      <c r="E354" s="76"/>
      <c r="F354" s="76"/>
      <c r="G354" s="76"/>
      <c r="W354" s="81"/>
    </row>
    <row r="355" spans="4:23" customFormat="1" x14ac:dyDescent="0.3">
      <c r="D355" s="76"/>
      <c r="E355" s="76"/>
      <c r="F355" s="76"/>
      <c r="G355" s="76"/>
      <c r="W355" s="81"/>
    </row>
    <row r="356" spans="4:23" customFormat="1" x14ac:dyDescent="0.3">
      <c r="D356" s="76"/>
      <c r="E356" s="76"/>
      <c r="F356" s="76"/>
      <c r="G356" s="76"/>
      <c r="W356" s="81"/>
    </row>
    <row r="357" spans="4:23" customFormat="1" x14ac:dyDescent="0.3">
      <c r="D357" s="76"/>
      <c r="E357" s="76"/>
      <c r="F357" s="76"/>
      <c r="G357" s="76"/>
      <c r="W357" s="81"/>
    </row>
    <row r="358" spans="4:23" customFormat="1" x14ac:dyDescent="0.3">
      <c r="D358" s="76"/>
      <c r="E358" s="76"/>
      <c r="F358" s="76"/>
      <c r="G358" s="76"/>
      <c r="W358" s="81"/>
    </row>
    <row r="359" spans="4:23" customFormat="1" x14ac:dyDescent="0.3">
      <c r="D359" s="76"/>
      <c r="E359" s="76"/>
      <c r="F359" s="76"/>
      <c r="G359" s="76"/>
      <c r="W359" s="81"/>
    </row>
    <row r="360" spans="4:23" customFormat="1" x14ac:dyDescent="0.3">
      <c r="D360" s="76"/>
      <c r="E360" s="76"/>
      <c r="F360" s="76"/>
      <c r="G360" s="76"/>
      <c r="W360" s="81"/>
    </row>
    <row r="361" spans="4:23" customFormat="1" x14ac:dyDescent="0.3">
      <c r="D361" s="76"/>
      <c r="E361" s="76"/>
      <c r="F361" s="76"/>
      <c r="G361" s="76"/>
      <c r="W361" s="81"/>
    </row>
    <row r="362" spans="4:23" customFormat="1" x14ac:dyDescent="0.3">
      <c r="D362" s="76"/>
      <c r="E362" s="76"/>
      <c r="F362" s="76"/>
      <c r="G362" s="76"/>
      <c r="W362" s="81"/>
    </row>
    <row r="363" spans="4:23" customFormat="1" x14ac:dyDescent="0.3">
      <c r="D363" s="76"/>
      <c r="E363" s="76"/>
      <c r="F363" s="76"/>
      <c r="G363" s="76"/>
      <c r="W363" s="81"/>
    </row>
    <row r="364" spans="4:23" customFormat="1" x14ac:dyDescent="0.3">
      <c r="D364" s="76"/>
      <c r="E364" s="76"/>
      <c r="F364" s="76"/>
      <c r="G364" s="76"/>
      <c r="W364" s="81"/>
    </row>
    <row r="365" spans="4:23" customFormat="1" x14ac:dyDescent="0.3">
      <c r="D365" s="76"/>
      <c r="E365" s="76"/>
      <c r="F365" s="76"/>
      <c r="G365" s="76"/>
      <c r="W365" s="81"/>
    </row>
    <row r="366" spans="4:23" customFormat="1" x14ac:dyDescent="0.3">
      <c r="D366" s="76"/>
      <c r="E366" s="76"/>
      <c r="F366" s="76"/>
      <c r="G366" s="76"/>
      <c r="W366" s="81"/>
    </row>
    <row r="367" spans="4:23" customFormat="1" x14ac:dyDescent="0.3">
      <c r="D367" s="76"/>
      <c r="E367" s="76"/>
      <c r="F367" s="76"/>
      <c r="G367" s="76"/>
      <c r="W367" s="81"/>
    </row>
    <row r="368" spans="4:23" customFormat="1" x14ac:dyDescent="0.3">
      <c r="D368" s="76"/>
      <c r="E368" s="76"/>
      <c r="F368" s="76"/>
      <c r="G368" s="76"/>
      <c r="W368" s="81"/>
    </row>
    <row r="369" spans="4:23" customFormat="1" x14ac:dyDescent="0.3">
      <c r="D369" s="76"/>
      <c r="E369" s="76"/>
      <c r="F369" s="76"/>
      <c r="G369" s="76"/>
      <c r="W369" s="81"/>
    </row>
    <row r="370" spans="4:23" customFormat="1" x14ac:dyDescent="0.3">
      <c r="D370" s="76"/>
      <c r="E370" s="76"/>
      <c r="F370" s="76"/>
      <c r="G370" s="76"/>
      <c r="W370" s="81"/>
    </row>
    <row r="371" spans="4:23" customFormat="1" x14ac:dyDescent="0.3">
      <c r="D371" s="76"/>
      <c r="E371" s="76"/>
      <c r="F371" s="76"/>
      <c r="G371" s="76"/>
      <c r="W371" s="81"/>
    </row>
    <row r="372" spans="4:23" customFormat="1" x14ac:dyDescent="0.3">
      <c r="D372" s="76"/>
      <c r="E372" s="76"/>
      <c r="F372" s="76"/>
      <c r="G372" s="76"/>
      <c r="W372" s="81"/>
    </row>
    <row r="373" spans="4:23" customFormat="1" x14ac:dyDescent="0.3">
      <c r="D373" s="76"/>
      <c r="E373" s="76"/>
      <c r="F373" s="76"/>
      <c r="G373" s="76"/>
      <c r="W373" s="81"/>
    </row>
    <row r="374" spans="4:23" customFormat="1" x14ac:dyDescent="0.3">
      <c r="D374" s="76"/>
      <c r="E374" s="76"/>
      <c r="F374" s="76"/>
      <c r="G374" s="76"/>
      <c r="W374" s="81"/>
    </row>
    <row r="375" spans="4:23" customFormat="1" x14ac:dyDescent="0.3">
      <c r="D375" s="76"/>
      <c r="E375" s="76"/>
      <c r="F375" s="76"/>
      <c r="G375" s="76"/>
      <c r="W375" s="81"/>
    </row>
    <row r="376" spans="4:23" customFormat="1" x14ac:dyDescent="0.3">
      <c r="D376" s="76"/>
      <c r="E376" s="76"/>
      <c r="F376" s="76"/>
      <c r="G376" s="76"/>
      <c r="W376" s="81"/>
    </row>
    <row r="377" spans="4:23" customFormat="1" x14ac:dyDescent="0.3">
      <c r="D377" s="76"/>
      <c r="E377" s="76"/>
      <c r="F377" s="76"/>
      <c r="G377" s="76"/>
      <c r="W377" s="81"/>
    </row>
    <row r="378" spans="4:23" customFormat="1" x14ac:dyDescent="0.3">
      <c r="D378" s="76"/>
      <c r="E378" s="76"/>
      <c r="F378" s="76"/>
      <c r="G378" s="76"/>
      <c r="W378" s="81"/>
    </row>
    <row r="379" spans="4:23" customFormat="1" x14ac:dyDescent="0.3">
      <c r="D379" s="76"/>
      <c r="E379" s="76"/>
      <c r="F379" s="76"/>
      <c r="G379" s="76"/>
      <c r="W379" s="81"/>
    </row>
    <row r="380" spans="4:23" customFormat="1" x14ac:dyDescent="0.3">
      <c r="D380" s="76"/>
      <c r="E380" s="76"/>
      <c r="F380" s="76"/>
      <c r="G380" s="76"/>
      <c r="W380" s="81"/>
    </row>
    <row r="381" spans="4:23" customFormat="1" x14ac:dyDescent="0.3">
      <c r="D381" s="76"/>
      <c r="E381" s="76"/>
      <c r="F381" s="76"/>
      <c r="G381" s="76"/>
      <c r="W381" s="81"/>
    </row>
    <row r="382" spans="4:23" customFormat="1" x14ac:dyDescent="0.3">
      <c r="D382" s="76"/>
      <c r="E382" s="76"/>
      <c r="F382" s="76"/>
      <c r="G382" s="76"/>
      <c r="W382" s="81"/>
    </row>
    <row r="383" spans="4:23" customFormat="1" x14ac:dyDescent="0.3">
      <c r="D383" s="76"/>
      <c r="E383" s="76"/>
      <c r="F383" s="76"/>
      <c r="G383" s="76"/>
      <c r="W383" s="81"/>
    </row>
    <row r="384" spans="4:23" customFormat="1" x14ac:dyDescent="0.3">
      <c r="D384" s="76"/>
      <c r="E384" s="76"/>
      <c r="F384" s="76"/>
      <c r="G384" s="76"/>
      <c r="W384" s="81"/>
    </row>
    <row r="385" spans="4:23" customFormat="1" x14ac:dyDescent="0.3">
      <c r="D385" s="76"/>
      <c r="E385" s="76"/>
      <c r="F385" s="76"/>
      <c r="G385" s="76"/>
      <c r="W385" s="81"/>
    </row>
    <row r="386" spans="4:23" customFormat="1" x14ac:dyDescent="0.3">
      <c r="D386" s="76"/>
      <c r="E386" s="76"/>
      <c r="F386" s="76"/>
      <c r="G386" s="76"/>
      <c r="W386" s="81"/>
    </row>
    <row r="387" spans="4:23" customFormat="1" x14ac:dyDescent="0.3">
      <c r="D387" s="76"/>
      <c r="E387" s="76"/>
      <c r="F387" s="76"/>
      <c r="G387" s="76"/>
      <c r="W387" s="81"/>
    </row>
    <row r="388" spans="4:23" customFormat="1" x14ac:dyDescent="0.3">
      <c r="D388" s="76"/>
      <c r="E388" s="76"/>
      <c r="F388" s="76"/>
      <c r="G388" s="76"/>
      <c r="W388" s="81"/>
    </row>
    <row r="389" spans="4:23" customFormat="1" x14ac:dyDescent="0.3">
      <c r="D389" s="76"/>
      <c r="E389" s="76"/>
      <c r="F389" s="76"/>
      <c r="G389" s="76"/>
      <c r="W389" s="81"/>
    </row>
    <row r="390" spans="4:23" customFormat="1" x14ac:dyDescent="0.3">
      <c r="D390" s="76"/>
      <c r="E390" s="76"/>
      <c r="F390" s="76"/>
      <c r="G390" s="76"/>
      <c r="W390" s="81"/>
    </row>
    <row r="391" spans="4:23" customFormat="1" x14ac:dyDescent="0.3">
      <c r="D391" s="76"/>
      <c r="E391" s="76"/>
      <c r="F391" s="76"/>
      <c r="G391" s="76"/>
      <c r="W391" s="81"/>
    </row>
    <row r="392" spans="4:23" customFormat="1" x14ac:dyDescent="0.3">
      <c r="D392" s="76"/>
      <c r="E392" s="76"/>
      <c r="F392" s="76"/>
      <c r="G392" s="76"/>
      <c r="W392" s="81"/>
    </row>
    <row r="393" spans="4:23" customFormat="1" x14ac:dyDescent="0.3">
      <c r="D393" s="76"/>
      <c r="E393" s="76"/>
      <c r="F393" s="76"/>
      <c r="G393" s="76"/>
      <c r="W393" s="81"/>
    </row>
    <row r="394" spans="4:23" customFormat="1" x14ac:dyDescent="0.3">
      <c r="D394" s="76"/>
      <c r="E394" s="76"/>
      <c r="F394" s="76"/>
      <c r="G394" s="76"/>
      <c r="W394" s="81"/>
    </row>
    <row r="395" spans="4:23" customFormat="1" x14ac:dyDescent="0.3">
      <c r="D395" s="76"/>
      <c r="E395" s="76"/>
      <c r="F395" s="76"/>
      <c r="G395" s="76"/>
      <c r="W395" s="81"/>
    </row>
    <row r="396" spans="4:23" customFormat="1" x14ac:dyDescent="0.3">
      <c r="D396" s="76"/>
      <c r="E396" s="76"/>
      <c r="F396" s="76"/>
      <c r="G396" s="76"/>
      <c r="W396" s="81"/>
    </row>
    <row r="397" spans="4:23" customFormat="1" x14ac:dyDescent="0.3">
      <c r="D397" s="76"/>
      <c r="E397" s="76"/>
      <c r="F397" s="76"/>
      <c r="G397" s="76"/>
      <c r="W397" s="81"/>
    </row>
    <row r="398" spans="4:23" customFormat="1" x14ac:dyDescent="0.3">
      <c r="D398" s="76"/>
      <c r="E398" s="76"/>
      <c r="F398" s="76"/>
      <c r="G398" s="76"/>
      <c r="W398" s="81"/>
    </row>
    <row r="399" spans="4:23" customFormat="1" x14ac:dyDescent="0.3">
      <c r="D399" s="76"/>
      <c r="E399" s="76"/>
      <c r="F399" s="76"/>
      <c r="G399" s="76"/>
      <c r="W399" s="81"/>
    </row>
    <row r="400" spans="4:23" customFormat="1" x14ac:dyDescent="0.3">
      <c r="D400" s="76"/>
      <c r="E400" s="76"/>
      <c r="F400" s="76"/>
      <c r="G400" s="76"/>
      <c r="W400" s="81"/>
    </row>
    <row r="401" spans="4:23" customFormat="1" x14ac:dyDescent="0.3">
      <c r="D401" s="76"/>
      <c r="E401" s="76"/>
      <c r="F401" s="76"/>
      <c r="G401" s="76"/>
      <c r="W401" s="81"/>
    </row>
    <row r="402" spans="4:23" customFormat="1" x14ac:dyDescent="0.3">
      <c r="D402" s="76"/>
      <c r="E402" s="76"/>
      <c r="F402" s="76"/>
      <c r="G402" s="76"/>
      <c r="W402" s="81"/>
    </row>
    <row r="403" spans="4:23" customFormat="1" x14ac:dyDescent="0.3">
      <c r="D403" s="76"/>
      <c r="E403" s="76"/>
      <c r="F403" s="76"/>
      <c r="G403" s="76"/>
      <c r="W403" s="81"/>
    </row>
    <row r="404" spans="4:23" customFormat="1" x14ac:dyDescent="0.3">
      <c r="D404" s="76"/>
      <c r="E404" s="76"/>
      <c r="F404" s="76"/>
      <c r="G404" s="76"/>
      <c r="W404" s="81"/>
    </row>
    <row r="405" spans="4:23" customFormat="1" x14ac:dyDescent="0.3">
      <c r="D405" s="76"/>
      <c r="E405" s="76"/>
      <c r="F405" s="76"/>
      <c r="G405" s="76"/>
      <c r="W405" s="81"/>
    </row>
    <row r="406" spans="4:23" customFormat="1" x14ac:dyDescent="0.3">
      <c r="D406" s="76"/>
      <c r="E406" s="76"/>
      <c r="F406" s="76"/>
      <c r="G406" s="76"/>
      <c r="W406" s="81"/>
    </row>
    <row r="407" spans="4:23" customFormat="1" x14ac:dyDescent="0.3">
      <c r="D407" s="76"/>
      <c r="E407" s="76"/>
      <c r="F407" s="76"/>
      <c r="G407" s="76"/>
      <c r="W407" s="81"/>
    </row>
    <row r="408" spans="4:23" customFormat="1" x14ac:dyDescent="0.3">
      <c r="D408" s="76"/>
      <c r="E408" s="76"/>
      <c r="F408" s="76"/>
      <c r="G408" s="76"/>
      <c r="W408" s="81"/>
    </row>
    <row r="409" spans="4:23" customFormat="1" x14ac:dyDescent="0.3">
      <c r="D409" s="76"/>
      <c r="E409" s="76"/>
      <c r="F409" s="76"/>
      <c r="G409" s="76"/>
      <c r="W409" s="81"/>
    </row>
    <row r="410" spans="4:23" customFormat="1" x14ac:dyDescent="0.3">
      <c r="D410" s="76"/>
      <c r="E410" s="76"/>
      <c r="F410" s="76"/>
      <c r="G410" s="76"/>
      <c r="W410" s="81"/>
    </row>
    <row r="411" spans="4:23" customFormat="1" x14ac:dyDescent="0.3">
      <c r="D411" s="76"/>
      <c r="E411" s="76"/>
      <c r="F411" s="76"/>
      <c r="G411" s="76"/>
      <c r="W411" s="81"/>
    </row>
    <row r="412" spans="4:23" customFormat="1" x14ac:dyDescent="0.3">
      <c r="D412" s="76"/>
      <c r="E412" s="76"/>
      <c r="F412" s="76"/>
      <c r="G412" s="76"/>
      <c r="W412" s="81"/>
    </row>
    <row r="413" spans="4:23" customFormat="1" x14ac:dyDescent="0.3">
      <c r="D413" s="76"/>
      <c r="E413" s="76"/>
      <c r="F413" s="76"/>
      <c r="G413" s="76"/>
      <c r="W413" s="81"/>
    </row>
    <row r="414" spans="4:23" customFormat="1" x14ac:dyDescent="0.3">
      <c r="D414" s="76"/>
      <c r="E414" s="76"/>
      <c r="F414" s="76"/>
      <c r="G414" s="76"/>
      <c r="W414" s="81"/>
    </row>
    <row r="415" spans="4:23" customFormat="1" x14ac:dyDescent="0.3">
      <c r="D415" s="76"/>
      <c r="E415" s="76"/>
      <c r="F415" s="76"/>
      <c r="G415" s="76"/>
      <c r="W415" s="81"/>
    </row>
    <row r="416" spans="4:23" customFormat="1" x14ac:dyDescent="0.3">
      <c r="D416" s="76"/>
      <c r="E416" s="76"/>
      <c r="F416" s="76"/>
      <c r="G416" s="76"/>
      <c r="W416" s="81"/>
    </row>
    <row r="417" spans="4:23" customFormat="1" x14ac:dyDescent="0.3">
      <c r="D417" s="76"/>
      <c r="E417" s="76"/>
      <c r="F417" s="76"/>
      <c r="G417" s="76"/>
      <c r="W417" s="81"/>
    </row>
    <row r="418" spans="4:23" customFormat="1" x14ac:dyDescent="0.3">
      <c r="D418" s="76"/>
      <c r="E418" s="76"/>
      <c r="F418" s="76"/>
      <c r="G418" s="76"/>
      <c r="W418" s="81"/>
    </row>
    <row r="419" spans="4:23" customFormat="1" x14ac:dyDescent="0.3">
      <c r="D419" s="76"/>
      <c r="E419" s="76"/>
      <c r="F419" s="76"/>
      <c r="G419" s="76"/>
      <c r="W419" s="81"/>
    </row>
    <row r="420" spans="4:23" customFormat="1" x14ac:dyDescent="0.3">
      <c r="D420" s="76"/>
      <c r="E420" s="76"/>
      <c r="F420" s="76"/>
      <c r="G420" s="76"/>
      <c r="W420" s="81"/>
    </row>
    <row r="421" spans="4:23" customFormat="1" x14ac:dyDescent="0.3">
      <c r="D421" s="76"/>
      <c r="E421" s="76"/>
      <c r="F421" s="76"/>
      <c r="G421" s="76"/>
      <c r="W421" s="81"/>
    </row>
    <row r="422" spans="4:23" customFormat="1" x14ac:dyDescent="0.3">
      <c r="D422" s="76"/>
      <c r="E422" s="76"/>
      <c r="F422" s="76"/>
      <c r="G422" s="76"/>
      <c r="W422" s="81"/>
    </row>
    <row r="423" spans="4:23" customFormat="1" x14ac:dyDescent="0.3">
      <c r="D423" s="76"/>
      <c r="E423" s="76"/>
      <c r="F423" s="76"/>
      <c r="G423" s="76"/>
      <c r="W423" s="81"/>
    </row>
    <row r="424" spans="4:23" customFormat="1" x14ac:dyDescent="0.3">
      <c r="D424" s="76"/>
      <c r="E424" s="76"/>
      <c r="F424" s="76"/>
      <c r="G424" s="76"/>
      <c r="W424" s="81"/>
    </row>
    <row r="425" spans="4:23" customFormat="1" x14ac:dyDescent="0.3">
      <c r="D425" s="76"/>
      <c r="E425" s="76"/>
      <c r="F425" s="76"/>
      <c r="G425" s="76"/>
      <c r="W425" s="81"/>
    </row>
    <row r="426" spans="4:23" customFormat="1" x14ac:dyDescent="0.3">
      <c r="D426" s="76"/>
      <c r="E426" s="76"/>
      <c r="F426" s="76"/>
      <c r="G426" s="76"/>
      <c r="W426" s="81"/>
    </row>
    <row r="427" spans="4:23" customFormat="1" x14ac:dyDescent="0.3">
      <c r="D427" s="76"/>
      <c r="E427" s="76"/>
      <c r="F427" s="76"/>
      <c r="G427" s="76"/>
      <c r="W427" s="81"/>
    </row>
    <row r="428" spans="4:23" customFormat="1" x14ac:dyDescent="0.3">
      <c r="D428" s="76"/>
      <c r="E428" s="76"/>
      <c r="F428" s="76"/>
      <c r="G428" s="76"/>
      <c r="W428" s="81"/>
    </row>
    <row r="429" spans="4:23" customFormat="1" x14ac:dyDescent="0.3">
      <c r="D429" s="76"/>
      <c r="E429" s="76"/>
      <c r="F429" s="76"/>
      <c r="G429" s="76"/>
      <c r="W429" s="81"/>
    </row>
    <row r="430" spans="4:23" customFormat="1" x14ac:dyDescent="0.3">
      <c r="D430" s="76"/>
      <c r="E430" s="76"/>
      <c r="F430" s="76"/>
      <c r="G430" s="76"/>
      <c r="W430" s="81"/>
    </row>
    <row r="431" spans="4:23" customFormat="1" x14ac:dyDescent="0.3">
      <c r="D431" s="76"/>
      <c r="E431" s="76"/>
      <c r="F431" s="76"/>
      <c r="G431" s="76"/>
      <c r="W431" s="81"/>
    </row>
    <row r="432" spans="4:23" customFormat="1" x14ac:dyDescent="0.3">
      <c r="D432" s="76"/>
      <c r="E432" s="76"/>
      <c r="F432" s="76"/>
      <c r="G432" s="76"/>
      <c r="W432" s="81"/>
    </row>
    <row r="433" spans="4:23" customFormat="1" x14ac:dyDescent="0.3">
      <c r="D433" s="76"/>
      <c r="E433" s="76"/>
      <c r="F433" s="76"/>
      <c r="G433" s="76"/>
      <c r="W433" s="81"/>
    </row>
    <row r="434" spans="4:23" customFormat="1" x14ac:dyDescent="0.3">
      <c r="D434" s="76"/>
      <c r="E434" s="76"/>
      <c r="F434" s="76"/>
      <c r="G434" s="76"/>
      <c r="W434" s="81"/>
    </row>
    <row r="435" spans="4:23" customFormat="1" x14ac:dyDescent="0.3">
      <c r="D435" s="76"/>
      <c r="E435" s="76"/>
      <c r="F435" s="76"/>
      <c r="G435" s="76"/>
      <c r="W435" s="81"/>
    </row>
    <row r="436" spans="4:23" customFormat="1" x14ac:dyDescent="0.3">
      <c r="D436" s="76"/>
      <c r="E436" s="76"/>
      <c r="F436" s="76"/>
      <c r="G436" s="76"/>
      <c r="W436" s="81"/>
    </row>
    <row r="437" spans="4:23" customFormat="1" x14ac:dyDescent="0.3">
      <c r="D437" s="76"/>
      <c r="E437" s="76"/>
      <c r="F437" s="76"/>
      <c r="G437" s="76"/>
      <c r="W437" s="81"/>
    </row>
    <row r="438" spans="4:23" customFormat="1" x14ac:dyDescent="0.3">
      <c r="D438" s="76"/>
      <c r="E438" s="76"/>
      <c r="F438" s="76"/>
      <c r="G438" s="76"/>
      <c r="W438" s="81"/>
    </row>
    <row r="439" spans="4:23" customFormat="1" x14ac:dyDescent="0.3">
      <c r="D439" s="76"/>
      <c r="E439" s="76"/>
      <c r="F439" s="76"/>
      <c r="G439" s="76"/>
      <c r="W439" s="81"/>
    </row>
    <row r="440" spans="4:23" customFormat="1" x14ac:dyDescent="0.3">
      <c r="D440" s="76"/>
      <c r="E440" s="76"/>
      <c r="F440" s="76"/>
      <c r="G440" s="76"/>
      <c r="W440" s="81"/>
    </row>
    <row r="441" spans="4:23" customFormat="1" x14ac:dyDescent="0.3">
      <c r="D441" s="76"/>
      <c r="E441" s="76"/>
      <c r="F441" s="76"/>
      <c r="G441" s="76"/>
      <c r="W441" s="81"/>
    </row>
    <row r="442" spans="4:23" customFormat="1" x14ac:dyDescent="0.3">
      <c r="D442" s="76"/>
      <c r="E442" s="76"/>
      <c r="F442" s="76"/>
      <c r="G442" s="76"/>
      <c r="W442" s="81"/>
    </row>
    <row r="443" spans="4:23" customFormat="1" x14ac:dyDescent="0.3">
      <c r="D443" s="76"/>
      <c r="E443" s="76"/>
      <c r="F443" s="76"/>
      <c r="G443" s="76"/>
      <c r="W443" s="81"/>
    </row>
    <row r="444" spans="4:23" customFormat="1" x14ac:dyDescent="0.3">
      <c r="D444" s="76"/>
      <c r="E444" s="76"/>
      <c r="F444" s="76"/>
      <c r="G444" s="76"/>
      <c r="W444" s="81"/>
    </row>
    <row r="445" spans="4:23" customFormat="1" x14ac:dyDescent="0.3">
      <c r="D445" s="76"/>
      <c r="E445" s="76"/>
      <c r="F445" s="76"/>
      <c r="G445" s="76"/>
      <c r="W445" s="81"/>
    </row>
    <row r="446" spans="4:23" customFormat="1" x14ac:dyDescent="0.3">
      <c r="D446" s="76"/>
      <c r="E446" s="76"/>
      <c r="F446" s="76"/>
      <c r="G446" s="76"/>
      <c r="W446" s="81"/>
    </row>
    <row r="447" spans="4:23" customFormat="1" x14ac:dyDescent="0.3">
      <c r="D447" s="76"/>
      <c r="E447" s="76"/>
      <c r="F447" s="76"/>
      <c r="G447" s="76"/>
      <c r="W447" s="81"/>
    </row>
    <row r="448" spans="4:23" customFormat="1" x14ac:dyDescent="0.3">
      <c r="D448" s="76"/>
      <c r="E448" s="76"/>
      <c r="F448" s="76"/>
      <c r="G448" s="76"/>
      <c r="W448" s="81"/>
    </row>
    <row r="449" spans="4:23" customFormat="1" x14ac:dyDescent="0.3">
      <c r="D449" s="76"/>
      <c r="E449" s="76"/>
      <c r="F449" s="76"/>
      <c r="G449" s="76"/>
      <c r="W449" s="81"/>
    </row>
    <row r="450" spans="4:23" customFormat="1" x14ac:dyDescent="0.3">
      <c r="D450" s="76"/>
      <c r="E450" s="76"/>
      <c r="F450" s="76"/>
      <c r="G450" s="76"/>
      <c r="W450" s="81"/>
    </row>
    <row r="451" spans="4:23" customFormat="1" x14ac:dyDescent="0.3">
      <c r="D451" s="76"/>
      <c r="E451" s="76"/>
      <c r="F451" s="76"/>
      <c r="G451" s="76"/>
      <c r="W451" s="81"/>
    </row>
    <row r="452" spans="4:23" customFormat="1" x14ac:dyDescent="0.3">
      <c r="D452" s="76"/>
      <c r="E452" s="79"/>
      <c r="F452" s="79"/>
      <c r="G452" s="79"/>
      <c r="W452" s="81"/>
    </row>
    <row r="453" spans="4:23" customFormat="1" x14ac:dyDescent="0.3">
      <c r="D453" s="76"/>
      <c r="E453" s="79"/>
      <c r="F453" s="79"/>
      <c r="G453" s="79"/>
      <c r="W453" s="81"/>
    </row>
    <row r="454" spans="4:23" customFormat="1" x14ac:dyDescent="0.3">
      <c r="D454" s="76"/>
      <c r="E454" s="79"/>
      <c r="F454" s="79"/>
      <c r="G454" s="79"/>
      <c r="W454" s="81"/>
    </row>
    <row r="455" spans="4:23" customFormat="1" x14ac:dyDescent="0.3">
      <c r="D455" s="76"/>
      <c r="E455" s="79"/>
      <c r="F455" s="79"/>
      <c r="G455" s="79"/>
      <c r="W455" s="81"/>
    </row>
    <row r="456" spans="4:23" customFormat="1" x14ac:dyDescent="0.3">
      <c r="D456" s="76"/>
      <c r="E456" s="79"/>
      <c r="F456" s="79"/>
      <c r="G456" s="79"/>
      <c r="W456" s="81"/>
    </row>
    <row r="457" spans="4:23" customFormat="1" x14ac:dyDescent="0.3">
      <c r="D457" s="76"/>
      <c r="E457" s="79"/>
      <c r="F457" s="79"/>
      <c r="G457" s="79"/>
      <c r="W457" s="81"/>
    </row>
    <row r="458" spans="4:23" customFormat="1" x14ac:dyDescent="0.3">
      <c r="D458" s="76"/>
      <c r="E458" s="79"/>
      <c r="F458" s="79"/>
      <c r="G458" s="79"/>
      <c r="W458" s="81"/>
    </row>
    <row r="459" spans="4:23" customFormat="1" x14ac:dyDescent="0.3">
      <c r="D459" s="76"/>
      <c r="E459" s="79"/>
      <c r="F459" s="79"/>
      <c r="G459" s="79"/>
      <c r="W459" s="81"/>
    </row>
    <row r="460" spans="4:23" customFormat="1" x14ac:dyDescent="0.3">
      <c r="D460" s="76"/>
      <c r="E460" s="79"/>
      <c r="F460" s="79"/>
      <c r="G460" s="79"/>
      <c r="W460" s="81"/>
    </row>
    <row r="461" spans="4:23" customFormat="1" x14ac:dyDescent="0.3">
      <c r="D461" s="76"/>
      <c r="E461" s="79"/>
      <c r="F461" s="79"/>
      <c r="G461" s="79"/>
      <c r="W461" s="81"/>
    </row>
    <row r="462" spans="4:23" customFormat="1" x14ac:dyDescent="0.3">
      <c r="D462" s="76"/>
      <c r="E462" s="79"/>
      <c r="F462" s="79"/>
      <c r="G462" s="79"/>
      <c r="W462" s="81"/>
    </row>
    <row r="463" spans="4:23" customFormat="1" x14ac:dyDescent="0.3">
      <c r="D463" s="76"/>
      <c r="E463" s="79"/>
      <c r="F463" s="79"/>
      <c r="G463" s="79"/>
      <c r="W463" s="81"/>
    </row>
    <row r="464" spans="4:23" customFormat="1" x14ac:dyDescent="0.3">
      <c r="D464" s="76"/>
      <c r="E464" s="79"/>
      <c r="F464" s="79"/>
      <c r="G464" s="79"/>
      <c r="W464" s="81"/>
    </row>
    <row r="465" spans="4:23" customFormat="1" x14ac:dyDescent="0.3">
      <c r="D465" s="76"/>
      <c r="E465" s="79"/>
      <c r="F465" s="79"/>
      <c r="G465" s="79"/>
      <c r="W465" s="81"/>
    </row>
    <row r="466" spans="4:23" customFormat="1" x14ac:dyDescent="0.3">
      <c r="D466" s="76"/>
      <c r="E466" s="79"/>
      <c r="F466" s="79"/>
      <c r="G466" s="79"/>
      <c r="W466" s="81"/>
    </row>
    <row r="467" spans="4:23" customFormat="1" x14ac:dyDescent="0.3">
      <c r="D467" s="76"/>
      <c r="E467" s="79"/>
      <c r="F467" s="79"/>
      <c r="G467" s="79"/>
      <c r="W467" s="81"/>
    </row>
    <row r="468" spans="4:23" customFormat="1" x14ac:dyDescent="0.3">
      <c r="D468" s="76"/>
      <c r="E468" s="79"/>
      <c r="F468" s="79"/>
      <c r="G468" s="79"/>
      <c r="W468" s="81"/>
    </row>
    <row r="469" spans="4:23" customFormat="1" x14ac:dyDescent="0.3">
      <c r="D469" s="76"/>
      <c r="E469" s="79"/>
      <c r="F469" s="79"/>
      <c r="G469" s="79"/>
      <c r="W469" s="81"/>
    </row>
    <row r="470" spans="4:23" customFormat="1" x14ac:dyDescent="0.3">
      <c r="D470" s="76"/>
      <c r="E470" s="79"/>
      <c r="F470" s="79"/>
      <c r="G470" s="79"/>
      <c r="W470" s="81"/>
    </row>
    <row r="471" spans="4:23" customFormat="1" x14ac:dyDescent="0.3">
      <c r="D471" s="76"/>
      <c r="E471" s="79"/>
      <c r="F471" s="79"/>
      <c r="G471" s="79"/>
      <c r="W471" s="81"/>
    </row>
    <row r="472" spans="4:23" customFormat="1" x14ac:dyDescent="0.3">
      <c r="D472" s="76"/>
      <c r="E472" s="79"/>
      <c r="F472" s="79"/>
      <c r="G472" s="79"/>
      <c r="W472" s="81"/>
    </row>
    <row r="473" spans="4:23" customFormat="1" x14ac:dyDescent="0.3">
      <c r="D473" s="76"/>
      <c r="E473" s="79"/>
      <c r="F473" s="79"/>
      <c r="G473" s="79"/>
      <c r="W473" s="81"/>
    </row>
    <row r="474" spans="4:23" customFormat="1" x14ac:dyDescent="0.3">
      <c r="D474" s="76"/>
      <c r="E474" s="79"/>
      <c r="F474" s="79"/>
      <c r="G474" s="79"/>
      <c r="W474" s="81"/>
    </row>
    <row r="475" spans="4:23" customFormat="1" x14ac:dyDescent="0.3">
      <c r="D475" s="76"/>
      <c r="E475" s="79"/>
      <c r="F475" s="79"/>
      <c r="G475" s="79"/>
      <c r="W475" s="81"/>
    </row>
    <row r="476" spans="4:23" customFormat="1" x14ac:dyDescent="0.3">
      <c r="D476" s="76"/>
      <c r="E476" s="79"/>
      <c r="F476" s="79"/>
      <c r="G476" s="79"/>
      <c r="W476" s="81"/>
    </row>
    <row r="477" spans="4:23" customFormat="1" x14ac:dyDescent="0.3">
      <c r="D477" s="76"/>
      <c r="E477" s="79"/>
      <c r="F477" s="79"/>
      <c r="G477" s="79"/>
      <c r="W477" s="81"/>
    </row>
    <row r="478" spans="4:23" customFormat="1" x14ac:dyDescent="0.3">
      <c r="D478" s="76"/>
      <c r="E478" s="79"/>
      <c r="F478" s="79"/>
      <c r="G478" s="79"/>
      <c r="W478" s="81"/>
    </row>
    <row r="479" spans="4:23" customFormat="1" x14ac:dyDescent="0.3">
      <c r="D479" s="76"/>
      <c r="E479" s="79"/>
      <c r="F479" s="79"/>
      <c r="G479" s="79"/>
      <c r="W479" s="81"/>
    </row>
    <row r="480" spans="4:23" customFormat="1" x14ac:dyDescent="0.3">
      <c r="D480" s="76"/>
      <c r="E480" s="79"/>
      <c r="F480" s="79"/>
      <c r="G480" s="79"/>
      <c r="W480" s="81"/>
    </row>
    <row r="481" spans="4:23" customFormat="1" x14ac:dyDescent="0.3">
      <c r="D481" s="76"/>
      <c r="E481" s="79"/>
      <c r="F481" s="79"/>
      <c r="G481" s="79"/>
      <c r="W481" s="81"/>
    </row>
    <row r="482" spans="4:23" customFormat="1" x14ac:dyDescent="0.3">
      <c r="D482" s="76"/>
      <c r="E482" s="79"/>
      <c r="F482" s="79"/>
      <c r="G482" s="79"/>
      <c r="W482" s="81"/>
    </row>
    <row r="483" spans="4:23" customFormat="1" x14ac:dyDescent="0.3">
      <c r="D483" s="76"/>
      <c r="E483" s="79"/>
      <c r="F483" s="79"/>
      <c r="G483" s="79"/>
      <c r="W483" s="81"/>
    </row>
    <row r="484" spans="4:23" customFormat="1" x14ac:dyDescent="0.3">
      <c r="D484" s="76"/>
      <c r="E484" s="79"/>
      <c r="F484" s="79"/>
      <c r="G484" s="79"/>
      <c r="W484" s="81"/>
    </row>
    <row r="485" spans="4:23" customFormat="1" x14ac:dyDescent="0.3">
      <c r="D485" s="76"/>
      <c r="E485" s="79"/>
      <c r="F485" s="79"/>
      <c r="G485" s="79"/>
      <c r="W485" s="81"/>
    </row>
    <row r="486" spans="4:23" customFormat="1" x14ac:dyDescent="0.3">
      <c r="D486" s="76"/>
      <c r="E486" s="79"/>
      <c r="F486" s="79"/>
      <c r="G486" s="79"/>
      <c r="W486" s="81"/>
    </row>
    <row r="487" spans="4:23" customFormat="1" x14ac:dyDescent="0.3">
      <c r="D487" s="76"/>
      <c r="E487" s="79"/>
      <c r="F487" s="79"/>
      <c r="G487" s="79"/>
      <c r="W487" s="81"/>
    </row>
    <row r="488" spans="4:23" customFormat="1" x14ac:dyDescent="0.3">
      <c r="D488" s="76"/>
      <c r="E488" s="79"/>
      <c r="F488" s="79"/>
      <c r="G488" s="79"/>
      <c r="W488" s="81"/>
    </row>
    <row r="489" spans="4:23" customFormat="1" x14ac:dyDescent="0.3">
      <c r="D489" s="76"/>
      <c r="E489" s="79"/>
      <c r="F489" s="79"/>
      <c r="G489" s="79"/>
      <c r="W489" s="81"/>
    </row>
    <row r="490" spans="4:23" customFormat="1" x14ac:dyDescent="0.3">
      <c r="D490" s="76"/>
      <c r="E490" s="79"/>
      <c r="F490" s="79"/>
      <c r="G490" s="79"/>
      <c r="W490" s="81"/>
    </row>
    <row r="491" spans="4:23" customFormat="1" x14ac:dyDescent="0.3">
      <c r="D491" s="76"/>
      <c r="E491" s="79"/>
      <c r="F491" s="79"/>
      <c r="G491" s="79"/>
      <c r="W491" s="81"/>
    </row>
    <row r="492" spans="4:23" customFormat="1" x14ac:dyDescent="0.3">
      <c r="D492" s="76"/>
      <c r="E492" s="79"/>
      <c r="F492" s="79"/>
      <c r="G492" s="79"/>
      <c r="W492" s="81"/>
    </row>
    <row r="493" spans="4:23" customFormat="1" x14ac:dyDescent="0.3">
      <c r="D493" s="76"/>
      <c r="E493" s="79"/>
      <c r="F493" s="79"/>
      <c r="G493" s="79"/>
      <c r="W493" s="81"/>
    </row>
    <row r="494" spans="4:23" customFormat="1" x14ac:dyDescent="0.3">
      <c r="D494" s="76"/>
      <c r="E494" s="79"/>
      <c r="F494" s="79"/>
      <c r="G494" s="79"/>
      <c r="W494" s="81"/>
    </row>
    <row r="495" spans="4:23" customFormat="1" x14ac:dyDescent="0.3">
      <c r="D495" s="76"/>
      <c r="E495" s="79"/>
      <c r="F495" s="79"/>
      <c r="G495" s="79"/>
      <c r="W495" s="81"/>
    </row>
    <row r="496" spans="4:23" customFormat="1" x14ac:dyDescent="0.3">
      <c r="D496" s="76"/>
      <c r="E496" s="79"/>
      <c r="F496" s="79"/>
      <c r="G496" s="79"/>
      <c r="W496" s="81"/>
    </row>
    <row r="497" spans="4:23" customFormat="1" x14ac:dyDescent="0.3">
      <c r="D497" s="76"/>
      <c r="E497" s="79"/>
      <c r="F497" s="79"/>
      <c r="G497" s="79"/>
      <c r="W497" s="81"/>
    </row>
    <row r="498" spans="4:23" customFormat="1" x14ac:dyDescent="0.3">
      <c r="D498" s="76"/>
      <c r="E498" s="79"/>
      <c r="F498" s="79"/>
      <c r="G498" s="79"/>
      <c r="W498" s="81"/>
    </row>
    <row r="499" spans="4:23" customFormat="1" x14ac:dyDescent="0.3">
      <c r="D499" s="76"/>
      <c r="E499" s="79"/>
      <c r="F499" s="79"/>
      <c r="G499" s="79"/>
      <c r="W499" s="81"/>
    </row>
    <row r="500" spans="4:23" customFormat="1" x14ac:dyDescent="0.3">
      <c r="D500" s="76"/>
      <c r="E500" s="79"/>
      <c r="F500" s="79"/>
      <c r="G500" s="79"/>
      <c r="W500" s="81"/>
    </row>
    <row r="501" spans="4:23" customFormat="1" x14ac:dyDescent="0.3">
      <c r="D501" s="76"/>
      <c r="E501" s="79"/>
      <c r="F501" s="79"/>
      <c r="G501" s="79"/>
      <c r="W501" s="81"/>
    </row>
    <row r="502" spans="4:23" customFormat="1" x14ac:dyDescent="0.3">
      <c r="D502" s="76"/>
      <c r="E502" s="79"/>
      <c r="F502" s="79"/>
      <c r="G502" s="79"/>
      <c r="W502" s="81"/>
    </row>
    <row r="503" spans="4:23" customFormat="1" x14ac:dyDescent="0.3">
      <c r="D503" s="76"/>
      <c r="E503" s="79"/>
      <c r="F503" s="79"/>
      <c r="G503" s="79"/>
      <c r="W503" s="81"/>
    </row>
    <row r="504" spans="4:23" customFormat="1" x14ac:dyDescent="0.3">
      <c r="D504" s="76"/>
      <c r="E504" s="79"/>
      <c r="F504" s="79"/>
      <c r="G504" s="79"/>
      <c r="W504" s="81"/>
    </row>
    <row r="505" spans="4:23" customFormat="1" x14ac:dyDescent="0.3">
      <c r="D505" s="76"/>
      <c r="E505" s="79"/>
      <c r="F505" s="79"/>
      <c r="G505" s="79"/>
      <c r="W505" s="81"/>
    </row>
    <row r="506" spans="4:23" customFormat="1" x14ac:dyDescent="0.3">
      <c r="D506" s="76"/>
      <c r="E506" s="79"/>
      <c r="F506" s="79"/>
      <c r="G506" s="79"/>
      <c r="W506" s="81"/>
    </row>
    <row r="507" spans="4:23" customFormat="1" x14ac:dyDescent="0.3">
      <c r="D507" s="76"/>
      <c r="E507" s="79"/>
      <c r="F507" s="79"/>
      <c r="G507" s="79"/>
      <c r="W507" s="81"/>
    </row>
    <row r="508" spans="4:23" customFormat="1" x14ac:dyDescent="0.3">
      <c r="D508" s="76"/>
      <c r="E508" s="79"/>
      <c r="F508" s="79"/>
      <c r="G508" s="79"/>
      <c r="W508" s="81"/>
    </row>
    <row r="509" spans="4:23" customFormat="1" x14ac:dyDescent="0.3">
      <c r="D509" s="76"/>
      <c r="E509" s="79"/>
      <c r="F509" s="79"/>
      <c r="G509" s="79"/>
      <c r="W509" s="81"/>
    </row>
    <row r="510" spans="4:23" customFormat="1" x14ac:dyDescent="0.3">
      <c r="D510" s="76"/>
      <c r="E510" s="79"/>
      <c r="F510" s="79"/>
      <c r="G510" s="79"/>
      <c r="W510" s="81"/>
    </row>
    <row r="511" spans="4:23" customFormat="1" x14ac:dyDescent="0.3">
      <c r="D511" s="76"/>
      <c r="E511" s="79"/>
      <c r="F511" s="79"/>
      <c r="G511" s="79"/>
      <c r="W511" s="81"/>
    </row>
    <row r="512" spans="4:23" customFormat="1" x14ac:dyDescent="0.3">
      <c r="D512" s="76"/>
      <c r="E512" s="79"/>
      <c r="F512" s="79"/>
      <c r="G512" s="79"/>
      <c r="W512" s="81"/>
    </row>
    <row r="513" spans="4:23" customFormat="1" x14ac:dyDescent="0.3">
      <c r="D513" s="76"/>
      <c r="E513" s="79"/>
      <c r="F513" s="79"/>
      <c r="G513" s="79"/>
      <c r="W513" s="81"/>
    </row>
    <row r="514" spans="4:23" customFormat="1" x14ac:dyDescent="0.3">
      <c r="D514" s="76"/>
      <c r="E514" s="79"/>
      <c r="F514" s="79"/>
      <c r="G514" s="79"/>
      <c r="W514" s="81"/>
    </row>
    <row r="515" spans="4:23" customFormat="1" x14ac:dyDescent="0.3">
      <c r="D515" s="76"/>
      <c r="E515" s="79"/>
      <c r="F515" s="79"/>
      <c r="G515" s="79"/>
      <c r="W515" s="81"/>
    </row>
    <row r="516" spans="4:23" customFormat="1" x14ac:dyDescent="0.3">
      <c r="D516" s="76"/>
      <c r="E516" s="79"/>
      <c r="F516" s="79"/>
      <c r="G516" s="79"/>
      <c r="W516" s="81"/>
    </row>
    <row r="517" spans="4:23" customFormat="1" x14ac:dyDescent="0.3">
      <c r="D517" s="76"/>
      <c r="E517" s="79"/>
      <c r="F517" s="79"/>
      <c r="G517" s="79"/>
      <c r="W517" s="81"/>
    </row>
    <row r="518" spans="4:23" customFormat="1" x14ac:dyDescent="0.3">
      <c r="D518" s="76"/>
      <c r="E518" s="79"/>
      <c r="F518" s="79"/>
      <c r="G518" s="79"/>
      <c r="W518" s="81"/>
    </row>
    <row r="519" spans="4:23" customFormat="1" x14ac:dyDescent="0.3">
      <c r="D519" s="76"/>
      <c r="E519" s="79"/>
      <c r="F519" s="79"/>
      <c r="G519" s="79"/>
      <c r="W519" s="81"/>
    </row>
    <row r="520" spans="4:23" customFormat="1" x14ac:dyDescent="0.3">
      <c r="D520" s="76"/>
      <c r="E520" s="79"/>
      <c r="F520" s="79"/>
      <c r="G520" s="79"/>
      <c r="W520" s="81"/>
    </row>
    <row r="521" spans="4:23" customFormat="1" x14ac:dyDescent="0.3">
      <c r="D521" s="76"/>
      <c r="E521" s="79"/>
      <c r="F521" s="79"/>
      <c r="G521" s="79"/>
      <c r="W521" s="81"/>
    </row>
    <row r="522" spans="4:23" customFormat="1" x14ac:dyDescent="0.3">
      <c r="D522" s="76"/>
      <c r="E522" s="79"/>
      <c r="F522" s="79"/>
      <c r="G522" s="79"/>
      <c r="W522" s="81"/>
    </row>
    <row r="523" spans="4:23" customFormat="1" x14ac:dyDescent="0.3">
      <c r="D523" s="76"/>
      <c r="E523" s="79"/>
      <c r="F523" s="79"/>
      <c r="G523" s="79"/>
      <c r="W523" s="81"/>
    </row>
    <row r="524" spans="4:23" customFormat="1" x14ac:dyDescent="0.3">
      <c r="D524" s="76"/>
      <c r="E524" s="79"/>
      <c r="F524" s="79"/>
      <c r="G524" s="79"/>
      <c r="W524" s="81"/>
    </row>
    <row r="525" spans="4:23" customFormat="1" x14ac:dyDescent="0.3">
      <c r="D525" s="76"/>
      <c r="E525" s="79"/>
      <c r="F525" s="79"/>
      <c r="G525" s="79"/>
      <c r="W525" s="81"/>
    </row>
    <row r="526" spans="4:23" customFormat="1" x14ac:dyDescent="0.3">
      <c r="D526" s="76"/>
      <c r="E526" s="79"/>
      <c r="F526" s="79"/>
      <c r="G526" s="79"/>
      <c r="W526" s="81"/>
    </row>
    <row r="527" spans="4:23" customFormat="1" x14ac:dyDescent="0.3">
      <c r="D527" s="76"/>
      <c r="E527" s="79"/>
      <c r="F527" s="79"/>
      <c r="G527" s="79"/>
      <c r="W527" s="81"/>
    </row>
    <row r="528" spans="4:23" customFormat="1" x14ac:dyDescent="0.3">
      <c r="D528" s="76"/>
      <c r="E528" s="79"/>
      <c r="F528" s="79"/>
      <c r="G528" s="79"/>
      <c r="W528" s="81"/>
    </row>
    <row r="529" spans="4:23" customFormat="1" x14ac:dyDescent="0.3">
      <c r="D529" s="76"/>
      <c r="E529" s="79"/>
      <c r="F529" s="79"/>
      <c r="G529" s="79"/>
      <c r="W529" s="81"/>
    </row>
    <row r="530" spans="4:23" customFormat="1" x14ac:dyDescent="0.3">
      <c r="D530" s="76"/>
      <c r="E530" s="79"/>
      <c r="F530" s="79"/>
      <c r="G530" s="79"/>
      <c r="W530" s="81"/>
    </row>
    <row r="531" spans="4:23" customFormat="1" x14ac:dyDescent="0.3">
      <c r="D531" s="76"/>
      <c r="E531" s="79"/>
      <c r="F531" s="79"/>
      <c r="G531" s="79"/>
      <c r="W531" s="81"/>
    </row>
    <row r="532" spans="4:23" customFormat="1" x14ac:dyDescent="0.3">
      <c r="D532" s="76"/>
      <c r="E532" s="79"/>
      <c r="F532" s="79"/>
      <c r="G532" s="79"/>
      <c r="W532" s="81"/>
    </row>
    <row r="533" spans="4:23" customFormat="1" x14ac:dyDescent="0.3">
      <c r="D533" s="76"/>
      <c r="E533" s="79"/>
      <c r="F533" s="79"/>
      <c r="G533" s="79"/>
      <c r="W533" s="81"/>
    </row>
    <row r="534" spans="4:23" customFormat="1" x14ac:dyDescent="0.3">
      <c r="D534" s="76"/>
      <c r="E534" s="79"/>
      <c r="F534" s="79"/>
      <c r="G534" s="79"/>
      <c r="W534" s="81"/>
    </row>
    <row r="535" spans="4:23" customFormat="1" x14ac:dyDescent="0.3">
      <c r="D535" s="76"/>
      <c r="E535" s="79"/>
      <c r="F535" s="79"/>
      <c r="G535" s="79"/>
      <c r="W535" s="81"/>
    </row>
    <row r="536" spans="4:23" customFormat="1" x14ac:dyDescent="0.3">
      <c r="D536" s="76"/>
      <c r="E536" s="79"/>
      <c r="F536" s="79"/>
      <c r="G536" s="79"/>
      <c r="W536" s="81"/>
    </row>
    <row r="537" spans="4:23" customFormat="1" x14ac:dyDescent="0.3">
      <c r="D537" s="76"/>
      <c r="E537" s="79"/>
      <c r="F537" s="79"/>
      <c r="G537" s="79"/>
      <c r="W537" s="81"/>
    </row>
    <row r="538" spans="4:23" customFormat="1" x14ac:dyDescent="0.3">
      <c r="D538" s="76"/>
      <c r="E538" s="79"/>
      <c r="F538" s="79"/>
      <c r="G538" s="79"/>
      <c r="W538" s="81"/>
    </row>
    <row r="539" spans="4:23" customFormat="1" x14ac:dyDescent="0.3">
      <c r="D539" s="76"/>
      <c r="E539" s="79"/>
      <c r="F539" s="79"/>
      <c r="G539" s="79"/>
      <c r="W539" s="81"/>
    </row>
    <row r="540" spans="4:23" customFormat="1" x14ac:dyDescent="0.3">
      <c r="D540" s="76"/>
      <c r="E540" s="79"/>
      <c r="F540" s="79"/>
      <c r="G540" s="79"/>
      <c r="W540" s="81"/>
    </row>
    <row r="541" spans="4:23" customFormat="1" x14ac:dyDescent="0.3">
      <c r="D541" s="76"/>
      <c r="E541" s="79"/>
      <c r="F541" s="79"/>
      <c r="G541" s="79"/>
      <c r="W541" s="81"/>
    </row>
    <row r="542" spans="4:23" customFormat="1" x14ac:dyDescent="0.3">
      <c r="D542" s="76"/>
      <c r="E542" s="79"/>
      <c r="F542" s="79"/>
      <c r="G542" s="79"/>
      <c r="W542" s="81"/>
    </row>
    <row r="543" spans="4:23" customFormat="1" x14ac:dyDescent="0.3">
      <c r="D543" s="76"/>
      <c r="E543" s="79"/>
      <c r="F543" s="79"/>
      <c r="G543" s="79"/>
      <c r="W543" s="81"/>
    </row>
    <row r="544" spans="4:23" customFormat="1" x14ac:dyDescent="0.3">
      <c r="D544" s="76"/>
      <c r="E544" s="79"/>
      <c r="F544" s="79"/>
      <c r="G544" s="79"/>
      <c r="W544" s="81"/>
    </row>
    <row r="545" spans="4:23" customFormat="1" x14ac:dyDescent="0.3">
      <c r="D545" s="76"/>
      <c r="E545" s="79"/>
      <c r="F545" s="79"/>
      <c r="G545" s="79"/>
      <c r="W545" s="81"/>
    </row>
    <row r="546" spans="4:23" customFormat="1" x14ac:dyDescent="0.3">
      <c r="D546" s="76"/>
      <c r="E546" s="79"/>
      <c r="F546" s="79"/>
      <c r="G546" s="79"/>
      <c r="W546" s="81"/>
    </row>
    <row r="547" spans="4:23" customFormat="1" x14ac:dyDescent="0.3">
      <c r="D547" s="76"/>
      <c r="E547" s="79"/>
      <c r="F547" s="79"/>
      <c r="G547" s="79"/>
      <c r="W547" s="81"/>
    </row>
    <row r="548" spans="4:23" customFormat="1" x14ac:dyDescent="0.3">
      <c r="D548" s="76"/>
      <c r="E548" s="79"/>
      <c r="F548" s="79"/>
      <c r="G548" s="79"/>
      <c r="W548" s="81"/>
    </row>
    <row r="549" spans="4:23" customFormat="1" x14ac:dyDescent="0.3">
      <c r="D549" s="76"/>
      <c r="E549" s="79"/>
      <c r="F549" s="79"/>
      <c r="G549" s="79"/>
      <c r="W549" s="81"/>
    </row>
    <row r="550" spans="4:23" customFormat="1" x14ac:dyDescent="0.3">
      <c r="D550" s="76"/>
      <c r="E550" s="79"/>
      <c r="F550" s="79"/>
      <c r="G550" s="79"/>
      <c r="W550" s="81"/>
    </row>
    <row r="551" spans="4:23" customFormat="1" x14ac:dyDescent="0.3">
      <c r="D551" s="76"/>
      <c r="E551" s="79"/>
      <c r="F551" s="79"/>
      <c r="G551" s="79"/>
      <c r="W551" s="81"/>
    </row>
    <row r="552" spans="4:23" customFormat="1" x14ac:dyDescent="0.3">
      <c r="D552" s="76"/>
      <c r="E552" s="79"/>
      <c r="F552" s="79"/>
      <c r="G552" s="79"/>
      <c r="W552" s="81"/>
    </row>
    <row r="553" spans="4:23" customFormat="1" x14ac:dyDescent="0.3">
      <c r="D553" s="76"/>
      <c r="E553" s="79"/>
      <c r="F553" s="79"/>
      <c r="G553" s="79"/>
      <c r="W553" s="81"/>
    </row>
    <row r="554" spans="4:23" customFormat="1" x14ac:dyDescent="0.3">
      <c r="D554" s="76"/>
      <c r="E554" s="79"/>
      <c r="F554" s="79"/>
      <c r="G554" s="79"/>
      <c r="W554" s="81"/>
    </row>
    <row r="555" spans="4:23" customFormat="1" x14ac:dyDescent="0.3">
      <c r="D555" s="76"/>
      <c r="E555" s="79"/>
      <c r="F555" s="79"/>
      <c r="G555" s="79"/>
      <c r="W555" s="81"/>
    </row>
    <row r="556" spans="4:23" customFormat="1" x14ac:dyDescent="0.3">
      <c r="D556" s="76"/>
      <c r="E556" s="79"/>
      <c r="F556" s="79"/>
      <c r="G556" s="79"/>
      <c r="W556" s="81"/>
    </row>
    <row r="557" spans="4:23" customFormat="1" x14ac:dyDescent="0.3">
      <c r="D557" s="76"/>
      <c r="E557" s="79"/>
      <c r="F557" s="79"/>
      <c r="G557" s="79"/>
      <c r="W557" s="81"/>
    </row>
    <row r="558" spans="4:23" customFormat="1" x14ac:dyDescent="0.3">
      <c r="D558" s="76"/>
      <c r="E558" s="79"/>
      <c r="F558" s="79"/>
      <c r="G558" s="79"/>
      <c r="W558" s="81"/>
    </row>
    <row r="559" spans="4:23" customFormat="1" x14ac:dyDescent="0.3">
      <c r="D559" s="76"/>
      <c r="E559" s="79"/>
      <c r="F559" s="79"/>
      <c r="G559" s="79"/>
      <c r="W559" s="81"/>
    </row>
    <row r="560" spans="4:23" customFormat="1" x14ac:dyDescent="0.3">
      <c r="D560" s="76"/>
      <c r="E560" s="79"/>
      <c r="F560" s="79"/>
      <c r="G560" s="79"/>
      <c r="W560" s="81"/>
    </row>
    <row r="561" spans="4:23" customFormat="1" x14ac:dyDescent="0.3">
      <c r="D561" s="76"/>
      <c r="E561" s="79"/>
      <c r="F561" s="79"/>
      <c r="G561" s="79"/>
      <c r="W561" s="81"/>
    </row>
    <row r="562" spans="4:23" customFormat="1" x14ac:dyDescent="0.3">
      <c r="D562" s="76"/>
      <c r="E562" s="79"/>
      <c r="F562" s="79"/>
      <c r="G562" s="79"/>
      <c r="W562" s="81"/>
    </row>
    <row r="563" spans="4:23" customFormat="1" x14ac:dyDescent="0.3">
      <c r="D563" s="76"/>
      <c r="E563" s="79"/>
      <c r="F563" s="79"/>
      <c r="G563" s="79"/>
      <c r="W563" s="81"/>
    </row>
    <row r="564" spans="4:23" customFormat="1" x14ac:dyDescent="0.3">
      <c r="D564" s="76"/>
      <c r="E564" s="79"/>
      <c r="F564" s="79"/>
      <c r="G564" s="79"/>
      <c r="W564" s="81"/>
    </row>
    <row r="565" spans="4:23" customFormat="1" x14ac:dyDescent="0.3">
      <c r="D565" s="76"/>
      <c r="E565" s="79"/>
      <c r="F565" s="79"/>
      <c r="G565" s="79"/>
      <c r="W565" s="81"/>
    </row>
    <row r="566" spans="4:23" customFormat="1" x14ac:dyDescent="0.3">
      <c r="D566" s="76"/>
      <c r="E566" s="79"/>
      <c r="F566" s="79"/>
      <c r="G566" s="79"/>
      <c r="W566" s="81"/>
    </row>
    <row r="567" spans="4:23" customFormat="1" x14ac:dyDescent="0.3">
      <c r="D567" s="76"/>
      <c r="E567" s="79"/>
      <c r="F567" s="79"/>
      <c r="G567" s="79"/>
      <c r="W567" s="81"/>
    </row>
    <row r="568" spans="4:23" customFormat="1" x14ac:dyDescent="0.3">
      <c r="D568" s="76"/>
      <c r="E568" s="79"/>
      <c r="F568" s="79"/>
      <c r="G568" s="79"/>
      <c r="W568" s="81"/>
    </row>
    <row r="569" spans="4:23" customFormat="1" x14ac:dyDescent="0.3">
      <c r="D569" s="76"/>
      <c r="E569" s="79"/>
      <c r="F569" s="79"/>
      <c r="G569" s="79"/>
      <c r="W569" s="81"/>
    </row>
    <row r="570" spans="4:23" customFormat="1" x14ac:dyDescent="0.3">
      <c r="D570" s="76"/>
      <c r="E570" s="79"/>
      <c r="F570" s="79"/>
      <c r="G570" s="79"/>
      <c r="W570" s="81"/>
    </row>
    <row r="571" spans="4:23" customFormat="1" x14ac:dyDescent="0.3">
      <c r="D571" s="76"/>
      <c r="E571" s="79"/>
      <c r="F571" s="79"/>
      <c r="G571" s="79"/>
      <c r="W571" s="81"/>
    </row>
    <row r="572" spans="4:23" customFormat="1" x14ac:dyDescent="0.3">
      <c r="D572" s="76"/>
      <c r="E572" s="79"/>
      <c r="F572" s="79"/>
      <c r="G572" s="79"/>
      <c r="W572" s="81"/>
    </row>
    <row r="573" spans="4:23" customFormat="1" x14ac:dyDescent="0.3">
      <c r="D573" s="76"/>
      <c r="E573" s="79"/>
      <c r="F573" s="79"/>
      <c r="G573" s="79"/>
      <c r="W573" s="81"/>
    </row>
    <row r="574" spans="4:23" customFormat="1" x14ac:dyDescent="0.3">
      <c r="D574" s="76"/>
      <c r="E574" s="79"/>
      <c r="F574" s="79"/>
      <c r="G574" s="79"/>
      <c r="W574" s="81"/>
    </row>
    <row r="575" spans="4:23" customFormat="1" x14ac:dyDescent="0.3">
      <c r="D575" s="76"/>
      <c r="E575" s="79"/>
      <c r="F575" s="79"/>
      <c r="G575" s="79"/>
      <c r="W575" s="81"/>
    </row>
    <row r="576" spans="4:23" customFormat="1" x14ac:dyDescent="0.3">
      <c r="D576" s="76"/>
      <c r="E576" s="79"/>
      <c r="F576" s="79"/>
      <c r="G576" s="79"/>
      <c r="W576" s="81"/>
    </row>
    <row r="577" spans="4:23" customFormat="1" x14ac:dyDescent="0.3">
      <c r="D577" s="76"/>
      <c r="E577" s="79"/>
      <c r="F577" s="79"/>
      <c r="G577" s="79"/>
      <c r="W577" s="81"/>
    </row>
    <row r="578" spans="4:23" customFormat="1" x14ac:dyDescent="0.3">
      <c r="D578" s="76"/>
      <c r="E578" s="79"/>
      <c r="F578" s="79"/>
      <c r="G578" s="79"/>
      <c r="W578" s="81"/>
    </row>
    <row r="579" spans="4:23" customFormat="1" x14ac:dyDescent="0.3">
      <c r="D579" s="76"/>
      <c r="E579" s="79"/>
      <c r="F579" s="79"/>
      <c r="G579" s="79"/>
      <c r="W579" s="81"/>
    </row>
    <row r="580" spans="4:23" customFormat="1" x14ac:dyDescent="0.3">
      <c r="D580" s="76"/>
      <c r="E580" s="79"/>
      <c r="F580" s="79"/>
      <c r="G580" s="79"/>
      <c r="W580" s="81"/>
    </row>
    <row r="581" spans="4:23" customFormat="1" x14ac:dyDescent="0.3">
      <c r="D581" s="76"/>
      <c r="E581" s="79"/>
      <c r="F581" s="79"/>
      <c r="G581" s="79"/>
      <c r="W581" s="81"/>
    </row>
    <row r="582" spans="4:23" customFormat="1" x14ac:dyDescent="0.3">
      <c r="D582" s="76"/>
      <c r="E582" s="79"/>
      <c r="F582" s="79"/>
      <c r="G582" s="79"/>
      <c r="W582" s="81"/>
    </row>
    <row r="583" spans="4:23" customFormat="1" x14ac:dyDescent="0.3">
      <c r="D583" s="76"/>
      <c r="E583" s="79"/>
      <c r="F583" s="79"/>
      <c r="G583" s="79"/>
      <c r="W583" s="81"/>
    </row>
    <row r="584" spans="4:23" customFormat="1" x14ac:dyDescent="0.3">
      <c r="D584" s="76"/>
      <c r="E584" s="79"/>
      <c r="F584" s="79"/>
      <c r="G584" s="79"/>
      <c r="W584" s="81"/>
    </row>
    <row r="585" spans="4:23" customFormat="1" x14ac:dyDescent="0.3">
      <c r="D585" s="76"/>
      <c r="E585" s="79"/>
      <c r="F585" s="79"/>
      <c r="G585" s="79"/>
      <c r="W585" s="81"/>
    </row>
    <row r="586" spans="4:23" customFormat="1" x14ac:dyDescent="0.3">
      <c r="D586" s="76"/>
      <c r="E586" s="79"/>
      <c r="F586" s="79"/>
      <c r="G586" s="79"/>
      <c r="W586" s="81"/>
    </row>
    <row r="587" spans="4:23" customFormat="1" x14ac:dyDescent="0.3">
      <c r="D587" s="76"/>
      <c r="E587" s="79"/>
      <c r="F587" s="79"/>
      <c r="G587" s="79"/>
      <c r="W587" s="81"/>
    </row>
    <row r="588" spans="4:23" customFormat="1" x14ac:dyDescent="0.3">
      <c r="D588" s="76"/>
      <c r="E588" s="79"/>
      <c r="F588" s="79"/>
      <c r="G588" s="79"/>
      <c r="W588" s="81"/>
    </row>
    <row r="589" spans="4:23" customFormat="1" x14ac:dyDescent="0.3">
      <c r="D589" s="76"/>
      <c r="E589" s="79"/>
      <c r="F589" s="79"/>
      <c r="G589" s="79"/>
      <c r="W589" s="81"/>
    </row>
    <row r="590" spans="4:23" customFormat="1" x14ac:dyDescent="0.3">
      <c r="D590" s="76"/>
      <c r="E590" s="79"/>
      <c r="F590" s="79"/>
      <c r="G590" s="79"/>
      <c r="W590" s="81"/>
    </row>
    <row r="591" spans="4:23" customFormat="1" x14ac:dyDescent="0.3">
      <c r="D591" s="76"/>
      <c r="E591" s="79"/>
      <c r="F591" s="79"/>
      <c r="G591" s="79"/>
      <c r="W591" s="81"/>
    </row>
    <row r="592" spans="4:23" customFormat="1" x14ac:dyDescent="0.3">
      <c r="D592" s="76"/>
      <c r="E592" s="79"/>
      <c r="F592" s="79"/>
      <c r="G592" s="79"/>
      <c r="W592" s="81"/>
    </row>
    <row r="593" spans="4:23" customFormat="1" x14ac:dyDescent="0.3">
      <c r="D593" s="76"/>
      <c r="E593" s="79"/>
      <c r="F593" s="79"/>
      <c r="G593" s="79"/>
      <c r="W593" s="81"/>
    </row>
    <row r="594" spans="4:23" customFormat="1" x14ac:dyDescent="0.3">
      <c r="D594" s="76"/>
      <c r="E594" s="79"/>
      <c r="F594" s="79"/>
      <c r="G594" s="79"/>
      <c r="W594" s="81"/>
    </row>
    <row r="595" spans="4:23" customFormat="1" x14ac:dyDescent="0.3">
      <c r="D595" s="76"/>
      <c r="E595" s="79"/>
      <c r="F595" s="79"/>
      <c r="G595" s="79"/>
      <c r="W595" s="81"/>
    </row>
    <row r="596" spans="4:23" customFormat="1" x14ac:dyDescent="0.3">
      <c r="D596" s="76"/>
      <c r="E596" s="79"/>
      <c r="F596" s="79"/>
      <c r="G596" s="79"/>
      <c r="W596" s="81"/>
    </row>
    <row r="597" spans="4:23" customFormat="1" x14ac:dyDescent="0.3">
      <c r="D597" s="76"/>
      <c r="E597" s="79"/>
      <c r="F597" s="79"/>
      <c r="G597" s="79"/>
      <c r="W597" s="81"/>
    </row>
    <row r="598" spans="4:23" customFormat="1" x14ac:dyDescent="0.3">
      <c r="D598" s="76"/>
      <c r="E598" s="79"/>
      <c r="F598" s="79"/>
      <c r="G598" s="79"/>
      <c r="W598" s="81"/>
    </row>
    <row r="599" spans="4:23" customFormat="1" x14ac:dyDescent="0.3">
      <c r="D599" s="76"/>
      <c r="E599" s="79"/>
      <c r="F599" s="79"/>
      <c r="G599" s="79"/>
      <c r="W599" s="81"/>
    </row>
    <row r="600" spans="4:23" customFormat="1" x14ac:dyDescent="0.3">
      <c r="D600" s="76"/>
      <c r="E600" s="79"/>
      <c r="F600" s="79"/>
      <c r="G600" s="79"/>
      <c r="W600" s="81"/>
    </row>
    <row r="601" spans="4:23" customFormat="1" x14ac:dyDescent="0.3">
      <c r="D601" s="76"/>
      <c r="E601" s="79"/>
      <c r="F601" s="79"/>
      <c r="G601" s="79"/>
      <c r="W601" s="81"/>
    </row>
    <row r="602" spans="4:23" customFormat="1" x14ac:dyDescent="0.3">
      <c r="D602" s="76"/>
      <c r="E602" s="79"/>
      <c r="F602" s="79"/>
      <c r="G602" s="79"/>
      <c r="W602" s="81"/>
    </row>
    <row r="603" spans="4:23" customFormat="1" x14ac:dyDescent="0.3">
      <c r="D603" s="76"/>
      <c r="E603" s="79"/>
      <c r="F603" s="79"/>
      <c r="G603" s="79"/>
      <c r="W603" s="81"/>
    </row>
    <row r="604" spans="4:23" customFormat="1" x14ac:dyDescent="0.3">
      <c r="D604" s="76"/>
      <c r="E604" s="79"/>
      <c r="F604" s="79"/>
      <c r="G604" s="79"/>
      <c r="W604" s="81"/>
    </row>
    <row r="605" spans="4:23" customFormat="1" x14ac:dyDescent="0.3">
      <c r="D605" s="76"/>
      <c r="E605" s="79"/>
      <c r="F605" s="79"/>
      <c r="G605" s="79"/>
      <c r="W605" s="81"/>
    </row>
    <row r="606" spans="4:23" customFormat="1" x14ac:dyDescent="0.3">
      <c r="D606" s="76"/>
      <c r="E606" s="79"/>
      <c r="F606" s="79"/>
      <c r="G606" s="79"/>
      <c r="W606" s="81"/>
    </row>
    <row r="607" spans="4:23" customFormat="1" x14ac:dyDescent="0.3">
      <c r="D607" s="76"/>
      <c r="E607" s="79"/>
      <c r="F607" s="79"/>
      <c r="G607" s="79"/>
      <c r="W607" s="81"/>
    </row>
    <row r="608" spans="4:23" customFormat="1" x14ac:dyDescent="0.3">
      <c r="D608" s="76"/>
      <c r="E608" s="79"/>
      <c r="F608" s="79"/>
      <c r="G608" s="79"/>
      <c r="W608" s="81"/>
    </row>
    <row r="609" spans="4:23" customFormat="1" x14ac:dyDescent="0.3">
      <c r="D609" s="76"/>
      <c r="E609" s="79"/>
      <c r="F609" s="79"/>
      <c r="G609" s="79"/>
      <c r="W609" s="81"/>
    </row>
    <row r="610" spans="4:23" customFormat="1" x14ac:dyDescent="0.3">
      <c r="D610" s="76"/>
      <c r="E610" s="79"/>
      <c r="F610" s="79"/>
      <c r="G610" s="79"/>
      <c r="W610" s="81"/>
    </row>
    <row r="611" spans="4:23" customFormat="1" x14ac:dyDescent="0.3">
      <c r="D611" s="76"/>
      <c r="E611" s="79"/>
      <c r="F611" s="79"/>
      <c r="G611" s="79"/>
      <c r="W611" s="81"/>
    </row>
    <row r="612" spans="4:23" customFormat="1" x14ac:dyDescent="0.3">
      <c r="D612" s="76"/>
      <c r="E612" s="79"/>
      <c r="F612" s="79"/>
      <c r="G612" s="79"/>
      <c r="W612" s="81"/>
    </row>
    <row r="613" spans="4:23" customFormat="1" x14ac:dyDescent="0.3">
      <c r="D613" s="76"/>
      <c r="E613" s="79"/>
      <c r="F613" s="79"/>
      <c r="G613" s="79"/>
      <c r="W613" s="81"/>
    </row>
    <row r="614" spans="4:23" customFormat="1" x14ac:dyDescent="0.3">
      <c r="D614" s="76"/>
      <c r="E614" s="79"/>
      <c r="F614" s="79"/>
      <c r="G614" s="79"/>
      <c r="W614" s="81"/>
    </row>
    <row r="615" spans="4:23" customFormat="1" x14ac:dyDescent="0.3">
      <c r="D615" s="76"/>
      <c r="E615" s="79"/>
      <c r="F615" s="79"/>
      <c r="G615" s="79"/>
      <c r="W615" s="81"/>
    </row>
    <row r="616" spans="4:23" customFormat="1" x14ac:dyDescent="0.3">
      <c r="D616" s="76"/>
      <c r="E616" s="79"/>
      <c r="F616" s="79"/>
      <c r="G616" s="79"/>
      <c r="W616" s="81"/>
    </row>
    <row r="617" spans="4:23" customFormat="1" x14ac:dyDescent="0.3">
      <c r="D617" s="76"/>
      <c r="E617" s="79"/>
      <c r="F617" s="79"/>
      <c r="G617" s="79"/>
      <c r="W617" s="81"/>
    </row>
    <row r="618" spans="4:23" customFormat="1" x14ac:dyDescent="0.3">
      <c r="D618" s="76"/>
      <c r="E618" s="79"/>
      <c r="F618" s="79"/>
      <c r="G618" s="79"/>
      <c r="W618" s="81"/>
    </row>
    <row r="619" spans="4:23" customFormat="1" x14ac:dyDescent="0.3">
      <c r="D619" s="76"/>
      <c r="E619" s="79"/>
      <c r="F619" s="79"/>
      <c r="G619" s="79"/>
      <c r="W619" s="81"/>
    </row>
    <row r="620" spans="4:23" customFormat="1" x14ac:dyDescent="0.3">
      <c r="D620" s="76"/>
      <c r="E620" s="79"/>
      <c r="F620" s="79"/>
      <c r="G620" s="79"/>
      <c r="W620" s="81"/>
    </row>
    <row r="621" spans="4:23" customFormat="1" x14ac:dyDescent="0.3">
      <c r="D621" s="76"/>
      <c r="E621" s="79"/>
      <c r="F621" s="79"/>
      <c r="G621" s="79"/>
      <c r="W621" s="81"/>
    </row>
    <row r="622" spans="4:23" customFormat="1" x14ac:dyDescent="0.3">
      <c r="D622" s="76"/>
      <c r="E622" s="79"/>
      <c r="F622" s="79"/>
      <c r="G622" s="79"/>
      <c r="W622" s="81"/>
    </row>
    <row r="623" spans="4:23" customFormat="1" x14ac:dyDescent="0.3">
      <c r="D623" s="76"/>
      <c r="E623" s="79"/>
      <c r="F623" s="79"/>
      <c r="G623" s="79"/>
      <c r="W623" s="81"/>
    </row>
    <row r="624" spans="4:23" customFormat="1" x14ac:dyDescent="0.3">
      <c r="D624" s="76"/>
      <c r="E624" s="79"/>
      <c r="F624" s="79"/>
      <c r="G624" s="79"/>
      <c r="W624" s="81"/>
    </row>
    <row r="625" spans="4:23" customFormat="1" x14ac:dyDescent="0.3">
      <c r="D625" s="76"/>
      <c r="E625" s="79"/>
      <c r="F625" s="79"/>
      <c r="G625" s="79"/>
      <c r="W625" s="81"/>
    </row>
    <row r="626" spans="4:23" customFormat="1" x14ac:dyDescent="0.3">
      <c r="D626" s="76"/>
      <c r="E626" s="79"/>
      <c r="F626" s="79"/>
      <c r="G626" s="79"/>
      <c r="W626" s="81"/>
    </row>
    <row r="627" spans="4:23" customFormat="1" x14ac:dyDescent="0.3">
      <c r="D627" s="76"/>
      <c r="E627" s="79"/>
      <c r="F627" s="79"/>
      <c r="G627" s="79"/>
      <c r="W627" s="81"/>
    </row>
    <row r="628" spans="4:23" customFormat="1" x14ac:dyDescent="0.3">
      <c r="D628" s="76"/>
      <c r="E628" s="79"/>
      <c r="F628" s="79"/>
      <c r="G628" s="79"/>
      <c r="W628" s="81"/>
    </row>
    <row r="629" spans="4:23" customFormat="1" x14ac:dyDescent="0.3">
      <c r="D629" s="76"/>
      <c r="E629" s="79"/>
      <c r="F629" s="79"/>
      <c r="G629" s="79"/>
      <c r="W629" s="81"/>
    </row>
    <row r="630" spans="4:23" customFormat="1" x14ac:dyDescent="0.3">
      <c r="D630" s="76"/>
      <c r="E630" s="79"/>
      <c r="F630" s="79"/>
      <c r="G630" s="79"/>
      <c r="W630" s="81"/>
    </row>
    <row r="631" spans="4:23" customFormat="1" x14ac:dyDescent="0.3">
      <c r="D631" s="76"/>
      <c r="E631" s="79"/>
      <c r="F631" s="79"/>
      <c r="G631" s="79"/>
      <c r="W631" s="81"/>
    </row>
    <row r="632" spans="4:23" customFormat="1" x14ac:dyDescent="0.3">
      <c r="D632" s="76"/>
      <c r="E632" s="79"/>
      <c r="F632" s="79"/>
      <c r="G632" s="79"/>
      <c r="W632" s="81"/>
    </row>
    <row r="633" spans="4:23" customFormat="1" x14ac:dyDescent="0.3">
      <c r="D633" s="76"/>
      <c r="E633" s="79"/>
      <c r="F633" s="79"/>
      <c r="G633" s="79"/>
      <c r="W633" s="81"/>
    </row>
    <row r="634" spans="4:23" customFormat="1" x14ac:dyDescent="0.3">
      <c r="D634" s="76"/>
      <c r="E634" s="79"/>
      <c r="F634" s="79"/>
      <c r="G634" s="79"/>
      <c r="W634" s="81"/>
    </row>
    <row r="635" spans="4:23" customFormat="1" x14ac:dyDescent="0.3">
      <c r="D635" s="76"/>
      <c r="E635" s="79"/>
      <c r="F635" s="79"/>
      <c r="G635" s="79"/>
      <c r="W635" s="81"/>
    </row>
    <row r="636" spans="4:23" customFormat="1" x14ac:dyDescent="0.3">
      <c r="D636" s="76"/>
      <c r="E636" s="79"/>
      <c r="F636" s="79"/>
      <c r="G636" s="79"/>
      <c r="W636" s="81"/>
    </row>
    <row r="637" spans="4:23" customFormat="1" x14ac:dyDescent="0.3">
      <c r="D637" s="76"/>
      <c r="E637" s="79"/>
      <c r="F637" s="79"/>
      <c r="G637" s="79"/>
      <c r="W637" s="81"/>
    </row>
    <row r="638" spans="4:23" customFormat="1" x14ac:dyDescent="0.3">
      <c r="D638" s="76"/>
      <c r="E638" s="79"/>
      <c r="F638" s="79"/>
      <c r="G638" s="79"/>
      <c r="W638" s="81"/>
    </row>
    <row r="639" spans="4:23" customFormat="1" x14ac:dyDescent="0.3">
      <c r="D639" s="76"/>
      <c r="E639" s="79"/>
      <c r="F639" s="79"/>
      <c r="G639" s="79"/>
      <c r="W639" s="81"/>
    </row>
    <row r="640" spans="4:23" customFormat="1" x14ac:dyDescent="0.3">
      <c r="D640" s="76"/>
      <c r="E640" s="79"/>
      <c r="F640" s="79"/>
      <c r="G640" s="79"/>
      <c r="W640" s="81"/>
    </row>
    <row r="641" spans="4:23" customFormat="1" x14ac:dyDescent="0.3">
      <c r="D641" s="76"/>
      <c r="E641" s="79"/>
      <c r="F641" s="79"/>
      <c r="G641" s="79"/>
      <c r="W641" s="81"/>
    </row>
    <row r="642" spans="4:23" customFormat="1" x14ac:dyDescent="0.3">
      <c r="D642" s="76"/>
      <c r="E642" s="79"/>
      <c r="F642" s="79"/>
      <c r="G642" s="79"/>
      <c r="W642" s="81"/>
    </row>
    <row r="643" spans="4:23" customFormat="1" x14ac:dyDescent="0.3">
      <c r="D643" s="76"/>
      <c r="E643" s="79"/>
      <c r="F643" s="79"/>
      <c r="G643" s="79"/>
      <c r="W643" s="81"/>
    </row>
    <row r="644" spans="4:23" customFormat="1" x14ac:dyDescent="0.3">
      <c r="D644" s="76"/>
      <c r="E644" s="79"/>
      <c r="F644" s="79"/>
      <c r="G644" s="79"/>
      <c r="W644" s="81"/>
    </row>
    <row r="645" spans="4:23" customFormat="1" x14ac:dyDescent="0.3">
      <c r="D645" s="76"/>
      <c r="E645" s="79"/>
      <c r="F645" s="79"/>
      <c r="G645" s="79"/>
      <c r="W645" s="81"/>
    </row>
    <row r="646" spans="4:23" customFormat="1" x14ac:dyDescent="0.3">
      <c r="D646" s="76"/>
      <c r="E646" s="79"/>
      <c r="F646" s="79"/>
      <c r="G646" s="79"/>
      <c r="W646" s="81"/>
    </row>
    <row r="647" spans="4:23" customFormat="1" x14ac:dyDescent="0.3">
      <c r="D647" s="76"/>
      <c r="E647" s="79"/>
      <c r="F647" s="79"/>
      <c r="G647" s="79"/>
      <c r="W647" s="81"/>
    </row>
    <row r="648" spans="4:23" customFormat="1" x14ac:dyDescent="0.3">
      <c r="D648" s="76"/>
      <c r="E648" s="79"/>
      <c r="F648" s="79"/>
      <c r="G648" s="79"/>
      <c r="W648" s="81"/>
    </row>
    <row r="649" spans="4:23" customFormat="1" x14ac:dyDescent="0.3">
      <c r="D649" s="76"/>
      <c r="E649" s="79"/>
      <c r="F649" s="79"/>
      <c r="G649" s="79"/>
      <c r="W649" s="81"/>
    </row>
    <row r="650" spans="4:23" customFormat="1" x14ac:dyDescent="0.3">
      <c r="D650" s="76"/>
      <c r="E650" s="79"/>
      <c r="F650" s="79"/>
      <c r="G650" s="79"/>
      <c r="W650" s="81"/>
    </row>
    <row r="651" spans="4:23" customFormat="1" x14ac:dyDescent="0.3">
      <c r="D651" s="76"/>
      <c r="E651" s="79"/>
      <c r="F651" s="79"/>
      <c r="G651" s="79"/>
      <c r="W651" s="81"/>
    </row>
    <row r="652" spans="4:23" customFormat="1" x14ac:dyDescent="0.3">
      <c r="D652" s="76"/>
      <c r="E652" s="79"/>
      <c r="F652" s="79"/>
      <c r="G652" s="79"/>
      <c r="W652" s="81"/>
    </row>
    <row r="653" spans="4:23" customFormat="1" x14ac:dyDescent="0.3">
      <c r="D653" s="76"/>
      <c r="E653" s="79"/>
      <c r="F653" s="79"/>
      <c r="G653" s="79"/>
      <c r="W653" s="81"/>
    </row>
    <row r="654" spans="4:23" customFormat="1" x14ac:dyDescent="0.3">
      <c r="D654" s="76"/>
      <c r="E654" s="79"/>
      <c r="F654" s="79"/>
      <c r="G654" s="79"/>
      <c r="W654" s="81"/>
    </row>
    <row r="655" spans="4:23" customFormat="1" x14ac:dyDescent="0.3">
      <c r="D655" s="76"/>
      <c r="E655" s="79"/>
      <c r="F655" s="79"/>
      <c r="G655" s="79"/>
      <c r="W655" s="81"/>
    </row>
    <row r="656" spans="4:23" customFormat="1" x14ac:dyDescent="0.3">
      <c r="D656" s="76"/>
      <c r="E656" s="79"/>
      <c r="F656" s="79"/>
      <c r="G656" s="79"/>
      <c r="W656" s="81"/>
    </row>
    <row r="657" spans="4:23" customFormat="1" x14ac:dyDescent="0.3">
      <c r="D657" s="76"/>
      <c r="E657" s="79"/>
      <c r="F657" s="79"/>
      <c r="G657" s="79"/>
      <c r="W657" s="81"/>
    </row>
    <row r="658" spans="4:23" customFormat="1" x14ac:dyDescent="0.3">
      <c r="D658" s="76"/>
      <c r="E658" s="79"/>
      <c r="F658" s="79"/>
      <c r="G658" s="79"/>
      <c r="W658" s="81"/>
    </row>
    <row r="659" spans="4:23" customFormat="1" x14ac:dyDescent="0.3">
      <c r="D659" s="76"/>
      <c r="E659" s="79"/>
      <c r="F659" s="79"/>
      <c r="G659" s="79"/>
      <c r="W659" s="81"/>
    </row>
    <row r="660" spans="4:23" customFormat="1" x14ac:dyDescent="0.3">
      <c r="D660" s="76"/>
      <c r="E660" s="79"/>
      <c r="F660" s="79"/>
      <c r="G660" s="79"/>
      <c r="W660" s="81"/>
    </row>
    <row r="661" spans="4:23" customFormat="1" x14ac:dyDescent="0.3">
      <c r="D661" s="76"/>
      <c r="E661" s="79"/>
      <c r="F661" s="79"/>
      <c r="G661" s="79"/>
      <c r="W661" s="81"/>
    </row>
    <row r="662" spans="4:23" customFormat="1" x14ac:dyDescent="0.3">
      <c r="D662" s="76"/>
      <c r="E662" s="79"/>
      <c r="F662" s="79"/>
      <c r="G662" s="79"/>
      <c r="W662" s="81"/>
    </row>
    <row r="663" spans="4:23" customFormat="1" x14ac:dyDescent="0.3">
      <c r="D663" s="76"/>
      <c r="E663" s="79"/>
      <c r="F663" s="79"/>
      <c r="G663" s="79"/>
      <c r="W663" s="81"/>
    </row>
    <row r="664" spans="4:23" customFormat="1" x14ac:dyDescent="0.3">
      <c r="D664" s="76"/>
      <c r="E664" s="79"/>
      <c r="F664" s="79"/>
      <c r="G664" s="79"/>
      <c r="W664" s="81"/>
    </row>
    <row r="665" spans="4:23" customFormat="1" x14ac:dyDescent="0.3">
      <c r="D665" s="76"/>
      <c r="E665" s="79"/>
      <c r="F665" s="79"/>
      <c r="G665" s="79"/>
      <c r="W665" s="81"/>
    </row>
    <row r="666" spans="4:23" customFormat="1" x14ac:dyDescent="0.3">
      <c r="D666" s="76"/>
      <c r="E666" s="79"/>
      <c r="F666" s="79"/>
      <c r="G666" s="79"/>
      <c r="W666" s="81"/>
    </row>
    <row r="667" spans="4:23" customFormat="1" x14ac:dyDescent="0.3">
      <c r="D667" s="76"/>
      <c r="E667" s="79"/>
      <c r="F667" s="79"/>
      <c r="G667" s="79"/>
      <c r="W667" s="81"/>
    </row>
    <row r="668" spans="4:23" customFormat="1" x14ac:dyDescent="0.3">
      <c r="D668" s="76"/>
      <c r="E668" s="79"/>
      <c r="F668" s="79"/>
      <c r="G668" s="79"/>
      <c r="W668" s="81"/>
    </row>
    <row r="669" spans="4:23" customFormat="1" x14ac:dyDescent="0.3">
      <c r="D669" s="76"/>
      <c r="E669" s="79"/>
      <c r="F669" s="79"/>
      <c r="G669" s="79"/>
      <c r="W669" s="81"/>
    </row>
    <row r="670" spans="4:23" customFormat="1" x14ac:dyDescent="0.3">
      <c r="D670" s="76"/>
      <c r="E670" s="79"/>
      <c r="F670" s="79"/>
      <c r="G670" s="79"/>
      <c r="W670" s="81"/>
    </row>
    <row r="671" spans="4:23" customFormat="1" x14ac:dyDescent="0.3">
      <c r="D671" s="76"/>
      <c r="E671" s="79"/>
      <c r="F671" s="79"/>
      <c r="G671" s="79"/>
      <c r="W671" s="81"/>
    </row>
    <row r="672" spans="4:23" customFormat="1" x14ac:dyDescent="0.3">
      <c r="D672" s="76"/>
      <c r="E672" s="79"/>
      <c r="F672" s="79"/>
      <c r="G672" s="79"/>
      <c r="W672" s="81"/>
    </row>
    <row r="673" spans="4:23" customFormat="1" x14ac:dyDescent="0.3">
      <c r="D673" s="76"/>
      <c r="E673" s="79"/>
      <c r="F673" s="79"/>
      <c r="G673" s="79"/>
      <c r="W673" s="81"/>
    </row>
    <row r="674" spans="4:23" customFormat="1" x14ac:dyDescent="0.3">
      <c r="D674" s="76"/>
      <c r="E674" s="79"/>
      <c r="F674" s="79"/>
      <c r="G674" s="79"/>
      <c r="W674" s="81"/>
    </row>
    <row r="675" spans="4:23" customFormat="1" x14ac:dyDescent="0.3">
      <c r="D675" s="76"/>
      <c r="E675" s="79"/>
      <c r="F675" s="79"/>
      <c r="G675" s="79"/>
      <c r="W675" s="81"/>
    </row>
    <row r="676" spans="4:23" customFormat="1" x14ac:dyDescent="0.3">
      <c r="D676" s="76"/>
      <c r="E676" s="79"/>
      <c r="F676" s="79"/>
      <c r="G676" s="79"/>
      <c r="W676" s="81"/>
    </row>
    <row r="677" spans="4:23" customFormat="1" x14ac:dyDescent="0.3">
      <c r="D677" s="76"/>
      <c r="E677" s="79"/>
      <c r="F677" s="79"/>
      <c r="G677" s="79"/>
      <c r="W677" s="81"/>
    </row>
    <row r="678" spans="4:23" customFormat="1" x14ac:dyDescent="0.3">
      <c r="D678" s="76"/>
      <c r="E678" s="79"/>
      <c r="F678" s="79"/>
      <c r="G678" s="79"/>
      <c r="W678" s="81"/>
    </row>
    <row r="679" spans="4:23" customFormat="1" x14ac:dyDescent="0.3">
      <c r="D679" s="76"/>
      <c r="E679" s="79"/>
      <c r="F679" s="79"/>
      <c r="G679" s="79"/>
      <c r="W679" s="81"/>
    </row>
    <row r="680" spans="4:23" customFormat="1" x14ac:dyDescent="0.3">
      <c r="D680" s="76"/>
      <c r="E680" s="79"/>
      <c r="F680" s="79"/>
      <c r="G680" s="79"/>
      <c r="W680" s="81"/>
    </row>
    <row r="681" spans="4:23" customFormat="1" x14ac:dyDescent="0.3">
      <c r="D681" s="76"/>
      <c r="E681" s="79"/>
      <c r="F681" s="79"/>
      <c r="G681" s="79"/>
      <c r="W681" s="81"/>
    </row>
    <row r="682" spans="4:23" customFormat="1" x14ac:dyDescent="0.3">
      <c r="D682" s="76"/>
      <c r="E682" s="79"/>
      <c r="F682" s="79"/>
      <c r="G682" s="79"/>
      <c r="W682" s="81"/>
    </row>
    <row r="683" spans="4:23" customFormat="1" x14ac:dyDescent="0.3">
      <c r="D683" s="76"/>
      <c r="E683" s="79"/>
      <c r="F683" s="79"/>
      <c r="G683" s="79"/>
      <c r="W683" s="81"/>
    </row>
    <row r="684" spans="4:23" customFormat="1" x14ac:dyDescent="0.3">
      <c r="D684" s="76"/>
      <c r="E684" s="79"/>
      <c r="F684" s="79"/>
      <c r="G684" s="79"/>
      <c r="W684" s="81"/>
    </row>
    <row r="685" spans="4:23" customFormat="1" x14ac:dyDescent="0.3">
      <c r="D685" s="76"/>
      <c r="E685" s="79"/>
      <c r="F685" s="79"/>
      <c r="G685" s="79"/>
      <c r="W685" s="81"/>
    </row>
    <row r="686" spans="4:23" customFormat="1" x14ac:dyDescent="0.3">
      <c r="D686" s="76"/>
      <c r="E686" s="79"/>
      <c r="F686" s="79"/>
      <c r="G686" s="79"/>
      <c r="W686" s="81"/>
    </row>
    <row r="687" spans="4:23" customFormat="1" x14ac:dyDescent="0.3">
      <c r="D687" s="76"/>
      <c r="E687" s="79"/>
      <c r="F687" s="79"/>
      <c r="G687" s="79"/>
      <c r="W687" s="81"/>
    </row>
    <row r="688" spans="4:23" customFormat="1" x14ac:dyDescent="0.3">
      <c r="D688" s="76"/>
      <c r="E688" s="79"/>
      <c r="F688" s="79"/>
      <c r="G688" s="79"/>
      <c r="W688" s="81"/>
    </row>
    <row r="689" spans="4:23" customFormat="1" x14ac:dyDescent="0.3">
      <c r="D689" s="76"/>
      <c r="E689" s="79"/>
      <c r="F689" s="79"/>
      <c r="G689" s="79"/>
      <c r="W689" s="81"/>
    </row>
    <row r="690" spans="4:23" customFormat="1" x14ac:dyDescent="0.3">
      <c r="D690" s="76"/>
      <c r="E690" s="79"/>
      <c r="F690" s="79"/>
      <c r="G690" s="79"/>
      <c r="W690" s="81"/>
    </row>
    <row r="691" spans="4:23" customFormat="1" x14ac:dyDescent="0.3">
      <c r="D691" s="76"/>
      <c r="E691" s="79"/>
      <c r="F691" s="79"/>
      <c r="G691" s="79"/>
      <c r="W691" s="81"/>
    </row>
    <row r="692" spans="4:23" customFormat="1" x14ac:dyDescent="0.3">
      <c r="D692" s="76"/>
      <c r="E692" s="79"/>
      <c r="F692" s="79"/>
      <c r="G692" s="79"/>
      <c r="W692" s="81"/>
    </row>
    <row r="693" spans="4:23" customFormat="1" x14ac:dyDescent="0.3">
      <c r="D693" s="76"/>
      <c r="E693" s="79"/>
      <c r="F693" s="79"/>
      <c r="G693" s="79"/>
      <c r="W693" s="81"/>
    </row>
    <row r="694" spans="4:23" customFormat="1" x14ac:dyDescent="0.3">
      <c r="D694" s="76"/>
      <c r="E694" s="79"/>
      <c r="F694" s="79"/>
      <c r="G694" s="79"/>
      <c r="W694" s="81"/>
    </row>
    <row r="695" spans="4:23" customFormat="1" x14ac:dyDescent="0.3">
      <c r="D695" s="76"/>
      <c r="E695" s="79"/>
      <c r="F695" s="79"/>
      <c r="G695" s="79"/>
      <c r="W695" s="81"/>
    </row>
    <row r="696" spans="4:23" customFormat="1" x14ac:dyDescent="0.3">
      <c r="D696" s="76"/>
      <c r="E696" s="79"/>
      <c r="F696" s="79"/>
      <c r="G696" s="79"/>
      <c r="W696" s="81"/>
    </row>
    <row r="697" spans="4:23" customFormat="1" x14ac:dyDescent="0.3">
      <c r="D697" s="76"/>
      <c r="E697" s="79"/>
      <c r="F697" s="79"/>
      <c r="G697" s="79"/>
      <c r="W697" s="81"/>
    </row>
    <row r="698" spans="4:23" customFormat="1" x14ac:dyDescent="0.3">
      <c r="D698" s="76"/>
      <c r="E698" s="79"/>
      <c r="F698" s="79"/>
      <c r="G698" s="79"/>
      <c r="W698" s="81"/>
    </row>
    <row r="699" spans="4:23" customFormat="1" x14ac:dyDescent="0.3">
      <c r="D699" s="76"/>
      <c r="E699" s="79"/>
      <c r="F699" s="79"/>
      <c r="G699" s="79"/>
      <c r="W699" s="81"/>
    </row>
    <row r="700" spans="4:23" customFormat="1" x14ac:dyDescent="0.3">
      <c r="D700" s="76"/>
      <c r="E700" s="79"/>
      <c r="F700" s="79"/>
      <c r="G700" s="79"/>
      <c r="W700" s="81"/>
    </row>
    <row r="701" spans="4:23" customFormat="1" x14ac:dyDescent="0.3">
      <c r="D701" s="76"/>
      <c r="E701" s="79"/>
      <c r="F701" s="79"/>
      <c r="G701" s="79"/>
      <c r="W701" s="81"/>
    </row>
    <row r="702" spans="4:23" customFormat="1" x14ac:dyDescent="0.3">
      <c r="D702" s="76"/>
      <c r="E702" s="79"/>
      <c r="F702" s="79"/>
      <c r="G702" s="79"/>
      <c r="W702" s="81"/>
    </row>
    <row r="703" spans="4:23" customFormat="1" x14ac:dyDescent="0.3">
      <c r="D703" s="76"/>
      <c r="E703" s="79"/>
      <c r="F703" s="79"/>
      <c r="G703" s="79"/>
      <c r="W703" s="81"/>
    </row>
    <row r="704" spans="4:23" customFormat="1" x14ac:dyDescent="0.3">
      <c r="D704" s="76"/>
      <c r="E704" s="79"/>
      <c r="F704" s="79"/>
      <c r="G704" s="79"/>
      <c r="W704" s="81"/>
    </row>
    <row r="705" spans="3:23" customFormat="1" x14ac:dyDescent="0.3">
      <c r="D705" s="76"/>
      <c r="E705" s="79"/>
      <c r="F705" s="79"/>
      <c r="G705" s="79"/>
      <c r="W705" s="81"/>
    </row>
    <row r="706" spans="3:23" customFormat="1" x14ac:dyDescent="0.3">
      <c r="D706" s="76"/>
      <c r="E706" s="79"/>
      <c r="F706" s="79"/>
      <c r="G706" s="79"/>
      <c r="W706" s="81"/>
    </row>
    <row r="707" spans="3:23" customFormat="1" x14ac:dyDescent="0.3">
      <c r="C707" s="69"/>
      <c r="D707" s="79"/>
      <c r="E707" s="79"/>
      <c r="F707" s="79"/>
      <c r="G707" s="79"/>
      <c r="W707" s="81"/>
    </row>
    <row r="708" spans="3:23" customFormat="1" x14ac:dyDescent="0.3">
      <c r="C708" s="69"/>
      <c r="D708" s="79"/>
      <c r="E708" s="79"/>
      <c r="F708" s="79"/>
      <c r="G708" s="79"/>
      <c r="W708" s="81"/>
    </row>
    <row r="709" spans="3:23" customFormat="1" x14ac:dyDescent="0.3">
      <c r="C709" s="69"/>
      <c r="D709" s="79"/>
      <c r="E709" s="79"/>
      <c r="F709" s="79"/>
      <c r="G709" s="79"/>
      <c r="W709" s="81"/>
    </row>
  </sheetData>
  <conditionalFormatting sqref="I6">
    <cfRule type="expression" dxfId="7" priority="3">
      <formula>#REF!="AUTRE"</formula>
    </cfRule>
  </conditionalFormatting>
  <conditionalFormatting sqref="J6:R6">
    <cfRule type="expression" dxfId="6" priority="2">
      <formula>#REF!="AUTRE"</formula>
    </cfRule>
  </conditionalFormatting>
  <conditionalFormatting sqref="W6 W13:W1048576">
    <cfRule type="expression" dxfId="5" priority="24">
      <formula>#REF!&lt;&gt;"TEST"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A8DA5-3A27-41AC-98E7-62A3BC004E81}">
  <sheetPr codeName="Feuil3">
    <tabColor rgb="FF92D050"/>
  </sheetPr>
  <dimension ref="A1:X5220"/>
  <sheetViews>
    <sheetView showGridLines="0" zoomScaleNormal="100" workbookViewId="0">
      <selection activeCell="E18" sqref="E18"/>
    </sheetView>
  </sheetViews>
  <sheetFormatPr baseColWidth="10" defaultRowHeight="14.4" x14ac:dyDescent="0.3"/>
  <cols>
    <col min="1" max="1" width="11.5546875" style="45"/>
    <col min="2" max="2" width="21.5546875" style="84" customWidth="1"/>
    <col min="3" max="3" width="21.5546875" style="84" bestFit="1" customWidth="1"/>
    <col min="4" max="4" width="20.77734375" style="84" customWidth="1"/>
    <col min="5" max="5" width="19.5546875" style="84" customWidth="1"/>
    <col min="6" max="6" width="20.5546875" style="45" customWidth="1"/>
    <col min="7" max="7" width="22.44140625" style="45" customWidth="1"/>
    <col min="8" max="9" width="16.5546875" style="45" customWidth="1"/>
    <col min="10" max="10" width="20.5546875" style="8" customWidth="1"/>
    <col min="11" max="11" width="15.77734375" style="8" customWidth="1"/>
    <col min="12" max="13" width="11.5546875" style="8"/>
    <col min="14" max="14" width="8.44140625" style="8" bestFit="1" customWidth="1"/>
    <col min="15" max="15" width="5" style="45" bestFit="1" customWidth="1"/>
    <col min="16" max="16" width="16.21875" style="45" customWidth="1"/>
    <col min="17" max="17" width="19.77734375" style="45" customWidth="1"/>
    <col min="18" max="18" width="13.44140625" style="45" bestFit="1" customWidth="1"/>
    <col min="19" max="19" width="15.5546875" style="45" bestFit="1" customWidth="1"/>
    <col min="20" max="20" width="15.5546875" style="45" customWidth="1"/>
    <col min="21" max="21" width="16.21875" style="45" customWidth="1"/>
    <col min="22" max="22" width="15.44140625" style="8" customWidth="1"/>
    <col min="23" max="23" width="16.77734375" style="8" customWidth="1"/>
    <col min="24" max="24" width="20.5546875" style="8" customWidth="1"/>
  </cols>
  <sheetData>
    <row r="1" spans="1:24" x14ac:dyDescent="0.3">
      <c r="A1" s="83" t="s">
        <v>265</v>
      </c>
      <c r="B1" s="83" t="s">
        <v>4591</v>
      </c>
      <c r="C1" s="83" t="s">
        <v>283</v>
      </c>
      <c r="D1" s="83" t="s">
        <v>309</v>
      </c>
      <c r="E1" s="83" t="s">
        <v>379</v>
      </c>
      <c r="F1" s="83" t="s">
        <v>1066</v>
      </c>
      <c r="G1" s="83" t="s">
        <v>637</v>
      </c>
      <c r="H1" s="83" t="s">
        <v>1229</v>
      </c>
      <c r="I1" s="83" t="s">
        <v>1231</v>
      </c>
      <c r="J1" s="83" t="s">
        <v>412</v>
      </c>
      <c r="K1" s="83" t="s">
        <v>1484</v>
      </c>
      <c r="L1" s="83" t="s">
        <v>1485</v>
      </c>
      <c r="M1" s="83" t="s">
        <v>1239</v>
      </c>
      <c r="N1" s="83" t="s">
        <v>280</v>
      </c>
      <c r="O1" s="83" t="s">
        <v>1493</v>
      </c>
      <c r="P1" s="83" t="s">
        <v>2657</v>
      </c>
      <c r="Q1" s="83" t="s">
        <v>2656</v>
      </c>
      <c r="R1" s="83" t="s">
        <v>1496</v>
      </c>
      <c r="S1" s="83" t="s">
        <v>2655</v>
      </c>
      <c r="T1" s="83" t="s">
        <v>1495</v>
      </c>
      <c r="U1" s="83" t="s">
        <v>2658</v>
      </c>
      <c r="V1" s="83" t="s">
        <v>1592</v>
      </c>
      <c r="W1" s="83" t="s">
        <v>1593</v>
      </c>
      <c r="X1" s="83" t="s">
        <v>412</v>
      </c>
    </row>
    <row r="2" spans="1:24" x14ac:dyDescent="0.3">
      <c r="A2" s="84" t="s">
        <v>259</v>
      </c>
      <c r="B2" s="136" t="s">
        <v>4592</v>
      </c>
      <c r="C2" s="84" t="s">
        <v>259</v>
      </c>
      <c r="D2" s="84" t="s">
        <v>259</v>
      </c>
      <c r="E2" s="84" t="s">
        <v>259</v>
      </c>
      <c r="F2" s="84" t="s">
        <v>259</v>
      </c>
      <c r="G2" s="84" t="s">
        <v>259</v>
      </c>
      <c r="H2" s="45" t="s">
        <v>259</v>
      </c>
      <c r="I2" s="45" t="s">
        <v>259</v>
      </c>
      <c r="J2" s="84" t="s">
        <v>419</v>
      </c>
      <c r="K2" s="84" t="s">
        <v>415</v>
      </c>
      <c r="L2" s="45" t="s">
        <v>290</v>
      </c>
      <c r="M2" s="8" t="s">
        <v>290</v>
      </c>
      <c r="N2" s="45" t="s">
        <v>202</v>
      </c>
      <c r="O2" s="45">
        <v>15</v>
      </c>
      <c r="P2" s="45" t="s">
        <v>1501</v>
      </c>
      <c r="Q2" s="45" t="s">
        <v>1504</v>
      </c>
      <c r="R2" s="45" t="s">
        <v>1504</v>
      </c>
      <c r="S2" s="45" t="s">
        <v>1504</v>
      </c>
      <c r="T2" s="45" t="s">
        <v>163</v>
      </c>
      <c r="U2" s="45" t="s">
        <v>1509</v>
      </c>
      <c r="V2" s="45" t="s">
        <v>638</v>
      </c>
      <c r="W2" s="45" t="s">
        <v>744</v>
      </c>
      <c r="X2" s="84" t="s">
        <v>259</v>
      </c>
    </row>
    <row r="3" spans="1:24" x14ac:dyDescent="0.3">
      <c r="A3" s="81" t="s">
        <v>1888</v>
      </c>
      <c r="B3" s="136" t="s">
        <v>4593</v>
      </c>
      <c r="C3" s="84" t="s">
        <v>638</v>
      </c>
      <c r="D3" s="84" t="s">
        <v>377</v>
      </c>
      <c r="E3" s="84" t="s">
        <v>380</v>
      </c>
      <c r="F3" s="45" t="s">
        <v>1067</v>
      </c>
      <c r="G3" s="45" t="s">
        <v>1068</v>
      </c>
      <c r="H3" s="45" t="s">
        <v>1232</v>
      </c>
      <c r="I3" s="45" t="s">
        <v>1233</v>
      </c>
      <c r="J3" s="84" t="s">
        <v>420</v>
      </c>
      <c r="K3" s="45" t="s">
        <v>416</v>
      </c>
      <c r="L3" s="45" t="s">
        <v>1498</v>
      </c>
      <c r="M3" s="8" t="s">
        <v>1513</v>
      </c>
      <c r="N3" s="45" t="s">
        <v>292</v>
      </c>
      <c r="O3" s="45">
        <v>1</v>
      </c>
      <c r="P3" s="45" t="s">
        <v>1502</v>
      </c>
      <c r="Q3" s="45" t="s">
        <v>1505</v>
      </c>
      <c r="R3" s="45" t="s">
        <v>1505</v>
      </c>
      <c r="S3" s="45" t="s">
        <v>1505</v>
      </c>
      <c r="T3" s="45" t="s">
        <v>164</v>
      </c>
      <c r="U3" s="45" t="s">
        <v>1510</v>
      </c>
      <c r="V3" s="45" t="s">
        <v>639</v>
      </c>
      <c r="W3" s="45" t="s">
        <v>745</v>
      </c>
      <c r="X3" s="84" t="s">
        <v>419</v>
      </c>
    </row>
    <row r="4" spans="1:24" x14ac:dyDescent="0.3">
      <c r="A4" s="81" t="s">
        <v>1889</v>
      </c>
      <c r="B4" s="136" t="s">
        <v>4594</v>
      </c>
      <c r="C4" s="84" t="s">
        <v>639</v>
      </c>
      <c r="D4" s="84" t="s">
        <v>378</v>
      </c>
      <c r="E4" s="84" t="s">
        <v>381</v>
      </c>
      <c r="F4" s="45" t="s">
        <v>1069</v>
      </c>
      <c r="G4" s="45" t="s">
        <v>1070</v>
      </c>
      <c r="H4" s="45" t="s">
        <v>1230</v>
      </c>
      <c r="I4" s="45" t="s">
        <v>1230</v>
      </c>
      <c r="J4" s="84" t="s">
        <v>421</v>
      </c>
      <c r="K4" s="45" t="s">
        <v>494</v>
      </c>
      <c r="L4" s="45" t="s">
        <v>1499</v>
      </c>
      <c r="M4" s="8" t="s">
        <v>1514</v>
      </c>
      <c r="P4" s="45" t="s">
        <v>1503</v>
      </c>
      <c r="Q4" s="45" t="s">
        <v>1506</v>
      </c>
      <c r="R4" s="45" t="s">
        <v>1506</v>
      </c>
      <c r="S4" s="45" t="s">
        <v>1506</v>
      </c>
      <c r="T4" s="45" t="s">
        <v>166</v>
      </c>
      <c r="U4" s="45" t="s">
        <v>1509</v>
      </c>
      <c r="V4" s="45" t="s">
        <v>640</v>
      </c>
      <c r="W4" s="45" t="s">
        <v>746</v>
      </c>
      <c r="X4" s="84" t="s">
        <v>420</v>
      </c>
    </row>
    <row r="5" spans="1:24" x14ac:dyDescent="0.3">
      <c r="A5" s="81" t="s">
        <v>1890</v>
      </c>
      <c r="B5" s="136" t="s">
        <v>4595</v>
      </c>
      <c r="C5" s="84" t="s">
        <v>640</v>
      </c>
      <c r="D5" s="84" t="s">
        <v>310</v>
      </c>
      <c r="E5" s="84" t="s">
        <v>382</v>
      </c>
      <c r="F5" s="45" t="s">
        <v>1072</v>
      </c>
      <c r="G5" s="45" t="s">
        <v>1071</v>
      </c>
      <c r="H5" s="45" t="s">
        <v>1234</v>
      </c>
      <c r="I5" s="45" t="s">
        <v>1235</v>
      </c>
      <c r="J5" s="84" t="s">
        <v>422</v>
      </c>
      <c r="K5" s="45"/>
      <c r="M5" s="8" t="s">
        <v>1515</v>
      </c>
      <c r="Q5" s="45" t="s">
        <v>1507</v>
      </c>
      <c r="R5" s="45" t="s">
        <v>1507</v>
      </c>
      <c r="S5" s="45" t="s">
        <v>1507</v>
      </c>
      <c r="T5" s="45" t="s">
        <v>161</v>
      </c>
      <c r="U5" s="45" t="s">
        <v>1511</v>
      </c>
      <c r="V5" s="45" t="s">
        <v>641</v>
      </c>
      <c r="W5" s="45" t="s">
        <v>204</v>
      </c>
      <c r="X5" s="84" t="s">
        <v>421</v>
      </c>
    </row>
    <row r="6" spans="1:24" x14ac:dyDescent="0.3">
      <c r="A6" s="81" t="s">
        <v>1891</v>
      </c>
      <c r="B6" s="136" t="s">
        <v>4596</v>
      </c>
      <c r="C6" s="84" t="s">
        <v>641</v>
      </c>
      <c r="D6" s="84" t="s">
        <v>320</v>
      </c>
      <c r="E6" s="84" t="s">
        <v>383</v>
      </c>
      <c r="F6" s="45" t="s">
        <v>1074</v>
      </c>
      <c r="G6" s="45" t="s">
        <v>1073</v>
      </c>
      <c r="I6" s="45" t="s">
        <v>1236</v>
      </c>
      <c r="J6" s="84" t="s">
        <v>423</v>
      </c>
      <c r="M6" s="8" t="s">
        <v>1516</v>
      </c>
      <c r="Q6" s="45" t="s">
        <v>1508</v>
      </c>
      <c r="R6" s="45" t="s">
        <v>1508</v>
      </c>
      <c r="S6" s="45" t="s">
        <v>1508</v>
      </c>
      <c r="T6" s="45" t="s">
        <v>168</v>
      </c>
      <c r="U6" s="45" t="s">
        <v>1512</v>
      </c>
      <c r="V6" s="45" t="s">
        <v>642</v>
      </c>
      <c r="W6" s="45" t="s">
        <v>748</v>
      </c>
      <c r="X6" s="84" t="s">
        <v>422</v>
      </c>
    </row>
    <row r="7" spans="1:24" x14ac:dyDescent="0.3">
      <c r="A7" s="81" t="s">
        <v>1892</v>
      </c>
      <c r="B7" s="136" t="s">
        <v>4597</v>
      </c>
      <c r="C7" s="84" t="s">
        <v>642</v>
      </c>
      <c r="D7" s="84" t="s">
        <v>317</v>
      </c>
      <c r="E7" s="84" t="s">
        <v>384</v>
      </c>
      <c r="F7" s="45" t="s">
        <v>1076</v>
      </c>
      <c r="G7" s="45" t="s">
        <v>1075</v>
      </c>
      <c r="I7" s="45" t="s">
        <v>1237</v>
      </c>
      <c r="J7" s="84" t="s">
        <v>424</v>
      </c>
      <c r="M7" s="8" t="s">
        <v>380</v>
      </c>
      <c r="T7" s="45" t="s">
        <v>169</v>
      </c>
      <c r="V7" s="45" t="s">
        <v>643</v>
      </c>
      <c r="W7" s="45" t="s">
        <v>767</v>
      </c>
      <c r="X7" s="84" t="s">
        <v>423</v>
      </c>
    </row>
    <row r="8" spans="1:24" x14ac:dyDescent="0.3">
      <c r="A8" s="81" t="s">
        <v>1893</v>
      </c>
      <c r="B8" s="136" t="s">
        <v>4598</v>
      </c>
      <c r="C8" s="84" t="s">
        <v>643</v>
      </c>
      <c r="D8" s="84" t="s">
        <v>314</v>
      </c>
      <c r="E8" s="84" t="s">
        <v>385</v>
      </c>
      <c r="F8" s="45" t="s">
        <v>1077</v>
      </c>
      <c r="G8" s="45" t="s">
        <v>1076</v>
      </c>
      <c r="J8" s="84" t="s">
        <v>425</v>
      </c>
      <c r="M8" s="8" t="s">
        <v>1517</v>
      </c>
      <c r="T8" s="45" t="s">
        <v>170</v>
      </c>
      <c r="V8" s="45" t="s">
        <v>644</v>
      </c>
      <c r="W8" s="45" t="s">
        <v>769</v>
      </c>
      <c r="X8" s="84" t="s">
        <v>424</v>
      </c>
    </row>
    <row r="9" spans="1:24" x14ac:dyDescent="0.3">
      <c r="A9" s="81" t="s">
        <v>1894</v>
      </c>
      <c r="B9" s="136" t="s">
        <v>4599</v>
      </c>
      <c r="C9" s="84" t="s">
        <v>644</v>
      </c>
      <c r="D9" s="84" t="s">
        <v>315</v>
      </c>
      <c r="E9" s="84" t="s">
        <v>388</v>
      </c>
      <c r="F9" s="45" t="s">
        <v>1078</v>
      </c>
      <c r="G9" s="45" t="s">
        <v>1077</v>
      </c>
      <c r="J9" s="84" t="s">
        <v>426</v>
      </c>
      <c r="M9" s="8" t="s">
        <v>1518</v>
      </c>
      <c r="T9" s="45" t="s">
        <v>171</v>
      </c>
      <c r="V9" s="45" t="s">
        <v>645</v>
      </c>
      <c r="W9" s="45" t="s">
        <v>773</v>
      </c>
      <c r="X9" s="84" t="s">
        <v>425</v>
      </c>
    </row>
    <row r="10" spans="1:24" x14ac:dyDescent="0.3">
      <c r="A10" s="81" t="s">
        <v>1895</v>
      </c>
      <c r="B10" s="136" t="s">
        <v>2170</v>
      </c>
      <c r="C10" s="84" t="s">
        <v>645</v>
      </c>
      <c r="D10" s="84" t="s">
        <v>321</v>
      </c>
      <c r="E10" s="84" t="s">
        <v>386</v>
      </c>
      <c r="F10" s="45" t="s">
        <v>1080</v>
      </c>
      <c r="G10" s="45" t="s">
        <v>1079</v>
      </c>
      <c r="J10" s="84" t="s">
        <v>427</v>
      </c>
      <c r="M10" s="8" t="s">
        <v>1519</v>
      </c>
      <c r="T10" s="45" t="s">
        <v>172</v>
      </c>
      <c r="V10" s="45" t="s">
        <v>646</v>
      </c>
      <c r="W10" s="45" t="s">
        <v>775</v>
      </c>
      <c r="X10" s="84" t="s">
        <v>426</v>
      </c>
    </row>
    <row r="11" spans="1:24" x14ac:dyDescent="0.3">
      <c r="A11" s="81" t="s">
        <v>1896</v>
      </c>
      <c r="B11" s="136" t="s">
        <v>4600</v>
      </c>
      <c r="C11" s="84" t="s">
        <v>646</v>
      </c>
      <c r="D11" s="84" t="s">
        <v>316</v>
      </c>
      <c r="E11" s="84" t="s">
        <v>387</v>
      </c>
      <c r="F11" s="45" t="s">
        <v>1083</v>
      </c>
      <c r="G11" s="45" t="s">
        <v>1081</v>
      </c>
      <c r="J11" s="84" t="s">
        <v>428</v>
      </c>
      <c r="M11" s="8" t="s">
        <v>1520</v>
      </c>
      <c r="T11" s="45" t="s">
        <v>173</v>
      </c>
      <c r="V11" s="45" t="s">
        <v>647</v>
      </c>
      <c r="W11" s="45" t="s">
        <v>779</v>
      </c>
      <c r="X11" s="84" t="s">
        <v>427</v>
      </c>
    </row>
    <row r="12" spans="1:24" x14ac:dyDescent="0.3">
      <c r="A12" s="81" t="s">
        <v>1897</v>
      </c>
      <c r="B12" s="136" t="s">
        <v>4601</v>
      </c>
      <c r="C12" s="84" t="s">
        <v>647</v>
      </c>
      <c r="D12" s="84" t="s">
        <v>318</v>
      </c>
      <c r="E12" s="84" t="s">
        <v>389</v>
      </c>
      <c r="F12" s="45" t="s">
        <v>1085</v>
      </c>
      <c r="G12" s="45" t="s">
        <v>1082</v>
      </c>
      <c r="J12" s="84" t="s">
        <v>429</v>
      </c>
      <c r="M12" s="8" t="s">
        <v>1521</v>
      </c>
      <c r="T12" s="45" t="s">
        <v>174</v>
      </c>
      <c r="V12" s="45" t="s">
        <v>648</v>
      </c>
      <c r="W12" s="45" t="s">
        <v>781</v>
      </c>
      <c r="X12" s="84" t="s">
        <v>428</v>
      </c>
    </row>
    <row r="13" spans="1:24" x14ac:dyDescent="0.3">
      <c r="A13" s="81" t="s">
        <v>1898</v>
      </c>
      <c r="B13" s="136" t="s">
        <v>4</v>
      </c>
      <c r="C13" s="84" t="s">
        <v>648</v>
      </c>
      <c r="D13" s="84" t="s">
        <v>313</v>
      </c>
      <c r="E13" s="84" t="s">
        <v>390</v>
      </c>
      <c r="F13" s="45" t="s">
        <v>1087</v>
      </c>
      <c r="G13" s="45" t="s">
        <v>1084</v>
      </c>
      <c r="J13" s="84" t="s">
        <v>430</v>
      </c>
      <c r="M13" s="8" t="s">
        <v>1522</v>
      </c>
      <c r="T13" s="45" t="s">
        <v>175</v>
      </c>
      <c r="V13" s="45" t="s">
        <v>649</v>
      </c>
      <c r="W13" s="45" t="s">
        <v>782</v>
      </c>
      <c r="X13" s="84" t="s">
        <v>429</v>
      </c>
    </row>
    <row r="14" spans="1:24" x14ac:dyDescent="0.3">
      <c r="A14" s="81" t="s">
        <v>1899</v>
      </c>
      <c r="B14" s="136" t="s">
        <v>4602</v>
      </c>
      <c r="C14" s="84" t="s">
        <v>649</v>
      </c>
      <c r="D14" s="84" t="s">
        <v>312</v>
      </c>
      <c r="E14" s="84" t="s">
        <v>391</v>
      </c>
      <c r="F14" s="45" t="s">
        <v>1089</v>
      </c>
      <c r="G14" s="45" t="s">
        <v>1086</v>
      </c>
      <c r="J14" s="84" t="s">
        <v>431</v>
      </c>
      <c r="M14" s="8" t="s">
        <v>1523</v>
      </c>
      <c r="T14" s="45" t="s">
        <v>1258</v>
      </c>
      <c r="V14" s="45" t="s">
        <v>650</v>
      </c>
      <c r="W14" s="45" t="s">
        <v>785</v>
      </c>
      <c r="X14" s="84" t="s">
        <v>430</v>
      </c>
    </row>
    <row r="15" spans="1:24" x14ac:dyDescent="0.3">
      <c r="A15" s="81" t="s">
        <v>1900</v>
      </c>
      <c r="B15" s="136" t="s">
        <v>4603</v>
      </c>
      <c r="C15" s="84" t="s">
        <v>650</v>
      </c>
      <c r="D15" s="84" t="s">
        <v>311</v>
      </c>
      <c r="E15" s="84" t="s">
        <v>392</v>
      </c>
      <c r="F15" s="45" t="s">
        <v>1091</v>
      </c>
      <c r="G15" s="45" t="s">
        <v>1088</v>
      </c>
      <c r="J15" s="84" t="s">
        <v>432</v>
      </c>
      <c r="M15" s="8" t="s">
        <v>278</v>
      </c>
      <c r="T15" s="45" t="s">
        <v>177</v>
      </c>
      <c r="V15" s="45" t="s">
        <v>651</v>
      </c>
      <c r="W15" s="45" t="s">
        <v>788</v>
      </c>
      <c r="X15" s="84" t="s">
        <v>431</v>
      </c>
    </row>
    <row r="16" spans="1:24" x14ac:dyDescent="0.3">
      <c r="A16" s="81" t="s">
        <v>1901</v>
      </c>
      <c r="B16" s="136" t="s">
        <v>4604</v>
      </c>
      <c r="C16" s="84" t="s">
        <v>651</v>
      </c>
      <c r="D16" s="84" t="s">
        <v>319</v>
      </c>
      <c r="E16" s="84" t="s">
        <v>393</v>
      </c>
      <c r="F16" s="45" t="s">
        <v>1094</v>
      </c>
      <c r="G16" s="45" t="s">
        <v>1090</v>
      </c>
      <c r="J16" s="84" t="s">
        <v>433</v>
      </c>
      <c r="M16" s="8" t="s">
        <v>1524</v>
      </c>
      <c r="T16" s="45" t="s">
        <v>178</v>
      </c>
      <c r="V16" s="45" t="s">
        <v>652</v>
      </c>
      <c r="W16" s="45" t="s">
        <v>789</v>
      </c>
      <c r="X16" s="84" t="s">
        <v>432</v>
      </c>
    </row>
    <row r="17" spans="1:24" x14ac:dyDescent="0.3">
      <c r="A17" s="81" t="s">
        <v>1902</v>
      </c>
      <c r="B17" s="136" t="s">
        <v>4605</v>
      </c>
      <c r="C17" s="84" t="s">
        <v>652</v>
      </c>
      <c r="D17" s="84" t="s">
        <v>336</v>
      </c>
      <c r="E17" s="84" t="s">
        <v>394</v>
      </c>
      <c r="F17" s="45" t="s">
        <v>1096</v>
      </c>
      <c r="G17" s="45" t="s">
        <v>1092</v>
      </c>
      <c r="J17" s="84" t="s">
        <v>415</v>
      </c>
      <c r="M17" s="8" t="s">
        <v>1525</v>
      </c>
      <c r="T17" s="45" t="s">
        <v>179</v>
      </c>
      <c r="V17" s="45" t="s">
        <v>653</v>
      </c>
      <c r="W17" s="45" t="s">
        <v>790</v>
      </c>
      <c r="X17" s="84" t="s">
        <v>433</v>
      </c>
    </row>
    <row r="18" spans="1:24" x14ac:dyDescent="0.3">
      <c r="A18" s="81" t="s">
        <v>1903</v>
      </c>
      <c r="B18" s="136" t="s">
        <v>4606</v>
      </c>
      <c r="C18" s="84" t="s">
        <v>653</v>
      </c>
      <c r="D18" s="84" t="s">
        <v>1064</v>
      </c>
      <c r="E18" s="84" t="s">
        <v>395</v>
      </c>
      <c r="F18" s="45" t="s">
        <v>1098</v>
      </c>
      <c r="G18" s="45" t="s">
        <v>1093</v>
      </c>
      <c r="J18" s="84" t="s">
        <v>434</v>
      </c>
      <c r="M18" s="8" t="s">
        <v>1526</v>
      </c>
      <c r="T18" s="45" t="s">
        <v>180</v>
      </c>
      <c r="V18" s="45" t="s">
        <v>654</v>
      </c>
      <c r="W18" s="45" t="s">
        <v>256</v>
      </c>
      <c r="X18" s="84" t="s">
        <v>415</v>
      </c>
    </row>
    <row r="19" spans="1:24" x14ac:dyDescent="0.3">
      <c r="A19" s="81" t="s">
        <v>305</v>
      </c>
      <c r="B19" s="136" t="s">
        <v>4607</v>
      </c>
      <c r="C19" s="84" t="s">
        <v>654</v>
      </c>
      <c r="D19" s="84" t="s">
        <v>1065</v>
      </c>
      <c r="E19" s="84" t="s">
        <v>396</v>
      </c>
      <c r="F19" s="45" t="s">
        <v>1101</v>
      </c>
      <c r="G19" s="45" t="s">
        <v>1095</v>
      </c>
      <c r="J19" s="84" t="s">
        <v>435</v>
      </c>
      <c r="M19" s="8" t="s">
        <v>1527</v>
      </c>
      <c r="T19" s="45" t="s">
        <v>185</v>
      </c>
      <c r="V19" s="45" t="s">
        <v>655</v>
      </c>
      <c r="W19" s="45" t="s">
        <v>255</v>
      </c>
      <c r="X19" s="84" t="s">
        <v>434</v>
      </c>
    </row>
    <row r="20" spans="1:24" x14ac:dyDescent="0.3">
      <c r="A20" s="81" t="s">
        <v>1904</v>
      </c>
      <c r="B20" s="136" t="s">
        <v>4608</v>
      </c>
      <c r="C20" s="84" t="s">
        <v>655</v>
      </c>
      <c r="D20" s="84" t="s">
        <v>337</v>
      </c>
      <c r="E20" s="84" t="s">
        <v>397</v>
      </c>
      <c r="F20" s="45" t="s">
        <v>1104</v>
      </c>
      <c r="G20" s="45" t="s">
        <v>1097</v>
      </c>
      <c r="J20" s="84" t="s">
        <v>436</v>
      </c>
      <c r="M20" s="8" t="s">
        <v>1528</v>
      </c>
      <c r="T20" s="45" t="s">
        <v>188</v>
      </c>
      <c r="V20" s="45" t="s">
        <v>656</v>
      </c>
      <c r="W20" s="45" t="s">
        <v>794</v>
      </c>
      <c r="X20" s="84" t="s">
        <v>435</v>
      </c>
    </row>
    <row r="21" spans="1:24" x14ac:dyDescent="0.3">
      <c r="A21" s="81" t="s">
        <v>1905</v>
      </c>
      <c r="B21" s="136" t="s">
        <v>4609</v>
      </c>
      <c r="C21" s="84" t="s">
        <v>656</v>
      </c>
      <c r="D21" s="84" t="s">
        <v>338</v>
      </c>
      <c r="E21" s="84" t="s">
        <v>398</v>
      </c>
      <c r="F21" s="45" t="s">
        <v>1106</v>
      </c>
      <c r="G21" s="45" t="s">
        <v>1099</v>
      </c>
      <c r="J21" s="84" t="s">
        <v>437</v>
      </c>
      <c r="M21" s="8" t="s">
        <v>1529</v>
      </c>
      <c r="T21" s="45" t="s">
        <v>190</v>
      </c>
      <c r="V21" s="45" t="s">
        <v>657</v>
      </c>
      <c r="W21" s="45" t="s">
        <v>795</v>
      </c>
      <c r="X21" s="84" t="s">
        <v>436</v>
      </c>
    </row>
    <row r="22" spans="1:24" x14ac:dyDescent="0.3">
      <c r="A22" s="81" t="s">
        <v>1906</v>
      </c>
      <c r="B22" s="136" t="s">
        <v>4610</v>
      </c>
      <c r="C22" s="84" t="s">
        <v>657</v>
      </c>
      <c r="D22" s="84" t="s">
        <v>339</v>
      </c>
      <c r="E22" s="45"/>
      <c r="F22" s="45" t="s">
        <v>1108</v>
      </c>
      <c r="G22" s="45" t="s">
        <v>1100</v>
      </c>
      <c r="J22" s="84" t="s">
        <v>438</v>
      </c>
      <c r="M22" s="8" t="s">
        <v>1530</v>
      </c>
      <c r="T22" s="45" t="s">
        <v>1459</v>
      </c>
      <c r="V22" s="45" t="s">
        <v>658</v>
      </c>
      <c r="W22" s="45" t="s">
        <v>802</v>
      </c>
      <c r="X22" s="84" t="s">
        <v>437</v>
      </c>
    </row>
    <row r="23" spans="1:24" x14ac:dyDescent="0.3">
      <c r="A23" s="81" t="s">
        <v>1907</v>
      </c>
      <c r="B23" s="136" t="s">
        <v>4611</v>
      </c>
      <c r="C23" s="84" t="s">
        <v>658</v>
      </c>
      <c r="D23" s="84" t="s">
        <v>227</v>
      </c>
      <c r="E23" s="45"/>
      <c r="F23" s="45" t="s">
        <v>1127</v>
      </c>
      <c r="G23" s="45" t="s">
        <v>1102</v>
      </c>
      <c r="J23" s="84" t="s">
        <v>439</v>
      </c>
      <c r="M23" s="8" t="s">
        <v>191</v>
      </c>
      <c r="V23" s="45" t="s">
        <v>659</v>
      </c>
      <c r="W23" s="45" t="s">
        <v>803</v>
      </c>
      <c r="X23" s="84" t="s">
        <v>438</v>
      </c>
    </row>
    <row r="24" spans="1:24" x14ac:dyDescent="0.3">
      <c r="A24" s="81" t="s">
        <v>1908</v>
      </c>
      <c r="B24" s="136" t="s">
        <v>4612</v>
      </c>
      <c r="C24" s="84" t="s">
        <v>659</v>
      </c>
      <c r="D24" s="84" t="s">
        <v>340</v>
      </c>
      <c r="E24" s="45"/>
      <c r="F24" s="45" t="s">
        <v>1131</v>
      </c>
      <c r="G24" s="45" t="s">
        <v>1103</v>
      </c>
      <c r="J24" s="84" t="s">
        <v>440</v>
      </c>
      <c r="M24" s="8" t="s">
        <v>1531</v>
      </c>
      <c r="V24" s="45" t="s">
        <v>660</v>
      </c>
      <c r="W24" s="45" t="s">
        <v>817</v>
      </c>
      <c r="X24" s="84" t="s">
        <v>439</v>
      </c>
    </row>
    <row r="25" spans="1:24" x14ac:dyDescent="0.3">
      <c r="A25" s="81" t="s">
        <v>1909</v>
      </c>
      <c r="B25" s="136" t="s">
        <v>4613</v>
      </c>
      <c r="C25" s="84" t="s">
        <v>660</v>
      </c>
      <c r="D25" s="84" t="s">
        <v>362</v>
      </c>
      <c r="E25" s="45"/>
      <c r="F25" s="45" t="s">
        <v>1134</v>
      </c>
      <c r="G25" s="45" t="s">
        <v>1105</v>
      </c>
      <c r="J25" s="84" t="s">
        <v>441</v>
      </c>
      <c r="M25" s="8" t="s">
        <v>1532</v>
      </c>
      <c r="V25" s="45" t="s">
        <v>661</v>
      </c>
      <c r="W25" s="45" t="s">
        <v>818</v>
      </c>
      <c r="X25" s="84" t="s">
        <v>440</v>
      </c>
    </row>
    <row r="26" spans="1:24" x14ac:dyDescent="0.3">
      <c r="A26" s="81" t="s">
        <v>1910</v>
      </c>
      <c r="B26" s="136" t="s">
        <v>4614</v>
      </c>
      <c r="C26" s="84" t="s">
        <v>661</v>
      </c>
      <c r="D26" s="84" t="s">
        <v>341</v>
      </c>
      <c r="E26" s="45"/>
      <c r="F26" s="45" t="s">
        <v>1136</v>
      </c>
      <c r="G26" s="45" t="s">
        <v>1107</v>
      </c>
      <c r="J26" s="84" t="s">
        <v>410</v>
      </c>
      <c r="M26" s="8" t="s">
        <v>1499</v>
      </c>
      <c r="V26" s="45" t="s">
        <v>662</v>
      </c>
      <c r="W26" s="45" t="s">
        <v>819</v>
      </c>
      <c r="X26" s="84" t="s">
        <v>441</v>
      </c>
    </row>
    <row r="27" spans="1:24" x14ac:dyDescent="0.3">
      <c r="A27" s="81" t="s">
        <v>1911</v>
      </c>
      <c r="B27" s="136" t="s">
        <v>4615</v>
      </c>
      <c r="C27" s="84" t="s">
        <v>662</v>
      </c>
      <c r="D27" s="84" t="s">
        <v>342</v>
      </c>
      <c r="E27" s="45"/>
      <c r="F27" s="45" t="s">
        <v>1141</v>
      </c>
      <c r="G27" s="45" t="s">
        <v>1109</v>
      </c>
      <c r="J27" s="84" t="s">
        <v>442</v>
      </c>
      <c r="M27" s="8" t="s">
        <v>1533</v>
      </c>
      <c r="V27" s="45" t="s">
        <v>663</v>
      </c>
      <c r="W27" s="45" t="s">
        <v>826</v>
      </c>
      <c r="X27" s="84" t="s">
        <v>410</v>
      </c>
    </row>
    <row r="28" spans="1:24" x14ac:dyDescent="0.3">
      <c r="A28" s="81" t="s">
        <v>1912</v>
      </c>
      <c r="B28" s="136" t="s">
        <v>4616</v>
      </c>
      <c r="C28" s="84" t="s">
        <v>663</v>
      </c>
      <c r="D28" s="84" t="s">
        <v>343</v>
      </c>
      <c r="E28" s="45"/>
      <c r="F28" s="45" t="s">
        <v>1146</v>
      </c>
      <c r="G28" s="45" t="s">
        <v>1110</v>
      </c>
      <c r="J28" s="84" t="s">
        <v>443</v>
      </c>
      <c r="M28" s="8" t="s">
        <v>1534</v>
      </c>
      <c r="V28" s="45" t="s">
        <v>664</v>
      </c>
      <c r="W28" s="45" t="s">
        <v>827</v>
      </c>
      <c r="X28" s="84" t="s">
        <v>442</v>
      </c>
    </row>
    <row r="29" spans="1:24" x14ac:dyDescent="0.3">
      <c r="A29" s="81" t="s">
        <v>1913</v>
      </c>
      <c r="B29" s="136" t="s">
        <v>4617</v>
      </c>
      <c r="C29" s="84" t="s">
        <v>664</v>
      </c>
      <c r="D29" s="84" t="s">
        <v>344</v>
      </c>
      <c r="E29" s="45"/>
      <c r="F29" s="45" t="s">
        <v>1153</v>
      </c>
      <c r="G29" s="45" t="s">
        <v>1111</v>
      </c>
      <c r="J29" s="84" t="s">
        <v>444</v>
      </c>
      <c r="M29" s="8" t="s">
        <v>1535</v>
      </c>
      <c r="V29" s="45" t="s">
        <v>665</v>
      </c>
      <c r="W29" s="45" t="s">
        <v>830</v>
      </c>
      <c r="X29" s="84" t="s">
        <v>443</v>
      </c>
    </row>
    <row r="30" spans="1:24" x14ac:dyDescent="0.3">
      <c r="A30" s="81" t="s">
        <v>1629</v>
      </c>
      <c r="B30" s="136" t="s">
        <v>4618</v>
      </c>
      <c r="C30" s="84" t="s">
        <v>665</v>
      </c>
      <c r="D30" s="84" t="s">
        <v>345</v>
      </c>
      <c r="E30" s="45"/>
      <c r="F30" s="45" t="s">
        <v>1157</v>
      </c>
      <c r="G30" s="45" t="s">
        <v>1112</v>
      </c>
      <c r="J30" s="84" t="s">
        <v>445</v>
      </c>
      <c r="M30" s="8" t="s">
        <v>1536</v>
      </c>
      <c r="V30" s="45" t="s">
        <v>213</v>
      </c>
      <c r="W30" s="45" t="s">
        <v>833</v>
      </c>
      <c r="X30" s="84" t="s">
        <v>444</v>
      </c>
    </row>
    <row r="31" spans="1:24" x14ac:dyDescent="0.3">
      <c r="A31" s="81" t="s">
        <v>1632</v>
      </c>
      <c r="B31" s="136" t="s">
        <v>4619</v>
      </c>
      <c r="C31" s="84" t="s">
        <v>213</v>
      </c>
      <c r="D31" s="84" t="s">
        <v>346</v>
      </c>
      <c r="E31" s="45"/>
      <c r="F31" s="45" t="s">
        <v>410</v>
      </c>
      <c r="G31" s="45" t="s">
        <v>1113</v>
      </c>
      <c r="J31" s="84" t="s">
        <v>446</v>
      </c>
      <c r="M31" s="8" t="s">
        <v>1537</v>
      </c>
      <c r="V31" s="45" t="s">
        <v>666</v>
      </c>
      <c r="W31" s="45" t="s">
        <v>205</v>
      </c>
      <c r="X31" s="84" t="s">
        <v>445</v>
      </c>
    </row>
    <row r="32" spans="1:24" x14ac:dyDescent="0.3">
      <c r="A32" s="81" t="s">
        <v>1642</v>
      </c>
      <c r="B32" s="136" t="s">
        <v>4620</v>
      </c>
      <c r="C32" s="84" t="s">
        <v>666</v>
      </c>
      <c r="D32" s="84" t="s">
        <v>347</v>
      </c>
      <c r="E32" s="45"/>
      <c r="F32" s="45" t="s">
        <v>1167</v>
      </c>
      <c r="G32" s="45" t="s">
        <v>1114</v>
      </c>
      <c r="J32" s="84" t="s">
        <v>447</v>
      </c>
      <c r="M32" s="8" t="s">
        <v>1538</v>
      </c>
      <c r="V32" s="45" t="s">
        <v>667</v>
      </c>
      <c r="W32" s="45" t="s">
        <v>206</v>
      </c>
      <c r="X32" s="84" t="s">
        <v>446</v>
      </c>
    </row>
    <row r="33" spans="1:24" x14ac:dyDescent="0.3">
      <c r="A33" s="81" t="s">
        <v>1645</v>
      </c>
      <c r="B33" s="136" t="s">
        <v>4621</v>
      </c>
      <c r="C33" s="84" t="s">
        <v>667</v>
      </c>
      <c r="D33" s="84" t="s">
        <v>348</v>
      </c>
      <c r="E33" s="45"/>
      <c r="F33" s="45" t="s">
        <v>1169</v>
      </c>
      <c r="G33" s="45" t="s">
        <v>1115</v>
      </c>
      <c r="J33" s="84" t="s">
        <v>448</v>
      </c>
      <c r="M33" s="8" t="s">
        <v>1539</v>
      </c>
      <c r="V33" s="45" t="s">
        <v>668</v>
      </c>
      <c r="W33" s="45" t="s">
        <v>207</v>
      </c>
      <c r="X33" s="84" t="s">
        <v>447</v>
      </c>
    </row>
    <row r="34" spans="1:24" x14ac:dyDescent="0.3">
      <c r="A34" s="81" t="s">
        <v>192</v>
      </c>
      <c r="B34" s="136" t="s">
        <v>4622</v>
      </c>
      <c r="C34" s="84" t="s">
        <v>668</v>
      </c>
      <c r="D34" s="84" t="s">
        <v>349</v>
      </c>
      <c r="E34" s="45"/>
      <c r="F34" s="45" t="s">
        <v>1171</v>
      </c>
      <c r="G34" s="45" t="s">
        <v>1116</v>
      </c>
      <c r="J34" s="84" t="s">
        <v>449</v>
      </c>
      <c r="M34" s="8" t="s">
        <v>1540</v>
      </c>
      <c r="V34" s="45" t="s">
        <v>669</v>
      </c>
      <c r="W34" s="45" t="s">
        <v>242</v>
      </c>
      <c r="X34" s="84" t="s">
        <v>448</v>
      </c>
    </row>
    <row r="35" spans="1:24" x14ac:dyDescent="0.3">
      <c r="A35" s="81" t="s">
        <v>1657</v>
      </c>
      <c r="B35" s="136" t="s">
        <v>1628</v>
      </c>
      <c r="C35" s="84" t="s">
        <v>669</v>
      </c>
      <c r="D35" s="84" t="s">
        <v>350</v>
      </c>
      <c r="E35" s="45"/>
      <c r="F35" s="45" t="s">
        <v>1173</v>
      </c>
      <c r="G35" s="45" t="s">
        <v>1117</v>
      </c>
      <c r="J35" s="84" t="s">
        <v>450</v>
      </c>
      <c r="M35" s="8" t="s">
        <v>1541</v>
      </c>
      <c r="V35" s="45" t="s">
        <v>670</v>
      </c>
      <c r="W35" s="45" t="s">
        <v>241</v>
      </c>
      <c r="X35" s="84" t="s">
        <v>449</v>
      </c>
    </row>
    <row r="36" spans="1:24" x14ac:dyDescent="0.3">
      <c r="A36" s="81" t="s">
        <v>1660</v>
      </c>
      <c r="B36" s="136" t="s">
        <v>4623</v>
      </c>
      <c r="C36" s="84" t="s">
        <v>670</v>
      </c>
      <c r="D36" s="84" t="s">
        <v>351</v>
      </c>
      <c r="E36" s="45"/>
      <c r="F36" s="45" t="s">
        <v>1175</v>
      </c>
      <c r="G36" s="45" t="s">
        <v>1118</v>
      </c>
      <c r="J36" s="84" t="s">
        <v>451</v>
      </c>
      <c r="M36" s="8" t="s">
        <v>1542</v>
      </c>
      <c r="V36" s="45" t="s">
        <v>671</v>
      </c>
      <c r="W36" s="45" t="s">
        <v>240</v>
      </c>
      <c r="X36" s="84" t="s">
        <v>450</v>
      </c>
    </row>
    <row r="37" spans="1:24" x14ac:dyDescent="0.3">
      <c r="A37" s="81" t="s">
        <v>1663</v>
      </c>
      <c r="B37" s="136" t="s">
        <v>3088</v>
      </c>
      <c r="C37" s="84" t="s">
        <v>671</v>
      </c>
      <c r="D37" s="84" t="s">
        <v>352</v>
      </c>
      <c r="E37" s="45"/>
      <c r="F37" s="45" t="s">
        <v>1180</v>
      </c>
      <c r="G37" s="45" t="s">
        <v>1119</v>
      </c>
      <c r="J37" s="84" t="s">
        <v>452</v>
      </c>
      <c r="M37" s="8" t="s">
        <v>1543</v>
      </c>
      <c r="V37" s="45" t="s">
        <v>672</v>
      </c>
      <c r="W37" s="45" t="s">
        <v>836</v>
      </c>
      <c r="X37" s="84" t="s">
        <v>451</v>
      </c>
    </row>
    <row r="38" spans="1:24" x14ac:dyDescent="0.3">
      <c r="A38" s="81" t="s">
        <v>1667</v>
      </c>
      <c r="B38" s="136" t="s">
        <v>3099</v>
      </c>
      <c r="C38" s="84" t="s">
        <v>672</v>
      </c>
      <c r="D38" s="84" t="s">
        <v>353</v>
      </c>
      <c r="E38" s="45"/>
      <c r="F38" s="45" t="s">
        <v>1182</v>
      </c>
      <c r="G38" s="45" t="s">
        <v>1120</v>
      </c>
      <c r="J38" s="84" t="s">
        <v>453</v>
      </c>
      <c r="M38" s="8" t="s">
        <v>1544</v>
      </c>
      <c r="V38" s="45" t="s">
        <v>673</v>
      </c>
      <c r="W38" s="45" t="s">
        <v>837</v>
      </c>
      <c r="X38" s="84" t="s">
        <v>452</v>
      </c>
    </row>
    <row r="39" spans="1:24" x14ac:dyDescent="0.3">
      <c r="A39" s="81" t="s">
        <v>1672</v>
      </c>
      <c r="B39" s="136" t="s">
        <v>3089</v>
      </c>
      <c r="C39" s="84" t="s">
        <v>673</v>
      </c>
      <c r="D39" s="84" t="s">
        <v>194</v>
      </c>
      <c r="E39" s="45"/>
      <c r="F39" s="45" t="s">
        <v>1186</v>
      </c>
      <c r="G39" s="45" t="s">
        <v>1121</v>
      </c>
      <c r="J39" s="84" t="s">
        <v>454</v>
      </c>
      <c r="M39" s="8" t="s">
        <v>1545</v>
      </c>
      <c r="V39" s="45" t="s">
        <v>674</v>
      </c>
      <c r="W39" s="45" t="s">
        <v>838</v>
      </c>
      <c r="X39" s="84" t="s">
        <v>453</v>
      </c>
    </row>
    <row r="40" spans="1:24" x14ac:dyDescent="0.3">
      <c r="A40" s="81" t="s">
        <v>160</v>
      </c>
      <c r="B40" s="136" t="s">
        <v>3100</v>
      </c>
      <c r="C40" s="84" t="s">
        <v>674</v>
      </c>
      <c r="D40" s="84" t="s">
        <v>354</v>
      </c>
      <c r="E40" s="45"/>
      <c r="F40" s="45" t="s">
        <v>1188</v>
      </c>
      <c r="G40" s="45" t="s">
        <v>1122</v>
      </c>
      <c r="J40" s="84" t="s">
        <v>455</v>
      </c>
      <c r="M40" s="8" t="s">
        <v>1546</v>
      </c>
      <c r="V40" s="45" t="s">
        <v>675</v>
      </c>
      <c r="W40" s="45" t="s">
        <v>839</v>
      </c>
      <c r="X40" s="84" t="s">
        <v>454</v>
      </c>
    </row>
    <row r="41" spans="1:24" x14ac:dyDescent="0.3">
      <c r="A41" s="81" t="s">
        <v>167</v>
      </c>
      <c r="B41" s="136" t="s">
        <v>3078</v>
      </c>
      <c r="C41" s="84" t="s">
        <v>675</v>
      </c>
      <c r="D41" s="84" t="s">
        <v>355</v>
      </c>
      <c r="E41" s="45"/>
      <c r="F41" s="45" t="s">
        <v>1190</v>
      </c>
      <c r="G41" s="45" t="s">
        <v>1123</v>
      </c>
      <c r="J41" s="84" t="s">
        <v>456</v>
      </c>
      <c r="V41" s="45" t="s">
        <v>677</v>
      </c>
      <c r="W41" s="45" t="s">
        <v>840</v>
      </c>
      <c r="X41" s="84" t="s">
        <v>455</v>
      </c>
    </row>
    <row r="42" spans="1:24" x14ac:dyDescent="0.3">
      <c r="A42" s="81" t="s">
        <v>1718</v>
      </c>
      <c r="B42" s="136" t="s">
        <v>3079</v>
      </c>
      <c r="C42" s="84" t="s">
        <v>676</v>
      </c>
      <c r="D42" s="84" t="s">
        <v>356</v>
      </c>
      <c r="E42" s="45"/>
      <c r="F42" s="45" t="s">
        <v>1193</v>
      </c>
      <c r="G42" s="45" t="s">
        <v>1124</v>
      </c>
      <c r="J42" s="84" t="s">
        <v>457</v>
      </c>
      <c r="V42" s="45" t="s">
        <v>678</v>
      </c>
      <c r="W42" s="45" t="s">
        <v>841</v>
      </c>
      <c r="X42" s="84" t="s">
        <v>456</v>
      </c>
    </row>
    <row r="43" spans="1:24" x14ac:dyDescent="0.3">
      <c r="A43" s="81" t="s">
        <v>1724</v>
      </c>
      <c r="B43" s="136" t="s">
        <v>3090</v>
      </c>
      <c r="C43" s="84" t="s">
        <v>677</v>
      </c>
      <c r="D43" s="84" t="s">
        <v>325</v>
      </c>
      <c r="E43" s="45"/>
      <c r="F43" s="45" t="s">
        <v>1196</v>
      </c>
      <c r="G43" s="45" t="s">
        <v>1125</v>
      </c>
      <c r="J43" s="84" t="s">
        <v>458</v>
      </c>
      <c r="V43" s="45" t="s">
        <v>679</v>
      </c>
      <c r="W43" s="45" t="s">
        <v>842</v>
      </c>
      <c r="X43" s="84" t="s">
        <v>457</v>
      </c>
    </row>
    <row r="44" spans="1:24" x14ac:dyDescent="0.3">
      <c r="A44" s="81" t="s">
        <v>1731</v>
      </c>
      <c r="B44" s="136" t="s">
        <v>3101</v>
      </c>
      <c r="C44" s="84" t="s">
        <v>678</v>
      </c>
      <c r="D44" s="84" t="s">
        <v>322</v>
      </c>
      <c r="E44" s="45"/>
      <c r="F44" s="45" t="s">
        <v>1201</v>
      </c>
      <c r="G44" s="45" t="s">
        <v>1126</v>
      </c>
      <c r="J44" s="84" t="s">
        <v>459</v>
      </c>
      <c r="V44" s="45" t="s">
        <v>681</v>
      </c>
      <c r="W44" s="45" t="s">
        <v>843</v>
      </c>
      <c r="X44" s="84" t="s">
        <v>458</v>
      </c>
    </row>
    <row r="45" spans="1:24" x14ac:dyDescent="0.3">
      <c r="A45" s="81" t="s">
        <v>1734</v>
      </c>
      <c r="B45" s="136" t="s">
        <v>3080</v>
      </c>
      <c r="C45" s="84" t="s">
        <v>679</v>
      </c>
      <c r="D45" s="84" t="s">
        <v>326</v>
      </c>
      <c r="E45" s="45"/>
      <c r="F45" s="45" t="s">
        <v>1210</v>
      </c>
      <c r="G45" s="45" t="s">
        <v>1128</v>
      </c>
      <c r="J45" s="84" t="s">
        <v>460</v>
      </c>
      <c r="V45" s="45" t="s">
        <v>682</v>
      </c>
      <c r="W45" s="45" t="s">
        <v>844</v>
      </c>
      <c r="X45" s="84" t="s">
        <v>459</v>
      </c>
    </row>
    <row r="46" spans="1:24" x14ac:dyDescent="0.3">
      <c r="A46" s="81" t="s">
        <v>1738</v>
      </c>
      <c r="B46" s="136" t="s">
        <v>3091</v>
      </c>
      <c r="C46" s="84" t="s">
        <v>680</v>
      </c>
      <c r="D46" s="84" t="s">
        <v>323</v>
      </c>
      <c r="E46" s="45"/>
      <c r="F46" s="45" t="s">
        <v>1211</v>
      </c>
      <c r="G46" s="45" t="s">
        <v>1129</v>
      </c>
      <c r="J46" s="84" t="s">
        <v>461</v>
      </c>
      <c r="V46" s="45" t="s">
        <v>684</v>
      </c>
      <c r="W46" s="45" t="s">
        <v>845</v>
      </c>
      <c r="X46" s="84" t="s">
        <v>460</v>
      </c>
    </row>
    <row r="47" spans="1:24" x14ac:dyDescent="0.3">
      <c r="A47" s="81" t="s">
        <v>1741</v>
      </c>
      <c r="B47" s="136" t="s">
        <v>3102</v>
      </c>
      <c r="C47" s="84" t="s">
        <v>681</v>
      </c>
      <c r="D47" s="84" t="s">
        <v>327</v>
      </c>
      <c r="E47" s="45"/>
      <c r="F47" s="45" t="s">
        <v>1212</v>
      </c>
      <c r="G47" s="45" t="s">
        <v>1130</v>
      </c>
      <c r="J47" s="84" t="s">
        <v>462</v>
      </c>
      <c r="V47" s="45" t="s">
        <v>685</v>
      </c>
      <c r="W47" s="45" t="s">
        <v>846</v>
      </c>
      <c r="X47" s="84" t="s">
        <v>461</v>
      </c>
    </row>
    <row r="48" spans="1:24" x14ac:dyDescent="0.3">
      <c r="A48" s="81" t="s">
        <v>193</v>
      </c>
      <c r="B48" s="136" t="s">
        <v>3081</v>
      </c>
      <c r="C48" s="84" t="s">
        <v>682</v>
      </c>
      <c r="D48" s="84" t="s">
        <v>324</v>
      </c>
      <c r="E48" s="45"/>
      <c r="F48" s="45" t="s">
        <v>1213</v>
      </c>
      <c r="G48" s="45" t="s">
        <v>1132</v>
      </c>
      <c r="J48" s="84" t="s">
        <v>463</v>
      </c>
      <c r="V48" s="45" t="s">
        <v>687</v>
      </c>
      <c r="W48" s="45" t="s">
        <v>236</v>
      </c>
      <c r="X48" s="84" t="s">
        <v>462</v>
      </c>
    </row>
    <row r="49" spans="1:24" x14ac:dyDescent="0.3">
      <c r="A49" s="81" t="s">
        <v>1748</v>
      </c>
      <c r="B49" s="136" t="s">
        <v>3092</v>
      </c>
      <c r="C49" s="84" t="s">
        <v>683</v>
      </c>
      <c r="D49" s="84" t="s">
        <v>328</v>
      </c>
      <c r="E49" s="45"/>
      <c r="F49" s="45" t="s">
        <v>1214</v>
      </c>
      <c r="G49" s="45" t="s">
        <v>1133</v>
      </c>
      <c r="J49" s="84" t="s">
        <v>464</v>
      </c>
      <c r="V49" s="45" t="s">
        <v>688</v>
      </c>
      <c r="W49" s="45" t="s">
        <v>209</v>
      </c>
      <c r="X49" s="84" t="s">
        <v>463</v>
      </c>
    </row>
    <row r="50" spans="1:24" x14ac:dyDescent="0.3">
      <c r="A50" s="81" t="s">
        <v>1751</v>
      </c>
      <c r="B50" s="136" t="s">
        <v>3082</v>
      </c>
      <c r="C50" s="84" t="s">
        <v>684</v>
      </c>
      <c r="D50" s="84" t="s">
        <v>360</v>
      </c>
      <c r="E50" s="45"/>
      <c r="F50" s="45" t="s">
        <v>1216</v>
      </c>
      <c r="G50" s="45" t="s">
        <v>1135</v>
      </c>
      <c r="J50" s="84" t="s">
        <v>465</v>
      </c>
      <c r="V50" s="45" t="s">
        <v>689</v>
      </c>
      <c r="W50" s="45" t="s">
        <v>235</v>
      </c>
      <c r="X50" s="84" t="s">
        <v>464</v>
      </c>
    </row>
    <row r="51" spans="1:24" x14ac:dyDescent="0.3">
      <c r="A51" s="81" t="s">
        <v>1754</v>
      </c>
      <c r="B51" s="136" t="s">
        <v>3093</v>
      </c>
      <c r="C51" s="84" t="s">
        <v>685</v>
      </c>
      <c r="D51" s="84" t="s">
        <v>359</v>
      </c>
      <c r="E51" s="45"/>
      <c r="F51" s="45" t="s">
        <v>1217</v>
      </c>
      <c r="G51" s="45" t="s">
        <v>1136</v>
      </c>
      <c r="J51" s="84" t="s">
        <v>466</v>
      </c>
      <c r="V51" s="45" t="s">
        <v>690</v>
      </c>
      <c r="W51" s="45" t="s">
        <v>848</v>
      </c>
      <c r="X51" s="84" t="s">
        <v>465</v>
      </c>
    </row>
    <row r="52" spans="1:24" x14ac:dyDescent="0.3">
      <c r="A52" s="81" t="s">
        <v>1757</v>
      </c>
      <c r="B52" s="136" t="s">
        <v>3083</v>
      </c>
      <c r="C52" s="84" t="s">
        <v>686</v>
      </c>
      <c r="D52" s="84" t="s">
        <v>358</v>
      </c>
      <c r="E52" s="45"/>
      <c r="F52" s="45" t="s">
        <v>1218</v>
      </c>
      <c r="G52" s="45" t="s">
        <v>1137</v>
      </c>
      <c r="J52" s="84" t="s">
        <v>467</v>
      </c>
      <c r="V52" s="45" t="s">
        <v>691</v>
      </c>
      <c r="W52" s="45" t="s">
        <v>850</v>
      </c>
      <c r="X52" s="84" t="s">
        <v>466</v>
      </c>
    </row>
    <row r="53" spans="1:24" x14ac:dyDescent="0.3">
      <c r="A53" s="81" t="s">
        <v>1760</v>
      </c>
      <c r="B53" s="136" t="s">
        <v>3094</v>
      </c>
      <c r="C53" s="84" t="s">
        <v>687</v>
      </c>
      <c r="D53" s="84" t="s">
        <v>363</v>
      </c>
      <c r="E53" s="45"/>
      <c r="F53" s="45" t="s">
        <v>1219</v>
      </c>
      <c r="G53" s="45" t="s">
        <v>1138</v>
      </c>
      <c r="J53" s="84" t="s">
        <v>468</v>
      </c>
      <c r="V53" s="45" t="s">
        <v>692</v>
      </c>
      <c r="W53" s="45" t="s">
        <v>243</v>
      </c>
      <c r="X53" s="84" t="s">
        <v>467</v>
      </c>
    </row>
    <row r="54" spans="1:24" x14ac:dyDescent="0.3">
      <c r="A54" s="81" t="s">
        <v>1763</v>
      </c>
      <c r="B54" s="136" t="s">
        <v>3084</v>
      </c>
      <c r="C54" s="84" t="s">
        <v>688</v>
      </c>
      <c r="D54" s="84" t="s">
        <v>361</v>
      </c>
      <c r="E54" s="45"/>
      <c r="F54" s="45" t="s">
        <v>1220</v>
      </c>
      <c r="G54" s="45" t="s">
        <v>1139</v>
      </c>
      <c r="J54" s="84" t="s">
        <v>469</v>
      </c>
      <c r="V54" s="45" t="s">
        <v>693</v>
      </c>
      <c r="W54" s="45" t="s">
        <v>208</v>
      </c>
      <c r="X54" s="84" t="s">
        <v>468</v>
      </c>
    </row>
    <row r="55" spans="1:24" x14ac:dyDescent="0.3">
      <c r="A55" s="81" t="s">
        <v>1769</v>
      </c>
      <c r="B55" s="136" t="s">
        <v>3095</v>
      </c>
      <c r="C55" s="84" t="s">
        <v>689</v>
      </c>
      <c r="D55" s="84" t="s">
        <v>357</v>
      </c>
      <c r="E55" s="45"/>
      <c r="F55" s="45" t="s">
        <v>1223</v>
      </c>
      <c r="G55" s="45" t="s">
        <v>1140</v>
      </c>
      <c r="J55" s="84" t="s">
        <v>470</v>
      </c>
      <c r="V55" s="45" t="s">
        <v>694</v>
      </c>
      <c r="W55" s="45" t="s">
        <v>239</v>
      </c>
      <c r="X55" s="84" t="s">
        <v>469</v>
      </c>
    </row>
    <row r="56" spans="1:24" x14ac:dyDescent="0.3">
      <c r="A56" s="81" t="s">
        <v>1775</v>
      </c>
      <c r="B56" s="136" t="s">
        <v>3085</v>
      </c>
      <c r="C56" s="84" t="s">
        <v>690</v>
      </c>
      <c r="D56" s="84" t="s">
        <v>329</v>
      </c>
      <c r="E56" s="45"/>
      <c r="G56" s="45" t="s">
        <v>1142</v>
      </c>
      <c r="J56" s="84" t="s">
        <v>411</v>
      </c>
      <c r="V56" s="45" t="s">
        <v>695</v>
      </c>
      <c r="W56" s="45" t="s">
        <v>238</v>
      </c>
      <c r="X56" s="84" t="s">
        <v>470</v>
      </c>
    </row>
    <row r="57" spans="1:24" x14ac:dyDescent="0.3">
      <c r="A57" s="81" t="s">
        <v>1781</v>
      </c>
      <c r="B57" s="136" t="s">
        <v>3096</v>
      </c>
      <c r="C57" s="84" t="s">
        <v>691</v>
      </c>
      <c r="D57" s="84" t="s">
        <v>334</v>
      </c>
      <c r="E57" s="45"/>
      <c r="G57" s="45" t="s">
        <v>632</v>
      </c>
      <c r="J57" s="84" t="s">
        <v>471</v>
      </c>
      <c r="V57" s="45" t="s">
        <v>696</v>
      </c>
      <c r="W57" s="45" t="s">
        <v>237</v>
      </c>
      <c r="X57" s="84" t="s">
        <v>411</v>
      </c>
    </row>
    <row r="58" spans="1:24" x14ac:dyDescent="0.3">
      <c r="A58" s="81" t="s">
        <v>1784</v>
      </c>
      <c r="B58" s="136" t="s">
        <v>3086</v>
      </c>
      <c r="C58" s="84" t="s">
        <v>692</v>
      </c>
      <c r="D58" s="84" t="s">
        <v>335</v>
      </c>
      <c r="E58" s="45"/>
      <c r="G58" s="45" t="s">
        <v>1143</v>
      </c>
      <c r="J58" s="84" t="s">
        <v>472</v>
      </c>
      <c r="V58" s="45" t="s">
        <v>697</v>
      </c>
      <c r="W58" s="45" t="s">
        <v>852</v>
      </c>
      <c r="X58" s="84" t="s">
        <v>471</v>
      </c>
    </row>
    <row r="59" spans="1:24" x14ac:dyDescent="0.3">
      <c r="A59" s="81" t="s">
        <v>1788</v>
      </c>
      <c r="B59" s="136" t="s">
        <v>3097</v>
      </c>
      <c r="C59" s="84" t="s">
        <v>693</v>
      </c>
      <c r="D59" s="84" t="s">
        <v>332</v>
      </c>
      <c r="E59" s="45"/>
      <c r="G59" s="45" t="s">
        <v>1144</v>
      </c>
      <c r="J59" s="84" t="s">
        <v>473</v>
      </c>
      <c r="V59" s="45" t="s">
        <v>698</v>
      </c>
      <c r="W59" s="45" t="s">
        <v>855</v>
      </c>
      <c r="X59" s="84" t="s">
        <v>472</v>
      </c>
    </row>
    <row r="60" spans="1:24" x14ac:dyDescent="0.3">
      <c r="A60" s="81" t="s">
        <v>1791</v>
      </c>
      <c r="B60" s="136" t="s">
        <v>3087</v>
      </c>
      <c r="C60" s="84" t="s">
        <v>694</v>
      </c>
      <c r="D60" s="84" t="s">
        <v>330</v>
      </c>
      <c r="E60" s="45"/>
      <c r="G60" s="45" t="s">
        <v>1145</v>
      </c>
      <c r="J60" s="84" t="s">
        <v>474</v>
      </c>
      <c r="V60" s="45" t="s">
        <v>699</v>
      </c>
      <c r="W60" s="45" t="s">
        <v>858</v>
      </c>
      <c r="X60" s="84" t="s">
        <v>473</v>
      </c>
    </row>
    <row r="61" spans="1:24" x14ac:dyDescent="0.3">
      <c r="A61" s="81" t="s">
        <v>1798</v>
      </c>
      <c r="B61" s="136" t="s">
        <v>3098</v>
      </c>
      <c r="C61" s="84" t="s">
        <v>695</v>
      </c>
      <c r="D61" s="84" t="s">
        <v>333</v>
      </c>
      <c r="E61" s="45"/>
      <c r="G61" s="45" t="s">
        <v>1147</v>
      </c>
      <c r="J61" s="84" t="s">
        <v>475</v>
      </c>
      <c r="V61" s="45" t="s">
        <v>700</v>
      </c>
      <c r="W61" s="45" t="s">
        <v>860</v>
      </c>
      <c r="X61" s="84" t="s">
        <v>474</v>
      </c>
    </row>
    <row r="62" spans="1:24" x14ac:dyDescent="0.3">
      <c r="A62" s="81" t="s">
        <v>1805</v>
      </c>
      <c r="B62" s="136" t="s">
        <v>3063</v>
      </c>
      <c r="C62" s="84" t="s">
        <v>696</v>
      </c>
      <c r="D62" s="84" t="s">
        <v>331</v>
      </c>
      <c r="E62" s="45"/>
      <c r="G62" s="45" t="s">
        <v>1148</v>
      </c>
      <c r="J62" s="84" t="s">
        <v>476</v>
      </c>
      <c r="V62" s="45" t="s">
        <v>701</v>
      </c>
      <c r="W62" s="45" t="s">
        <v>862</v>
      </c>
      <c r="X62" s="84" t="s">
        <v>475</v>
      </c>
    </row>
    <row r="63" spans="1:24" x14ac:dyDescent="0.3">
      <c r="A63" s="81" t="s">
        <v>1809</v>
      </c>
      <c r="B63" s="136" t="s">
        <v>3074</v>
      </c>
      <c r="C63" s="84" t="s">
        <v>697</v>
      </c>
      <c r="D63" s="84" t="s">
        <v>364</v>
      </c>
      <c r="E63" s="45"/>
      <c r="G63" s="45" t="s">
        <v>1149</v>
      </c>
      <c r="J63" s="84" t="s">
        <v>477</v>
      </c>
      <c r="V63" s="45" t="s">
        <v>702</v>
      </c>
      <c r="W63" s="45" t="s">
        <v>865</v>
      </c>
      <c r="X63" s="84" t="s">
        <v>476</v>
      </c>
    </row>
    <row r="64" spans="1:24" x14ac:dyDescent="0.3">
      <c r="A64" s="81" t="s">
        <v>1812</v>
      </c>
      <c r="B64" s="136" t="s">
        <v>3064</v>
      </c>
      <c r="C64" s="84" t="s">
        <v>698</v>
      </c>
      <c r="D64" s="84" t="s">
        <v>370</v>
      </c>
      <c r="E64" s="45"/>
      <c r="G64" s="45" t="s">
        <v>1150</v>
      </c>
      <c r="J64" s="84" t="s">
        <v>478</v>
      </c>
      <c r="V64" s="45" t="s">
        <v>703</v>
      </c>
      <c r="W64" s="45" t="s">
        <v>867</v>
      </c>
      <c r="X64" s="84" t="s">
        <v>477</v>
      </c>
    </row>
    <row r="65" spans="1:24" x14ac:dyDescent="0.3">
      <c r="A65" s="81" t="s">
        <v>1816</v>
      </c>
      <c r="B65" s="136" t="s">
        <v>3075</v>
      </c>
      <c r="C65" s="84" t="s">
        <v>699</v>
      </c>
      <c r="D65" s="84" t="s">
        <v>376</v>
      </c>
      <c r="E65" s="45"/>
      <c r="G65" s="45" t="s">
        <v>1151</v>
      </c>
      <c r="J65" s="84" t="s">
        <v>479</v>
      </c>
      <c r="V65" s="45" t="s">
        <v>704</v>
      </c>
      <c r="W65" s="45" t="s">
        <v>871</v>
      </c>
      <c r="X65" s="84" t="s">
        <v>478</v>
      </c>
    </row>
    <row r="66" spans="1:24" x14ac:dyDescent="0.3">
      <c r="A66" s="81" t="s">
        <v>165</v>
      </c>
      <c r="B66" s="136" t="s">
        <v>3053</v>
      </c>
      <c r="C66" s="84" t="s">
        <v>700</v>
      </c>
      <c r="D66" s="84" t="s">
        <v>366</v>
      </c>
      <c r="E66" s="45"/>
      <c r="G66" s="45" t="s">
        <v>1152</v>
      </c>
      <c r="J66" s="84" t="s">
        <v>416</v>
      </c>
      <c r="V66" s="45" t="s">
        <v>705</v>
      </c>
      <c r="W66" s="45" t="s">
        <v>873</v>
      </c>
      <c r="X66" s="84" t="s">
        <v>479</v>
      </c>
    </row>
    <row r="67" spans="1:24" x14ac:dyDescent="0.3">
      <c r="A67" s="81" t="s">
        <v>1828</v>
      </c>
      <c r="B67" s="136" t="s">
        <v>3054</v>
      </c>
      <c r="C67" s="84" t="s">
        <v>701</v>
      </c>
      <c r="D67" s="84" t="s">
        <v>367</v>
      </c>
      <c r="E67" s="45"/>
      <c r="G67" s="45" t="s">
        <v>1154</v>
      </c>
      <c r="J67" s="84" t="s">
        <v>480</v>
      </c>
      <c r="V67" s="45" t="s">
        <v>706</v>
      </c>
      <c r="W67" s="45" t="s">
        <v>874</v>
      </c>
      <c r="X67" s="84" t="s">
        <v>416</v>
      </c>
    </row>
    <row r="68" spans="1:24" x14ac:dyDescent="0.3">
      <c r="A68" s="81" t="s">
        <v>1831</v>
      </c>
      <c r="B68" s="136" t="s">
        <v>3065</v>
      </c>
      <c r="C68" s="84" t="s">
        <v>702</v>
      </c>
      <c r="D68" s="84" t="s">
        <v>365</v>
      </c>
      <c r="E68" s="45"/>
      <c r="G68" s="45" t="s">
        <v>1155</v>
      </c>
      <c r="J68" s="84" t="s">
        <v>481</v>
      </c>
      <c r="V68" s="45" t="s">
        <v>707</v>
      </c>
      <c r="W68" s="45" t="s">
        <v>876</v>
      </c>
      <c r="X68" s="84" t="s">
        <v>480</v>
      </c>
    </row>
    <row r="69" spans="1:24" x14ac:dyDescent="0.3">
      <c r="A69" s="81" t="s">
        <v>1883</v>
      </c>
      <c r="B69" s="136" t="s">
        <v>3076</v>
      </c>
      <c r="C69" s="84" t="s">
        <v>703</v>
      </c>
      <c r="D69" s="84" t="s">
        <v>373</v>
      </c>
      <c r="E69" s="45"/>
      <c r="G69" s="45" t="s">
        <v>1156</v>
      </c>
      <c r="J69" s="84" t="s">
        <v>482</v>
      </c>
      <c r="V69" s="45" t="s">
        <v>708</v>
      </c>
      <c r="W69" s="45" t="s">
        <v>877</v>
      </c>
      <c r="X69" s="84" t="s">
        <v>481</v>
      </c>
    </row>
    <row r="70" spans="1:24" x14ac:dyDescent="0.3">
      <c r="A70" s="81" t="s">
        <v>1887</v>
      </c>
      <c r="B70" s="136" t="s">
        <v>3055</v>
      </c>
      <c r="C70" s="84" t="s">
        <v>704</v>
      </c>
      <c r="D70" s="84" t="s">
        <v>372</v>
      </c>
      <c r="E70" s="45"/>
      <c r="G70" s="45" t="s">
        <v>1158</v>
      </c>
      <c r="J70" s="84" t="s">
        <v>519</v>
      </c>
      <c r="V70" s="45" t="s">
        <v>709</v>
      </c>
      <c r="W70" s="45" t="s">
        <v>879</v>
      </c>
      <c r="X70" s="84" t="s">
        <v>482</v>
      </c>
    </row>
    <row r="71" spans="1:24" x14ac:dyDescent="0.3">
      <c r="B71" s="136" t="s">
        <v>3066</v>
      </c>
      <c r="C71" s="84" t="s">
        <v>705</v>
      </c>
      <c r="D71" s="84" t="s">
        <v>374</v>
      </c>
      <c r="E71" s="45"/>
      <c r="G71" s="45" t="s">
        <v>1159</v>
      </c>
      <c r="J71" s="84" t="s">
        <v>483</v>
      </c>
      <c r="V71" s="45" t="s">
        <v>710</v>
      </c>
      <c r="W71" s="45" t="s">
        <v>880</v>
      </c>
      <c r="X71" s="84" t="s">
        <v>519</v>
      </c>
    </row>
    <row r="72" spans="1:24" x14ac:dyDescent="0.3">
      <c r="B72" s="136" t="s">
        <v>3077</v>
      </c>
      <c r="C72" s="84" t="s">
        <v>706</v>
      </c>
      <c r="D72" s="84" t="s">
        <v>368</v>
      </c>
      <c r="E72" s="45"/>
      <c r="G72" s="45" t="s">
        <v>1160</v>
      </c>
      <c r="J72" s="84" t="s">
        <v>484</v>
      </c>
      <c r="V72" s="45" t="s">
        <v>711</v>
      </c>
      <c r="W72" s="45" t="s">
        <v>881</v>
      </c>
      <c r="X72" s="84" t="s">
        <v>483</v>
      </c>
    </row>
    <row r="73" spans="1:24" x14ac:dyDescent="0.3">
      <c r="B73" s="136" t="s">
        <v>3056</v>
      </c>
      <c r="C73" s="84" t="s">
        <v>707</v>
      </c>
      <c r="D73" s="84" t="s">
        <v>375</v>
      </c>
      <c r="E73" s="45"/>
      <c r="G73" s="45" t="s">
        <v>1161</v>
      </c>
      <c r="J73" s="84" t="s">
        <v>485</v>
      </c>
      <c r="V73" s="45" t="s">
        <v>712</v>
      </c>
      <c r="W73" s="45" t="s">
        <v>882</v>
      </c>
      <c r="X73" s="84" t="s">
        <v>484</v>
      </c>
    </row>
    <row r="74" spans="1:24" x14ac:dyDescent="0.3">
      <c r="B74" s="136" t="s">
        <v>3067</v>
      </c>
      <c r="C74" s="84" t="s">
        <v>708</v>
      </c>
      <c r="D74" s="84" t="s">
        <v>369</v>
      </c>
      <c r="E74" s="45"/>
      <c r="G74" s="45" t="s">
        <v>1162</v>
      </c>
      <c r="J74" s="84" t="s">
        <v>486</v>
      </c>
      <c r="V74" s="45" t="s">
        <v>713</v>
      </c>
      <c r="W74" s="45" t="s">
        <v>884</v>
      </c>
      <c r="X74" s="84" t="s">
        <v>485</v>
      </c>
    </row>
    <row r="75" spans="1:24" x14ac:dyDescent="0.3">
      <c r="B75" s="136" t="s">
        <v>3057</v>
      </c>
      <c r="C75" s="84" t="s">
        <v>709</v>
      </c>
      <c r="D75" s="84" t="s">
        <v>371</v>
      </c>
      <c r="E75" s="45"/>
      <c r="G75" s="45" t="s">
        <v>1163</v>
      </c>
      <c r="J75" s="84" t="s">
        <v>487</v>
      </c>
      <c r="V75" s="45" t="s">
        <v>714</v>
      </c>
      <c r="W75" s="45" t="s">
        <v>885</v>
      </c>
      <c r="X75" s="84" t="s">
        <v>486</v>
      </c>
    </row>
    <row r="76" spans="1:24" x14ac:dyDescent="0.3">
      <c r="B76" s="136" t="s">
        <v>3068</v>
      </c>
      <c r="C76" s="84" t="s">
        <v>710</v>
      </c>
      <c r="E76" s="45"/>
      <c r="G76" s="45" t="s">
        <v>1164</v>
      </c>
      <c r="J76" s="84" t="s">
        <v>488</v>
      </c>
      <c r="V76" s="45" t="s">
        <v>715</v>
      </c>
      <c r="W76" s="45" t="s">
        <v>886</v>
      </c>
      <c r="X76" s="84" t="s">
        <v>487</v>
      </c>
    </row>
    <row r="77" spans="1:24" x14ac:dyDescent="0.3">
      <c r="B77" s="136" t="s">
        <v>3058</v>
      </c>
      <c r="C77" s="84" t="s">
        <v>711</v>
      </c>
      <c r="D77" s="45"/>
      <c r="E77" s="45"/>
      <c r="G77" s="45" t="s">
        <v>1165</v>
      </c>
      <c r="J77" s="84" t="s">
        <v>489</v>
      </c>
      <c r="V77" s="45" t="s">
        <v>716</v>
      </c>
      <c r="W77" s="45" t="s">
        <v>887</v>
      </c>
      <c r="X77" s="84" t="s">
        <v>488</v>
      </c>
    </row>
    <row r="78" spans="1:24" x14ac:dyDescent="0.3">
      <c r="B78" s="136" t="s">
        <v>3069</v>
      </c>
      <c r="C78" s="84" t="s">
        <v>712</v>
      </c>
      <c r="D78" s="45"/>
      <c r="E78" s="45"/>
      <c r="G78" s="45" t="s">
        <v>1166</v>
      </c>
      <c r="J78" s="84" t="s">
        <v>490</v>
      </c>
      <c r="V78" s="45" t="s">
        <v>717</v>
      </c>
      <c r="W78" s="45" t="s">
        <v>888</v>
      </c>
      <c r="X78" s="84" t="s">
        <v>489</v>
      </c>
    </row>
    <row r="79" spans="1:24" x14ac:dyDescent="0.3">
      <c r="B79" s="136" t="s">
        <v>3059</v>
      </c>
      <c r="C79" s="84" t="s">
        <v>713</v>
      </c>
      <c r="D79" s="45"/>
      <c r="E79" s="45"/>
      <c r="G79" s="45" t="s">
        <v>1168</v>
      </c>
      <c r="J79" s="84" t="s">
        <v>491</v>
      </c>
      <c r="V79" s="45" t="s">
        <v>718</v>
      </c>
      <c r="W79" s="45" t="s">
        <v>889</v>
      </c>
      <c r="X79" s="84" t="s">
        <v>490</v>
      </c>
    </row>
    <row r="80" spans="1:24" x14ac:dyDescent="0.3">
      <c r="B80" s="136" t="s">
        <v>3070</v>
      </c>
      <c r="C80" s="84" t="s">
        <v>714</v>
      </c>
      <c r="D80" s="45"/>
      <c r="E80" s="45"/>
      <c r="G80" s="45" t="s">
        <v>1169</v>
      </c>
      <c r="J80" s="84" t="s">
        <v>492</v>
      </c>
      <c r="V80" s="45" t="s">
        <v>719</v>
      </c>
      <c r="W80" s="45" t="s">
        <v>891</v>
      </c>
      <c r="X80" s="84" t="s">
        <v>491</v>
      </c>
    </row>
    <row r="81" spans="2:24" x14ac:dyDescent="0.3">
      <c r="B81" s="136" t="s">
        <v>3060</v>
      </c>
      <c r="C81" s="84" t="s">
        <v>715</v>
      </c>
      <c r="D81" s="45"/>
      <c r="E81" s="45"/>
      <c r="G81" s="45" t="s">
        <v>1170</v>
      </c>
      <c r="J81" s="84" t="s">
        <v>493</v>
      </c>
      <c r="V81" s="45" t="s">
        <v>721</v>
      </c>
      <c r="W81" s="45" t="s">
        <v>898</v>
      </c>
      <c r="X81" s="84" t="s">
        <v>492</v>
      </c>
    </row>
    <row r="82" spans="2:24" x14ac:dyDescent="0.3">
      <c r="B82" s="136" t="s">
        <v>3071</v>
      </c>
      <c r="C82" s="84" t="s">
        <v>716</v>
      </c>
      <c r="D82" s="45"/>
      <c r="E82" s="45"/>
      <c r="G82" s="45" t="s">
        <v>1172</v>
      </c>
      <c r="J82" s="84" t="s">
        <v>494</v>
      </c>
      <c r="V82" s="45" t="s">
        <v>722</v>
      </c>
      <c r="W82" s="45" t="s">
        <v>899</v>
      </c>
      <c r="X82" s="84" t="s">
        <v>493</v>
      </c>
    </row>
    <row r="83" spans="2:24" x14ac:dyDescent="0.3">
      <c r="B83" s="136" t="s">
        <v>3061</v>
      </c>
      <c r="C83" s="84" t="s">
        <v>717</v>
      </c>
      <c r="D83" s="45"/>
      <c r="E83" s="45"/>
      <c r="G83" s="45" t="s">
        <v>1173</v>
      </c>
      <c r="J83" s="84" t="s">
        <v>495</v>
      </c>
      <c r="V83" s="45" t="s">
        <v>723</v>
      </c>
      <c r="W83" s="45" t="s">
        <v>901</v>
      </c>
      <c r="X83" s="84" t="s">
        <v>494</v>
      </c>
    </row>
    <row r="84" spans="2:24" x14ac:dyDescent="0.3">
      <c r="B84" s="136" t="s">
        <v>3072</v>
      </c>
      <c r="C84" s="84" t="s">
        <v>718</v>
      </c>
      <c r="D84" s="45"/>
      <c r="E84" s="45"/>
      <c r="G84" s="45" t="s">
        <v>1174</v>
      </c>
      <c r="J84" s="84" t="s">
        <v>496</v>
      </c>
      <c r="V84" s="45" t="s">
        <v>724</v>
      </c>
      <c r="W84" s="45" t="s">
        <v>906</v>
      </c>
      <c r="X84" s="84" t="s">
        <v>495</v>
      </c>
    </row>
    <row r="85" spans="2:24" x14ac:dyDescent="0.3">
      <c r="B85" s="136" t="s">
        <v>3062</v>
      </c>
      <c r="C85" s="84" t="s">
        <v>719</v>
      </c>
      <c r="D85" s="45"/>
      <c r="E85" s="45"/>
      <c r="G85" s="45" t="s">
        <v>1176</v>
      </c>
      <c r="J85" s="84" t="s">
        <v>497</v>
      </c>
      <c r="V85" s="45" t="s">
        <v>725</v>
      </c>
      <c r="W85" s="45" t="s">
        <v>907</v>
      </c>
      <c r="X85" s="84" t="s">
        <v>496</v>
      </c>
    </row>
    <row r="86" spans="2:24" x14ac:dyDescent="0.3">
      <c r="B86" s="136" t="s">
        <v>3073</v>
      </c>
      <c r="C86" s="84" t="s">
        <v>720</v>
      </c>
      <c r="D86" s="45"/>
      <c r="E86" s="45"/>
      <c r="G86" s="45" t="s">
        <v>1177</v>
      </c>
      <c r="J86" s="84" t="s">
        <v>498</v>
      </c>
      <c r="V86" s="45" t="s">
        <v>726</v>
      </c>
      <c r="W86" s="45" t="s">
        <v>909</v>
      </c>
      <c r="X86" s="84" t="s">
        <v>497</v>
      </c>
    </row>
    <row r="87" spans="2:24" x14ac:dyDescent="0.3">
      <c r="B87" s="136" t="s">
        <v>2112</v>
      </c>
      <c r="C87" s="84" t="s">
        <v>721</v>
      </c>
      <c r="D87" s="45"/>
      <c r="E87" s="45"/>
      <c r="G87" s="45" t="s">
        <v>1178</v>
      </c>
      <c r="J87" s="84" t="s">
        <v>499</v>
      </c>
      <c r="V87" s="45" t="s">
        <v>727</v>
      </c>
      <c r="W87" s="45" t="s">
        <v>910</v>
      </c>
      <c r="X87" s="84" t="s">
        <v>498</v>
      </c>
    </row>
    <row r="88" spans="2:24" x14ac:dyDescent="0.3">
      <c r="B88" s="136" t="s">
        <v>2113</v>
      </c>
      <c r="C88" s="84" t="s">
        <v>722</v>
      </c>
      <c r="D88" s="45"/>
      <c r="E88" s="45"/>
      <c r="G88" s="45" t="s">
        <v>1179</v>
      </c>
      <c r="J88" s="84" t="s">
        <v>500</v>
      </c>
      <c r="V88" s="45" t="s">
        <v>728</v>
      </c>
      <c r="W88" s="45" t="s">
        <v>912</v>
      </c>
      <c r="X88" s="84" t="s">
        <v>499</v>
      </c>
    </row>
    <row r="89" spans="2:24" x14ac:dyDescent="0.3">
      <c r="B89" s="136" t="s">
        <v>2114</v>
      </c>
      <c r="C89" s="84" t="s">
        <v>723</v>
      </c>
      <c r="D89" s="45"/>
      <c r="E89" s="45"/>
      <c r="G89" s="45" t="s">
        <v>1180</v>
      </c>
      <c r="J89" s="84" t="s">
        <v>501</v>
      </c>
      <c r="V89" s="45" t="s">
        <v>729</v>
      </c>
      <c r="W89" s="45" t="s">
        <v>913</v>
      </c>
      <c r="X89" s="84" t="s">
        <v>500</v>
      </c>
    </row>
    <row r="90" spans="2:24" x14ac:dyDescent="0.3">
      <c r="B90" s="136" t="s">
        <v>2115</v>
      </c>
      <c r="C90" s="84" t="s">
        <v>724</v>
      </c>
      <c r="D90" s="45"/>
      <c r="E90" s="45"/>
      <c r="G90" s="45" t="s">
        <v>1181</v>
      </c>
      <c r="J90" s="84" t="s">
        <v>502</v>
      </c>
      <c r="V90" s="45" t="s">
        <v>730</v>
      </c>
      <c r="W90" s="45" t="s">
        <v>914</v>
      </c>
      <c r="X90" s="84" t="s">
        <v>501</v>
      </c>
    </row>
    <row r="91" spans="2:24" x14ac:dyDescent="0.3">
      <c r="B91" s="136" t="s">
        <v>2116</v>
      </c>
      <c r="C91" s="84" t="s">
        <v>725</v>
      </c>
      <c r="D91" s="45"/>
      <c r="E91" s="45"/>
      <c r="G91" s="45" t="s">
        <v>1183</v>
      </c>
      <c r="J91" s="84" t="s">
        <v>503</v>
      </c>
      <c r="V91" s="45" t="s">
        <v>731</v>
      </c>
      <c r="W91" s="45" t="s">
        <v>917</v>
      </c>
      <c r="X91" s="84" t="s">
        <v>502</v>
      </c>
    </row>
    <row r="92" spans="2:24" x14ac:dyDescent="0.3">
      <c r="B92" s="136" t="s">
        <v>1631</v>
      </c>
      <c r="C92" s="84" t="s">
        <v>726</v>
      </c>
      <c r="D92" s="45"/>
      <c r="E92" s="45"/>
      <c r="G92" s="45" t="s">
        <v>1184</v>
      </c>
      <c r="J92" s="84" t="s">
        <v>504</v>
      </c>
      <c r="V92" s="45" t="s">
        <v>733</v>
      </c>
      <c r="W92" s="45" t="s">
        <v>918</v>
      </c>
      <c r="X92" s="84" t="s">
        <v>503</v>
      </c>
    </row>
    <row r="93" spans="2:24" x14ac:dyDescent="0.3">
      <c r="B93" s="136" t="s">
        <v>1634</v>
      </c>
      <c r="C93" s="84" t="s">
        <v>727</v>
      </c>
      <c r="D93" s="45"/>
      <c r="E93" s="45"/>
      <c r="G93" s="45" t="s">
        <v>1185</v>
      </c>
      <c r="J93" s="84" t="s">
        <v>505</v>
      </c>
      <c r="V93" s="45" t="s">
        <v>735</v>
      </c>
      <c r="W93" s="45" t="s">
        <v>920</v>
      </c>
      <c r="X93" s="84" t="s">
        <v>504</v>
      </c>
    </row>
    <row r="94" spans="2:24" x14ac:dyDescent="0.3">
      <c r="B94" s="136" t="s">
        <v>2117</v>
      </c>
      <c r="C94" s="84" t="s">
        <v>728</v>
      </c>
      <c r="D94" s="45"/>
      <c r="E94" s="45"/>
      <c r="G94" s="45" t="s">
        <v>1187</v>
      </c>
      <c r="J94" s="84" t="s">
        <v>506</v>
      </c>
      <c r="V94" s="45" t="s">
        <v>736</v>
      </c>
      <c r="W94" s="45" t="s">
        <v>921</v>
      </c>
      <c r="X94" s="84" t="s">
        <v>505</v>
      </c>
    </row>
    <row r="95" spans="2:24" x14ac:dyDescent="0.3">
      <c r="B95" s="136" t="s">
        <v>2118</v>
      </c>
      <c r="C95" s="84" t="s">
        <v>729</v>
      </c>
      <c r="D95" s="45"/>
      <c r="E95" s="45"/>
      <c r="G95" s="45" t="s">
        <v>1188</v>
      </c>
      <c r="J95" s="84" t="s">
        <v>507</v>
      </c>
      <c r="V95" s="45" t="s">
        <v>737</v>
      </c>
      <c r="W95" s="45" t="s">
        <v>922</v>
      </c>
      <c r="X95" s="84" t="s">
        <v>506</v>
      </c>
    </row>
    <row r="96" spans="2:24" x14ac:dyDescent="0.3">
      <c r="B96" s="136" t="s">
        <v>2119</v>
      </c>
      <c r="C96" s="84" t="s">
        <v>730</v>
      </c>
      <c r="D96" s="45"/>
      <c r="E96" s="45"/>
      <c r="G96" s="45" t="s">
        <v>1189</v>
      </c>
      <c r="J96" s="84" t="s">
        <v>508</v>
      </c>
      <c r="V96" s="45" t="s">
        <v>738</v>
      </c>
      <c r="W96" s="45" t="s">
        <v>923</v>
      </c>
      <c r="X96" s="84" t="s">
        <v>507</v>
      </c>
    </row>
    <row r="97" spans="2:24" x14ac:dyDescent="0.3">
      <c r="B97" s="136" t="s">
        <v>1635</v>
      </c>
      <c r="C97" s="84" t="s">
        <v>731</v>
      </c>
      <c r="D97" s="45"/>
      <c r="E97" s="45"/>
      <c r="G97" s="45" t="s">
        <v>1190</v>
      </c>
      <c r="J97" s="84" t="s">
        <v>509</v>
      </c>
      <c r="V97" s="45" t="s">
        <v>217</v>
      </c>
      <c r="W97" s="45" t="s">
        <v>924</v>
      </c>
      <c r="X97" s="84" t="s">
        <v>508</v>
      </c>
    </row>
    <row r="98" spans="2:24" x14ac:dyDescent="0.3">
      <c r="B98" s="136" t="s">
        <v>2120</v>
      </c>
      <c r="C98" s="84" t="s">
        <v>732</v>
      </c>
      <c r="D98" s="45"/>
      <c r="E98" s="45"/>
      <c r="G98" s="45" t="s">
        <v>1191</v>
      </c>
      <c r="J98" s="84" t="s">
        <v>418</v>
      </c>
      <c r="V98" s="45" t="s">
        <v>739</v>
      </c>
      <c r="W98" s="45" t="s">
        <v>925</v>
      </c>
      <c r="X98" s="84" t="s">
        <v>509</v>
      </c>
    </row>
    <row r="99" spans="2:24" x14ac:dyDescent="0.3">
      <c r="B99" s="136" t="s">
        <v>2121</v>
      </c>
      <c r="C99" s="84" t="s">
        <v>733</v>
      </c>
      <c r="D99" s="45"/>
      <c r="E99" s="45"/>
      <c r="G99" s="45" t="s">
        <v>1192</v>
      </c>
      <c r="J99" s="84" t="s">
        <v>510</v>
      </c>
      <c r="V99" s="45" t="s">
        <v>740</v>
      </c>
      <c r="W99" s="45" t="s">
        <v>927</v>
      </c>
      <c r="X99" s="84" t="s">
        <v>418</v>
      </c>
    </row>
    <row r="100" spans="2:24" x14ac:dyDescent="0.3">
      <c r="B100" s="136" t="s">
        <v>2122</v>
      </c>
      <c r="C100" s="84" t="s">
        <v>734</v>
      </c>
      <c r="D100" s="45"/>
      <c r="E100" s="45"/>
      <c r="G100" s="45" t="s">
        <v>1193</v>
      </c>
      <c r="J100" s="84" t="s">
        <v>413</v>
      </c>
      <c r="V100" s="45" t="s">
        <v>741</v>
      </c>
      <c r="W100" s="45" t="s">
        <v>928</v>
      </c>
      <c r="X100" s="84" t="s">
        <v>510</v>
      </c>
    </row>
    <row r="101" spans="2:24" x14ac:dyDescent="0.3">
      <c r="B101" s="136" t="s">
        <v>1636</v>
      </c>
      <c r="C101" s="84" t="s">
        <v>735</v>
      </c>
      <c r="D101" s="45"/>
      <c r="E101" s="45"/>
      <c r="G101" s="45" t="s">
        <v>1096</v>
      </c>
      <c r="J101" s="84" t="s">
        <v>520</v>
      </c>
      <c r="V101" s="45" t="s">
        <v>742</v>
      </c>
      <c r="W101" s="45" t="s">
        <v>929</v>
      </c>
      <c r="X101" s="84" t="s">
        <v>413</v>
      </c>
    </row>
    <row r="102" spans="2:24" x14ac:dyDescent="0.3">
      <c r="B102" s="136" t="s">
        <v>2123</v>
      </c>
      <c r="C102" s="84" t="s">
        <v>736</v>
      </c>
      <c r="D102" s="45"/>
      <c r="E102" s="45"/>
      <c r="G102" s="45" t="s">
        <v>1194</v>
      </c>
      <c r="J102" s="84" t="s">
        <v>417</v>
      </c>
      <c r="V102" s="45" t="s">
        <v>743</v>
      </c>
      <c r="W102" s="45" t="s">
        <v>932</v>
      </c>
      <c r="X102" s="84" t="s">
        <v>520</v>
      </c>
    </row>
    <row r="103" spans="2:24" x14ac:dyDescent="0.3">
      <c r="B103" s="136" t="s">
        <v>1637</v>
      </c>
      <c r="C103" s="84" t="s">
        <v>737</v>
      </c>
      <c r="D103" s="45"/>
      <c r="E103" s="45"/>
      <c r="G103" s="45" t="s">
        <v>1195</v>
      </c>
      <c r="J103" s="84" t="s">
        <v>511</v>
      </c>
      <c r="V103" s="45" t="s">
        <v>747</v>
      </c>
      <c r="W103" s="45" t="s">
        <v>933</v>
      </c>
      <c r="X103" s="84" t="s">
        <v>417</v>
      </c>
    </row>
    <row r="104" spans="2:24" x14ac:dyDescent="0.3">
      <c r="B104" s="136" t="s">
        <v>2124</v>
      </c>
      <c r="C104" s="84" t="s">
        <v>738</v>
      </c>
      <c r="D104" s="45"/>
      <c r="E104" s="45"/>
      <c r="G104" s="45" t="s">
        <v>1196</v>
      </c>
      <c r="J104" s="84" t="s">
        <v>512</v>
      </c>
      <c r="V104" s="45" t="s">
        <v>749</v>
      </c>
      <c r="W104" s="45" t="s">
        <v>934</v>
      </c>
      <c r="X104" s="84" t="s">
        <v>511</v>
      </c>
    </row>
    <row r="105" spans="2:24" x14ac:dyDescent="0.3">
      <c r="B105" s="136" t="s">
        <v>2125</v>
      </c>
      <c r="C105" s="84" t="s">
        <v>217</v>
      </c>
      <c r="D105" s="45"/>
      <c r="E105" s="45"/>
      <c r="G105" s="45" t="s">
        <v>1197</v>
      </c>
      <c r="J105" s="84" t="s">
        <v>513</v>
      </c>
      <c r="V105" s="45" t="s">
        <v>750</v>
      </c>
      <c r="W105" s="45" t="s">
        <v>935</v>
      </c>
      <c r="X105" s="84" t="s">
        <v>512</v>
      </c>
    </row>
    <row r="106" spans="2:24" x14ac:dyDescent="0.3">
      <c r="B106" s="136" t="s">
        <v>2126</v>
      </c>
      <c r="C106" s="84" t="s">
        <v>739</v>
      </c>
      <c r="D106" s="45"/>
      <c r="E106" s="45"/>
      <c r="G106" s="45" t="s">
        <v>1198</v>
      </c>
      <c r="J106" s="84" t="s">
        <v>414</v>
      </c>
      <c r="V106" s="45" t="s">
        <v>751</v>
      </c>
      <c r="W106" s="45" t="s">
        <v>938</v>
      </c>
      <c r="X106" s="84" t="s">
        <v>513</v>
      </c>
    </row>
    <row r="107" spans="2:24" x14ac:dyDescent="0.3">
      <c r="B107" s="136" t="s">
        <v>1638</v>
      </c>
      <c r="C107" s="84" t="s">
        <v>740</v>
      </c>
      <c r="D107" s="45"/>
      <c r="E107" s="45"/>
      <c r="G107" s="45" t="s">
        <v>1199</v>
      </c>
      <c r="J107" s="84" t="s">
        <v>514</v>
      </c>
      <c r="V107" s="45" t="s">
        <v>752</v>
      </c>
      <c r="W107" s="45" t="s">
        <v>948</v>
      </c>
      <c r="X107" s="84" t="s">
        <v>414</v>
      </c>
    </row>
    <row r="108" spans="2:24" x14ac:dyDescent="0.3">
      <c r="B108" s="136" t="s">
        <v>2127</v>
      </c>
      <c r="C108" s="84" t="s">
        <v>741</v>
      </c>
      <c r="D108" s="45"/>
      <c r="E108" s="45"/>
      <c r="G108" s="45" t="s">
        <v>1200</v>
      </c>
      <c r="J108" s="84" t="s">
        <v>515</v>
      </c>
      <c r="V108" s="45" t="s">
        <v>753</v>
      </c>
      <c r="W108" s="45" t="s">
        <v>949</v>
      </c>
      <c r="X108" s="84" t="s">
        <v>514</v>
      </c>
    </row>
    <row r="109" spans="2:24" x14ac:dyDescent="0.3">
      <c r="B109" s="136" t="s">
        <v>2128</v>
      </c>
      <c r="C109" s="84" t="s">
        <v>742</v>
      </c>
      <c r="D109" s="45"/>
      <c r="E109" s="45"/>
      <c r="G109" s="45" t="s">
        <v>1201</v>
      </c>
      <c r="J109" s="84" t="s">
        <v>521</v>
      </c>
      <c r="V109" s="45" t="s">
        <v>754</v>
      </c>
      <c r="W109" s="45" t="s">
        <v>950</v>
      </c>
      <c r="X109" s="84" t="s">
        <v>515</v>
      </c>
    </row>
    <row r="110" spans="2:24" x14ac:dyDescent="0.3">
      <c r="B110" s="136" t="s">
        <v>2129</v>
      </c>
      <c r="C110" s="84" t="s">
        <v>743</v>
      </c>
      <c r="D110" s="45"/>
      <c r="E110" s="45"/>
      <c r="G110" s="45" t="s">
        <v>1202</v>
      </c>
      <c r="J110" s="84" t="s">
        <v>516</v>
      </c>
      <c r="V110" s="45" t="s">
        <v>755</v>
      </c>
      <c r="W110" s="45" t="s">
        <v>952</v>
      </c>
      <c r="X110" s="84" t="s">
        <v>521</v>
      </c>
    </row>
    <row r="111" spans="2:24" x14ac:dyDescent="0.3">
      <c r="B111" s="136" t="s">
        <v>2130</v>
      </c>
      <c r="C111" s="84" t="s">
        <v>744</v>
      </c>
      <c r="D111" s="45"/>
      <c r="E111" s="45"/>
      <c r="G111" s="45" t="s">
        <v>1203</v>
      </c>
      <c r="J111" s="84" t="s">
        <v>517</v>
      </c>
      <c r="V111" s="45" t="s">
        <v>756</v>
      </c>
      <c r="W111" s="45" t="s">
        <v>953</v>
      </c>
      <c r="X111" s="84" t="s">
        <v>516</v>
      </c>
    </row>
    <row r="112" spans="2:24" x14ac:dyDescent="0.3">
      <c r="B112" s="136" t="s">
        <v>2131</v>
      </c>
      <c r="C112" s="84" t="s">
        <v>745</v>
      </c>
      <c r="D112" s="45"/>
      <c r="E112" s="45"/>
      <c r="G112" s="45" t="s">
        <v>1204</v>
      </c>
      <c r="J112" s="84" t="s">
        <v>518</v>
      </c>
      <c r="V112" s="45" t="s">
        <v>757</v>
      </c>
      <c r="W112" s="45" t="s">
        <v>960</v>
      </c>
      <c r="X112" s="84" t="s">
        <v>517</v>
      </c>
    </row>
    <row r="113" spans="2:24" x14ac:dyDescent="0.3">
      <c r="B113" s="136" t="s">
        <v>2132</v>
      </c>
      <c r="C113" s="84" t="s">
        <v>746</v>
      </c>
      <c r="D113" s="45"/>
      <c r="E113" s="45"/>
      <c r="G113" s="45" t="s">
        <v>1205</v>
      </c>
      <c r="J113" s="84" t="s">
        <v>1238</v>
      </c>
      <c r="V113" s="45" t="s">
        <v>758</v>
      </c>
      <c r="W113" s="45" t="s">
        <v>962</v>
      </c>
      <c r="X113" s="84" t="s">
        <v>518</v>
      </c>
    </row>
    <row r="114" spans="2:24" x14ac:dyDescent="0.3">
      <c r="B114" s="136" t="s">
        <v>2133</v>
      </c>
      <c r="C114" s="84" t="s">
        <v>204</v>
      </c>
      <c r="D114" s="45"/>
      <c r="E114" s="45"/>
      <c r="G114" s="45" t="s">
        <v>1206</v>
      </c>
      <c r="J114" s="84" t="s">
        <v>1395</v>
      </c>
      <c r="V114" s="45" t="s">
        <v>759</v>
      </c>
      <c r="W114" s="45" t="s">
        <v>975</v>
      </c>
      <c r="X114" s="84" t="s">
        <v>1238</v>
      </c>
    </row>
    <row r="115" spans="2:24" x14ac:dyDescent="0.3">
      <c r="B115" s="136" t="s">
        <v>2774</v>
      </c>
      <c r="C115" s="84" t="s">
        <v>747</v>
      </c>
      <c r="D115" s="45"/>
      <c r="E115" s="45"/>
      <c r="G115" s="45" t="s">
        <v>1207</v>
      </c>
      <c r="J115" s="84" t="s">
        <v>1396</v>
      </c>
      <c r="V115" s="45" t="s">
        <v>210</v>
      </c>
      <c r="W115" s="45" t="s">
        <v>978</v>
      </c>
      <c r="X115" s="84" t="s">
        <v>1395</v>
      </c>
    </row>
    <row r="116" spans="2:24" x14ac:dyDescent="0.3">
      <c r="B116" s="136" t="s">
        <v>2785</v>
      </c>
      <c r="C116" s="84" t="s">
        <v>748</v>
      </c>
      <c r="D116" s="45"/>
      <c r="E116" s="45"/>
      <c r="G116" s="45" t="s">
        <v>1208</v>
      </c>
      <c r="V116" s="45" t="s">
        <v>760</v>
      </c>
      <c r="W116" s="45" t="s">
        <v>979</v>
      </c>
      <c r="X116" s="84" t="s">
        <v>1396</v>
      </c>
    </row>
    <row r="117" spans="2:24" x14ac:dyDescent="0.3">
      <c r="B117" s="136" t="s">
        <v>2775</v>
      </c>
      <c r="C117" s="84" t="s">
        <v>749</v>
      </c>
      <c r="D117" s="45"/>
      <c r="E117" s="45"/>
      <c r="G117" s="45" t="s">
        <v>1209</v>
      </c>
      <c r="V117" s="45" t="s">
        <v>761</v>
      </c>
      <c r="W117" s="45" t="s">
        <v>980</v>
      </c>
    </row>
    <row r="118" spans="2:24" x14ac:dyDescent="0.3">
      <c r="B118" s="136" t="s">
        <v>2786</v>
      </c>
      <c r="C118" s="84" t="s">
        <v>750</v>
      </c>
      <c r="D118" s="45"/>
      <c r="E118" s="45"/>
      <c r="G118" s="45" t="s">
        <v>1210</v>
      </c>
      <c r="V118" s="45" t="s">
        <v>762</v>
      </c>
      <c r="W118" s="45" t="s">
        <v>981</v>
      </c>
    </row>
    <row r="119" spans="2:24" x14ac:dyDescent="0.3">
      <c r="B119" s="136" t="s">
        <v>2787</v>
      </c>
      <c r="C119" s="84" t="s">
        <v>751</v>
      </c>
      <c r="D119" s="45"/>
      <c r="E119" s="45"/>
      <c r="G119" s="45" t="s">
        <v>1211</v>
      </c>
      <c r="V119" s="45" t="s">
        <v>763</v>
      </c>
      <c r="W119" s="45" t="s">
        <v>982</v>
      </c>
    </row>
    <row r="120" spans="2:24" x14ac:dyDescent="0.3">
      <c r="B120" s="136" t="s">
        <v>2764</v>
      </c>
      <c r="C120" s="84" t="s">
        <v>752</v>
      </c>
      <c r="D120" s="45"/>
      <c r="E120" s="45"/>
      <c r="G120" s="45" t="s">
        <v>1212</v>
      </c>
      <c r="V120" s="45" t="s">
        <v>764</v>
      </c>
      <c r="W120" s="45" t="s">
        <v>983</v>
      </c>
    </row>
    <row r="121" spans="2:24" x14ac:dyDescent="0.3">
      <c r="B121" s="136" t="s">
        <v>2765</v>
      </c>
      <c r="C121" s="84" t="s">
        <v>753</v>
      </c>
      <c r="D121" s="45"/>
      <c r="E121" s="45"/>
      <c r="G121" s="45" t="s">
        <v>1213</v>
      </c>
      <c r="V121" s="45" t="s">
        <v>765</v>
      </c>
      <c r="W121" s="45" t="s">
        <v>248</v>
      </c>
    </row>
    <row r="122" spans="2:24" x14ac:dyDescent="0.3">
      <c r="B122" s="136" t="s">
        <v>4624</v>
      </c>
      <c r="C122" s="84" t="s">
        <v>754</v>
      </c>
      <c r="D122" s="45"/>
      <c r="E122" s="45"/>
      <c r="G122" s="45" t="s">
        <v>1214</v>
      </c>
      <c r="V122" s="45" t="s">
        <v>766</v>
      </c>
      <c r="W122" s="45" t="s">
        <v>984</v>
      </c>
    </row>
    <row r="123" spans="2:24" x14ac:dyDescent="0.3">
      <c r="B123" s="136" t="s">
        <v>2776</v>
      </c>
      <c r="C123" s="84" t="s">
        <v>755</v>
      </c>
      <c r="D123" s="45"/>
      <c r="E123" s="45"/>
      <c r="G123" s="45" t="s">
        <v>1146</v>
      </c>
      <c r="V123" s="45" t="s">
        <v>211</v>
      </c>
      <c r="W123" s="45" t="s">
        <v>985</v>
      </c>
    </row>
    <row r="124" spans="2:24" x14ac:dyDescent="0.3">
      <c r="B124" s="136" t="s">
        <v>2788</v>
      </c>
      <c r="C124" s="84" t="s">
        <v>756</v>
      </c>
      <c r="D124" s="45"/>
      <c r="E124" s="45"/>
      <c r="G124" s="45" t="s">
        <v>1215</v>
      </c>
      <c r="V124" s="45" t="s">
        <v>768</v>
      </c>
      <c r="W124" s="45" t="s">
        <v>997</v>
      </c>
    </row>
    <row r="125" spans="2:24" x14ac:dyDescent="0.3">
      <c r="B125" s="136" t="s">
        <v>2766</v>
      </c>
      <c r="C125" s="84" t="s">
        <v>757</v>
      </c>
      <c r="D125" s="45"/>
      <c r="E125" s="45"/>
      <c r="G125" s="45" t="s">
        <v>1216</v>
      </c>
      <c r="V125" s="45" t="s">
        <v>770</v>
      </c>
      <c r="W125" s="45" t="s">
        <v>1000</v>
      </c>
    </row>
    <row r="126" spans="2:24" x14ac:dyDescent="0.3">
      <c r="B126" s="136" t="s">
        <v>4625</v>
      </c>
      <c r="C126" s="84" t="s">
        <v>758</v>
      </c>
      <c r="D126" s="45"/>
      <c r="E126" s="45"/>
      <c r="G126" s="45" t="s">
        <v>1217</v>
      </c>
      <c r="V126" s="45" t="s">
        <v>771</v>
      </c>
      <c r="W126" s="45" t="s">
        <v>1003</v>
      </c>
    </row>
    <row r="127" spans="2:24" x14ac:dyDescent="0.3">
      <c r="B127" s="136" t="s">
        <v>2777</v>
      </c>
      <c r="C127" s="84" t="s">
        <v>759</v>
      </c>
      <c r="D127" s="45"/>
      <c r="E127" s="45"/>
      <c r="G127" s="45" t="s">
        <v>1218</v>
      </c>
      <c r="V127" s="45" t="s">
        <v>772</v>
      </c>
      <c r="W127" s="45" t="s">
        <v>1004</v>
      </c>
    </row>
    <row r="128" spans="2:24" x14ac:dyDescent="0.3">
      <c r="B128" s="136" t="s">
        <v>2790</v>
      </c>
      <c r="C128" s="84" t="s">
        <v>210</v>
      </c>
      <c r="D128" s="45"/>
      <c r="E128" s="45"/>
      <c r="G128" s="45" t="s">
        <v>1219</v>
      </c>
      <c r="V128" s="45" t="s">
        <v>774</v>
      </c>
      <c r="W128" s="45" t="s">
        <v>1019</v>
      </c>
    </row>
    <row r="129" spans="2:23" x14ac:dyDescent="0.3">
      <c r="B129" s="136" t="s">
        <v>2767</v>
      </c>
      <c r="C129" s="84" t="s">
        <v>760</v>
      </c>
      <c r="D129" s="45"/>
      <c r="E129" s="45"/>
      <c r="G129" s="45" t="s">
        <v>1220</v>
      </c>
      <c r="V129" s="45" t="s">
        <v>776</v>
      </c>
      <c r="W129" s="45" t="s">
        <v>1021</v>
      </c>
    </row>
    <row r="130" spans="2:23" x14ac:dyDescent="0.3">
      <c r="B130" s="136" t="s">
        <v>2778</v>
      </c>
      <c r="C130" s="84" t="s">
        <v>761</v>
      </c>
      <c r="D130" s="45"/>
      <c r="E130" s="45"/>
      <c r="G130" s="45" t="s">
        <v>1089</v>
      </c>
      <c r="V130" s="45" t="s">
        <v>777</v>
      </c>
      <c r="W130" s="45" t="s">
        <v>1022</v>
      </c>
    </row>
    <row r="131" spans="2:23" x14ac:dyDescent="0.3">
      <c r="B131" s="136" t="s">
        <v>2768</v>
      </c>
      <c r="C131" s="84" t="s">
        <v>762</v>
      </c>
      <c r="D131" s="45"/>
      <c r="E131" s="45"/>
      <c r="G131" s="45" t="s">
        <v>1221</v>
      </c>
      <c r="V131" s="45" t="s">
        <v>778</v>
      </c>
      <c r="W131" s="45" t="s">
        <v>1026</v>
      </c>
    </row>
    <row r="132" spans="2:23" x14ac:dyDescent="0.3">
      <c r="B132" s="136" t="s">
        <v>2779</v>
      </c>
      <c r="C132" s="84" t="s">
        <v>763</v>
      </c>
      <c r="D132" s="45"/>
      <c r="E132" s="45"/>
      <c r="G132" s="45" t="s">
        <v>1222</v>
      </c>
      <c r="V132" s="45" t="s">
        <v>212</v>
      </c>
      <c r="W132" s="45" t="s">
        <v>1548</v>
      </c>
    </row>
    <row r="133" spans="2:23" x14ac:dyDescent="0.3">
      <c r="B133" s="136" t="s">
        <v>4626</v>
      </c>
      <c r="C133" s="84" t="s">
        <v>764</v>
      </c>
      <c r="D133" s="45"/>
      <c r="E133" s="45"/>
      <c r="G133" s="45" t="s">
        <v>1223</v>
      </c>
      <c r="V133" s="45" t="s">
        <v>780</v>
      </c>
      <c r="W133" s="45" t="s">
        <v>1549</v>
      </c>
    </row>
    <row r="134" spans="2:23" x14ac:dyDescent="0.3">
      <c r="B134" s="136" t="s">
        <v>2769</v>
      </c>
      <c r="C134" s="84" t="s">
        <v>765</v>
      </c>
      <c r="D134" s="45"/>
      <c r="E134" s="45"/>
      <c r="G134" s="45" t="s">
        <v>1224</v>
      </c>
      <c r="V134" s="45" t="s">
        <v>783</v>
      </c>
      <c r="W134" s="45" t="s">
        <v>1551</v>
      </c>
    </row>
    <row r="135" spans="2:23" x14ac:dyDescent="0.3">
      <c r="B135" s="136" t="s">
        <v>2780</v>
      </c>
      <c r="C135" s="84" t="s">
        <v>766</v>
      </c>
      <c r="D135" s="45"/>
      <c r="E135" s="45"/>
      <c r="G135" s="45" t="s">
        <v>1225</v>
      </c>
      <c r="V135" s="45" t="s">
        <v>784</v>
      </c>
      <c r="W135" s="45" t="s">
        <v>1553</v>
      </c>
    </row>
    <row r="136" spans="2:23" x14ac:dyDescent="0.3">
      <c r="B136" s="136" t="s">
        <v>2770</v>
      </c>
      <c r="C136" s="84" t="s">
        <v>211</v>
      </c>
      <c r="D136" s="45"/>
      <c r="E136" s="45"/>
      <c r="G136" s="45" t="s">
        <v>1226</v>
      </c>
      <c r="V136" s="45" t="s">
        <v>786</v>
      </c>
      <c r="W136" s="45" t="s">
        <v>1562</v>
      </c>
    </row>
    <row r="137" spans="2:23" x14ac:dyDescent="0.3">
      <c r="B137" s="136" t="s">
        <v>2781</v>
      </c>
      <c r="C137" s="84" t="s">
        <v>767</v>
      </c>
      <c r="D137" s="45"/>
      <c r="E137" s="45"/>
      <c r="G137" s="45" t="s">
        <v>1227</v>
      </c>
      <c r="V137" s="45" t="s">
        <v>787</v>
      </c>
      <c r="W137" s="45" t="s">
        <v>920</v>
      </c>
    </row>
    <row r="138" spans="2:23" x14ac:dyDescent="0.3">
      <c r="B138" s="136" t="s">
        <v>2771</v>
      </c>
      <c r="C138" s="84" t="s">
        <v>768</v>
      </c>
      <c r="D138" s="45"/>
      <c r="E138" s="45"/>
      <c r="V138" s="45" t="s">
        <v>791</v>
      </c>
      <c r="W138" s="45" t="s">
        <v>1576</v>
      </c>
    </row>
    <row r="139" spans="2:23" x14ac:dyDescent="0.3">
      <c r="B139" s="136" t="s">
        <v>2782</v>
      </c>
      <c r="C139" s="84" t="s">
        <v>769</v>
      </c>
      <c r="D139" s="45"/>
      <c r="E139" s="45"/>
      <c r="V139" s="45" t="s">
        <v>792</v>
      </c>
      <c r="W139" s="45" t="s">
        <v>1577</v>
      </c>
    </row>
    <row r="140" spans="2:23" x14ac:dyDescent="0.3">
      <c r="B140" s="136" t="s">
        <v>2772</v>
      </c>
      <c r="C140" s="84" t="s">
        <v>770</v>
      </c>
      <c r="D140" s="45"/>
      <c r="E140" s="45"/>
      <c r="V140" s="45" t="s">
        <v>793</v>
      </c>
      <c r="W140" s="45" t="s">
        <v>1578</v>
      </c>
    </row>
    <row r="141" spans="2:23" x14ac:dyDescent="0.3">
      <c r="B141" s="136" t="s">
        <v>2783</v>
      </c>
      <c r="C141" s="84" t="s">
        <v>771</v>
      </c>
      <c r="D141" s="45"/>
      <c r="E141" s="45"/>
      <c r="V141" s="45" t="s">
        <v>796</v>
      </c>
      <c r="W141" s="45" t="s">
        <v>1579</v>
      </c>
    </row>
    <row r="142" spans="2:23" x14ac:dyDescent="0.3">
      <c r="B142" s="136" t="s">
        <v>2773</v>
      </c>
      <c r="C142" s="84" t="s">
        <v>772</v>
      </c>
      <c r="D142" s="45"/>
      <c r="E142" s="45"/>
      <c r="V142" s="45" t="s">
        <v>797</v>
      </c>
      <c r="W142" s="45" t="s">
        <v>1584</v>
      </c>
    </row>
    <row r="143" spans="2:23" x14ac:dyDescent="0.3">
      <c r="B143" s="136" t="s">
        <v>2784</v>
      </c>
      <c r="C143" s="84" t="s">
        <v>773</v>
      </c>
      <c r="D143" s="45"/>
      <c r="E143" s="45"/>
      <c r="V143" s="45" t="s">
        <v>218</v>
      </c>
      <c r="W143" s="45" t="s">
        <v>1585</v>
      </c>
    </row>
    <row r="144" spans="2:23" x14ac:dyDescent="0.3">
      <c r="B144" s="136" t="s">
        <v>380</v>
      </c>
      <c r="C144" s="84" t="s">
        <v>774</v>
      </c>
      <c r="D144" s="45"/>
      <c r="E144" s="45"/>
      <c r="V144" s="45" t="s">
        <v>798</v>
      </c>
      <c r="W144" s="45" t="s">
        <v>1586</v>
      </c>
    </row>
    <row r="145" spans="2:23" x14ac:dyDescent="0.3">
      <c r="B145" s="136" t="s">
        <v>380</v>
      </c>
      <c r="C145" s="84" t="s">
        <v>775</v>
      </c>
      <c r="D145" s="45"/>
      <c r="E145" s="45"/>
      <c r="V145" s="45" t="s">
        <v>799</v>
      </c>
      <c r="W145" s="45" t="s">
        <v>1587</v>
      </c>
    </row>
    <row r="146" spans="2:23" x14ac:dyDescent="0.3">
      <c r="B146" s="136" t="s">
        <v>380</v>
      </c>
      <c r="C146" s="84" t="s">
        <v>776</v>
      </c>
      <c r="D146" s="45"/>
      <c r="E146" s="45"/>
      <c r="V146" s="45" t="s">
        <v>800</v>
      </c>
      <c r="W146" s="45" t="s">
        <v>1588</v>
      </c>
    </row>
    <row r="147" spans="2:23" x14ac:dyDescent="0.3">
      <c r="B147" s="136" t="s">
        <v>380</v>
      </c>
      <c r="C147" s="84" t="s">
        <v>777</v>
      </c>
      <c r="D147" s="45"/>
      <c r="E147" s="45"/>
      <c r="V147" s="45" t="s">
        <v>801</v>
      </c>
      <c r="W147" s="45" t="s">
        <v>1589</v>
      </c>
    </row>
    <row r="148" spans="2:23" x14ac:dyDescent="0.3">
      <c r="B148" s="136" t="s">
        <v>380</v>
      </c>
      <c r="C148" s="84" t="s">
        <v>778</v>
      </c>
      <c r="D148" s="45"/>
      <c r="E148" s="45"/>
      <c r="V148" s="45" t="s">
        <v>804</v>
      </c>
      <c r="W148" s="45" t="s">
        <v>1590</v>
      </c>
    </row>
    <row r="149" spans="2:23" x14ac:dyDescent="0.3">
      <c r="B149" s="136" t="s">
        <v>380</v>
      </c>
      <c r="C149" s="84" t="s">
        <v>212</v>
      </c>
      <c r="D149" s="45"/>
      <c r="E149" s="45"/>
      <c r="V149" s="45" t="s">
        <v>805</v>
      </c>
      <c r="W149" s="45" t="s">
        <v>1591</v>
      </c>
    </row>
    <row r="150" spans="2:23" x14ac:dyDescent="0.3">
      <c r="B150" s="136" t="s">
        <v>380</v>
      </c>
      <c r="C150" s="84" t="s">
        <v>779</v>
      </c>
      <c r="D150" s="45"/>
      <c r="E150" s="45"/>
      <c r="V150" s="45" t="s">
        <v>806</v>
      </c>
    </row>
    <row r="151" spans="2:23" x14ac:dyDescent="0.3">
      <c r="B151" s="136" t="s">
        <v>380</v>
      </c>
      <c r="C151" s="84" t="s">
        <v>780</v>
      </c>
      <c r="D151" s="45"/>
      <c r="E151" s="45"/>
      <c r="V151" s="45" t="s">
        <v>807</v>
      </c>
    </row>
    <row r="152" spans="2:23" x14ac:dyDescent="0.3">
      <c r="B152" s="136" t="s">
        <v>380</v>
      </c>
      <c r="C152" s="84" t="s">
        <v>781</v>
      </c>
      <c r="D152" s="45"/>
      <c r="E152" s="45"/>
      <c r="V152" s="45" t="s">
        <v>808</v>
      </c>
    </row>
    <row r="153" spans="2:23" x14ac:dyDescent="0.3">
      <c r="B153" s="136" t="s">
        <v>380</v>
      </c>
      <c r="C153" s="84" t="s">
        <v>782</v>
      </c>
      <c r="D153" s="45"/>
      <c r="E153" s="45"/>
      <c r="V153" s="45" t="s">
        <v>809</v>
      </c>
    </row>
    <row r="154" spans="2:23" x14ac:dyDescent="0.3">
      <c r="B154" s="136" t="s">
        <v>380</v>
      </c>
      <c r="C154" s="84" t="s">
        <v>783</v>
      </c>
      <c r="D154" s="45"/>
      <c r="E154" s="45"/>
      <c r="V154" s="45" t="s">
        <v>810</v>
      </c>
    </row>
    <row r="155" spans="2:23" x14ac:dyDescent="0.3">
      <c r="B155" s="136" t="s">
        <v>380</v>
      </c>
      <c r="C155" s="84" t="s">
        <v>784</v>
      </c>
      <c r="D155" s="45"/>
      <c r="E155" s="45"/>
      <c r="V155" s="45" t="s">
        <v>811</v>
      </c>
    </row>
    <row r="156" spans="2:23" x14ac:dyDescent="0.3">
      <c r="B156" s="136" t="s">
        <v>380</v>
      </c>
      <c r="C156" s="84" t="s">
        <v>785</v>
      </c>
      <c r="D156" s="45"/>
      <c r="E156" s="45"/>
      <c r="V156" s="45" t="s">
        <v>812</v>
      </c>
    </row>
    <row r="157" spans="2:23" x14ac:dyDescent="0.3">
      <c r="B157" s="136" t="s">
        <v>380</v>
      </c>
      <c r="C157" s="84" t="s">
        <v>786</v>
      </c>
      <c r="D157" s="45"/>
      <c r="E157" s="45"/>
      <c r="V157" s="45" t="s">
        <v>813</v>
      </c>
    </row>
    <row r="158" spans="2:23" x14ac:dyDescent="0.3">
      <c r="B158" s="136" t="s">
        <v>380</v>
      </c>
      <c r="C158" s="84" t="s">
        <v>787</v>
      </c>
      <c r="D158" s="45"/>
      <c r="E158" s="45"/>
      <c r="V158" s="45" t="s">
        <v>814</v>
      </c>
    </row>
    <row r="159" spans="2:23" x14ac:dyDescent="0.3">
      <c r="B159" s="136" t="s">
        <v>380</v>
      </c>
      <c r="C159" s="84" t="s">
        <v>788</v>
      </c>
      <c r="D159" s="45"/>
      <c r="E159" s="45"/>
      <c r="V159" s="45" t="s">
        <v>815</v>
      </c>
    </row>
    <row r="160" spans="2:23" x14ac:dyDescent="0.3">
      <c r="B160" s="136" t="s">
        <v>380</v>
      </c>
      <c r="C160" s="84" t="s">
        <v>789</v>
      </c>
      <c r="D160" s="45"/>
      <c r="E160" s="45"/>
      <c r="V160" s="45" t="s">
        <v>816</v>
      </c>
    </row>
    <row r="161" spans="2:22" x14ac:dyDescent="0.3">
      <c r="B161" s="136" t="s">
        <v>380</v>
      </c>
      <c r="C161" s="84" t="s">
        <v>790</v>
      </c>
      <c r="D161" s="45"/>
      <c r="E161" s="45"/>
      <c r="V161" s="45" t="s">
        <v>246</v>
      </c>
    </row>
    <row r="162" spans="2:22" x14ac:dyDescent="0.3">
      <c r="B162" s="136" t="s">
        <v>380</v>
      </c>
      <c r="C162" s="84" t="s">
        <v>791</v>
      </c>
      <c r="D162" s="45"/>
      <c r="E162" s="45"/>
      <c r="V162" s="45" t="s">
        <v>820</v>
      </c>
    </row>
    <row r="163" spans="2:22" x14ac:dyDescent="0.3">
      <c r="B163" s="136" t="s">
        <v>380</v>
      </c>
      <c r="C163" s="84" t="s">
        <v>256</v>
      </c>
      <c r="D163" s="45"/>
      <c r="E163" s="45"/>
      <c r="V163" s="45" t="s">
        <v>821</v>
      </c>
    </row>
    <row r="164" spans="2:22" x14ac:dyDescent="0.3">
      <c r="B164" s="136" t="s">
        <v>380</v>
      </c>
      <c r="C164" s="84" t="s">
        <v>255</v>
      </c>
      <c r="D164" s="45"/>
      <c r="E164" s="45"/>
      <c r="V164" s="45" t="s">
        <v>822</v>
      </c>
    </row>
    <row r="165" spans="2:22" x14ac:dyDescent="0.3">
      <c r="B165" s="136" t="s">
        <v>380</v>
      </c>
      <c r="C165" s="84" t="s">
        <v>792</v>
      </c>
      <c r="D165" s="45"/>
      <c r="E165" s="45"/>
      <c r="V165" s="45" t="s">
        <v>823</v>
      </c>
    </row>
    <row r="166" spans="2:22" x14ac:dyDescent="0.3">
      <c r="B166" s="136" t="s">
        <v>380</v>
      </c>
      <c r="C166" s="84" t="s">
        <v>793</v>
      </c>
      <c r="D166" s="45"/>
      <c r="E166" s="45"/>
      <c r="V166" s="45" t="s">
        <v>215</v>
      </c>
    </row>
    <row r="167" spans="2:22" x14ac:dyDescent="0.3">
      <c r="B167" s="136" t="s">
        <v>380</v>
      </c>
      <c r="C167" s="84" t="s">
        <v>794</v>
      </c>
      <c r="D167" s="45"/>
      <c r="E167" s="45"/>
      <c r="V167" s="45" t="s">
        <v>245</v>
      </c>
    </row>
    <row r="168" spans="2:22" x14ac:dyDescent="0.3">
      <c r="B168" s="136" t="s">
        <v>380</v>
      </c>
      <c r="C168" s="84" t="s">
        <v>795</v>
      </c>
      <c r="D168" s="45"/>
      <c r="E168" s="45"/>
      <c r="V168" s="45" t="s">
        <v>824</v>
      </c>
    </row>
    <row r="169" spans="2:22" x14ac:dyDescent="0.3">
      <c r="B169" s="136" t="s">
        <v>380</v>
      </c>
      <c r="C169" s="84" t="s">
        <v>796</v>
      </c>
      <c r="D169" s="45"/>
      <c r="E169" s="45"/>
      <c r="V169" s="45" t="s">
        <v>825</v>
      </c>
    </row>
    <row r="170" spans="2:22" x14ac:dyDescent="0.3">
      <c r="B170" s="136" t="s">
        <v>380</v>
      </c>
      <c r="C170" s="84" t="s">
        <v>797</v>
      </c>
      <c r="D170" s="45"/>
      <c r="E170" s="45"/>
      <c r="V170" s="45" t="s">
        <v>828</v>
      </c>
    </row>
    <row r="171" spans="2:22" x14ac:dyDescent="0.3">
      <c r="B171" s="136" t="s">
        <v>380</v>
      </c>
      <c r="C171" s="84" t="s">
        <v>218</v>
      </c>
      <c r="D171" s="45"/>
      <c r="E171" s="45"/>
      <c r="V171" s="45" t="s">
        <v>829</v>
      </c>
    </row>
    <row r="172" spans="2:22" x14ac:dyDescent="0.3">
      <c r="B172" s="136" t="s">
        <v>380</v>
      </c>
      <c r="C172" s="84" t="s">
        <v>798</v>
      </c>
      <c r="D172" s="45"/>
      <c r="E172" s="45"/>
      <c r="V172" s="45" t="s">
        <v>831</v>
      </c>
    </row>
    <row r="173" spans="2:22" x14ac:dyDescent="0.3">
      <c r="B173" s="136" t="s">
        <v>380</v>
      </c>
      <c r="C173" s="84" t="s">
        <v>799</v>
      </c>
      <c r="D173" s="45"/>
      <c r="E173" s="45"/>
      <c r="V173" s="45" t="s">
        <v>832</v>
      </c>
    </row>
    <row r="174" spans="2:22" x14ac:dyDescent="0.3">
      <c r="B174" s="136" t="s">
        <v>380</v>
      </c>
      <c r="C174" s="84" t="s">
        <v>800</v>
      </c>
      <c r="D174" s="45"/>
      <c r="E174" s="45"/>
      <c r="V174" s="45" t="s">
        <v>834</v>
      </c>
    </row>
    <row r="175" spans="2:22" x14ac:dyDescent="0.3">
      <c r="B175" s="136" t="s">
        <v>380</v>
      </c>
      <c r="C175" s="84" t="s">
        <v>801</v>
      </c>
      <c r="D175" s="45"/>
      <c r="E175" s="45"/>
      <c r="V175" s="45" t="s">
        <v>835</v>
      </c>
    </row>
    <row r="176" spans="2:22" x14ac:dyDescent="0.3">
      <c r="B176" s="136" t="s">
        <v>380</v>
      </c>
      <c r="C176" s="84" t="s">
        <v>802</v>
      </c>
      <c r="D176" s="45"/>
      <c r="E176" s="45"/>
      <c r="V176" s="45" t="s">
        <v>244</v>
      </c>
    </row>
    <row r="177" spans="2:22" x14ac:dyDescent="0.3">
      <c r="B177" s="136" t="s">
        <v>380</v>
      </c>
      <c r="C177" s="84" t="s">
        <v>803</v>
      </c>
      <c r="D177" s="45"/>
      <c r="E177" s="45"/>
      <c r="V177" s="45" t="s">
        <v>847</v>
      </c>
    </row>
    <row r="178" spans="2:22" x14ac:dyDescent="0.3">
      <c r="B178" s="136" t="s">
        <v>380</v>
      </c>
      <c r="C178" s="84" t="s">
        <v>804</v>
      </c>
      <c r="D178" s="45"/>
      <c r="E178" s="45"/>
      <c r="V178" s="45" t="s">
        <v>849</v>
      </c>
    </row>
    <row r="179" spans="2:22" x14ac:dyDescent="0.3">
      <c r="B179" s="136" t="s">
        <v>380</v>
      </c>
      <c r="C179" s="84" t="s">
        <v>805</v>
      </c>
      <c r="D179" s="45"/>
      <c r="E179" s="45"/>
      <c r="V179" s="45" t="s">
        <v>853</v>
      </c>
    </row>
    <row r="180" spans="2:22" x14ac:dyDescent="0.3">
      <c r="B180" s="136" t="s">
        <v>380</v>
      </c>
      <c r="C180" s="84" t="s">
        <v>806</v>
      </c>
      <c r="D180" s="45"/>
      <c r="E180" s="45"/>
      <c r="V180" s="45" t="s">
        <v>854</v>
      </c>
    </row>
    <row r="181" spans="2:22" x14ac:dyDescent="0.3">
      <c r="B181" s="136" t="s">
        <v>380</v>
      </c>
      <c r="C181" s="84" t="s">
        <v>807</v>
      </c>
      <c r="D181" s="45"/>
      <c r="E181" s="45"/>
      <c r="V181" s="45" t="s">
        <v>856</v>
      </c>
    </row>
    <row r="182" spans="2:22" x14ac:dyDescent="0.3">
      <c r="B182" s="136" t="s">
        <v>380</v>
      </c>
      <c r="C182" s="84" t="s">
        <v>808</v>
      </c>
      <c r="D182" s="45"/>
      <c r="E182" s="45"/>
      <c r="V182" s="45" t="s">
        <v>233</v>
      </c>
    </row>
    <row r="183" spans="2:22" x14ac:dyDescent="0.3">
      <c r="B183" s="136" t="s">
        <v>380</v>
      </c>
      <c r="C183" s="84" t="s">
        <v>809</v>
      </c>
      <c r="D183" s="45"/>
      <c r="E183" s="45"/>
      <c r="V183" s="45" t="s">
        <v>857</v>
      </c>
    </row>
    <row r="184" spans="2:22" x14ac:dyDescent="0.3">
      <c r="B184" s="136" t="s">
        <v>380</v>
      </c>
      <c r="C184" s="84" t="s">
        <v>810</v>
      </c>
      <c r="D184" s="45"/>
      <c r="E184" s="45"/>
      <c r="V184" s="45" t="s">
        <v>859</v>
      </c>
    </row>
    <row r="185" spans="2:22" x14ac:dyDescent="0.3">
      <c r="B185" s="136" t="s">
        <v>380</v>
      </c>
      <c r="C185" s="84" t="s">
        <v>811</v>
      </c>
      <c r="D185" s="45"/>
      <c r="E185" s="45"/>
      <c r="V185" s="45" t="s">
        <v>861</v>
      </c>
    </row>
    <row r="186" spans="2:22" x14ac:dyDescent="0.3">
      <c r="B186" s="136" t="s">
        <v>380</v>
      </c>
      <c r="C186" s="84" t="s">
        <v>812</v>
      </c>
      <c r="D186" s="45"/>
      <c r="E186" s="45"/>
      <c r="V186" s="45" t="s">
        <v>863</v>
      </c>
    </row>
    <row r="187" spans="2:22" x14ac:dyDescent="0.3">
      <c r="B187" s="136" t="s">
        <v>380</v>
      </c>
      <c r="C187" s="84" t="s">
        <v>813</v>
      </c>
      <c r="D187" s="45"/>
      <c r="E187" s="45"/>
      <c r="V187" s="45" t="s">
        <v>864</v>
      </c>
    </row>
    <row r="188" spans="2:22" x14ac:dyDescent="0.3">
      <c r="B188" s="136" t="s">
        <v>380</v>
      </c>
      <c r="C188" s="84" t="s">
        <v>814</v>
      </c>
      <c r="D188" s="45"/>
      <c r="E188" s="45"/>
      <c r="V188" s="45" t="s">
        <v>866</v>
      </c>
    </row>
    <row r="189" spans="2:22" x14ac:dyDescent="0.3">
      <c r="B189" s="136" t="s">
        <v>380</v>
      </c>
      <c r="C189" s="84" t="s">
        <v>815</v>
      </c>
      <c r="D189" s="45"/>
      <c r="E189" s="45"/>
      <c r="V189" s="45" t="s">
        <v>868</v>
      </c>
    </row>
    <row r="190" spans="2:22" x14ac:dyDescent="0.3">
      <c r="B190" s="136" t="s">
        <v>380</v>
      </c>
      <c r="C190" s="84" t="s">
        <v>816</v>
      </c>
      <c r="D190" s="45"/>
      <c r="E190" s="45"/>
      <c r="V190" s="45" t="s">
        <v>869</v>
      </c>
    </row>
    <row r="191" spans="2:22" x14ac:dyDescent="0.3">
      <c r="B191" s="136" t="s">
        <v>380</v>
      </c>
      <c r="C191" s="84" t="s">
        <v>817</v>
      </c>
      <c r="D191" s="45"/>
      <c r="E191" s="45"/>
      <c r="V191" s="45" t="s">
        <v>870</v>
      </c>
    </row>
    <row r="192" spans="2:22" x14ac:dyDescent="0.3">
      <c r="B192" s="136" t="s">
        <v>380</v>
      </c>
      <c r="C192" s="84" t="s">
        <v>818</v>
      </c>
      <c r="D192" s="45"/>
      <c r="E192" s="45"/>
      <c r="V192" s="45" t="s">
        <v>872</v>
      </c>
    </row>
    <row r="193" spans="2:22" x14ac:dyDescent="0.3">
      <c r="B193" s="136" t="s">
        <v>380</v>
      </c>
      <c r="C193" s="84" t="s">
        <v>819</v>
      </c>
      <c r="D193" s="45"/>
      <c r="E193" s="45"/>
      <c r="V193" s="45" t="s">
        <v>875</v>
      </c>
    </row>
    <row r="194" spans="2:22" x14ac:dyDescent="0.3">
      <c r="B194" s="136" t="s">
        <v>380</v>
      </c>
      <c r="C194" s="84" t="s">
        <v>246</v>
      </c>
      <c r="D194" s="45"/>
      <c r="E194" s="45"/>
      <c r="V194" s="45" t="s">
        <v>878</v>
      </c>
    </row>
    <row r="195" spans="2:22" x14ac:dyDescent="0.3">
      <c r="B195" s="136" t="s">
        <v>380</v>
      </c>
      <c r="C195" s="84" t="s">
        <v>820</v>
      </c>
      <c r="D195" s="45"/>
      <c r="E195" s="45"/>
      <c r="V195" s="45" t="s">
        <v>883</v>
      </c>
    </row>
    <row r="196" spans="2:22" x14ac:dyDescent="0.3">
      <c r="B196" s="136" t="s">
        <v>380</v>
      </c>
      <c r="C196" s="84" t="s">
        <v>821</v>
      </c>
      <c r="D196" s="45"/>
      <c r="E196" s="45"/>
      <c r="V196" s="45" t="s">
        <v>890</v>
      </c>
    </row>
    <row r="197" spans="2:22" x14ac:dyDescent="0.3">
      <c r="B197" s="136" t="s">
        <v>380</v>
      </c>
      <c r="C197" s="84" t="s">
        <v>822</v>
      </c>
      <c r="D197" s="45"/>
      <c r="E197" s="45"/>
      <c r="V197" s="45" t="s">
        <v>892</v>
      </c>
    </row>
    <row r="198" spans="2:22" x14ac:dyDescent="0.3">
      <c r="B198" s="136" t="s">
        <v>380</v>
      </c>
      <c r="C198" s="84" t="s">
        <v>823</v>
      </c>
      <c r="D198" s="45"/>
      <c r="E198" s="45"/>
      <c r="V198" s="45" t="s">
        <v>893</v>
      </c>
    </row>
    <row r="199" spans="2:22" x14ac:dyDescent="0.3">
      <c r="B199" s="136" t="s">
        <v>380</v>
      </c>
      <c r="C199" s="84" t="s">
        <v>215</v>
      </c>
      <c r="D199" s="45"/>
      <c r="E199" s="45"/>
      <c r="V199" s="45" t="s">
        <v>894</v>
      </c>
    </row>
    <row r="200" spans="2:22" x14ac:dyDescent="0.3">
      <c r="B200" s="136" t="s">
        <v>380</v>
      </c>
      <c r="C200" s="84" t="s">
        <v>245</v>
      </c>
      <c r="D200" s="45"/>
      <c r="E200" s="45"/>
      <c r="V200" s="45" t="s">
        <v>895</v>
      </c>
    </row>
    <row r="201" spans="2:22" x14ac:dyDescent="0.3">
      <c r="B201" s="136" t="s">
        <v>380</v>
      </c>
      <c r="C201" s="84" t="s">
        <v>824</v>
      </c>
      <c r="D201" s="45"/>
      <c r="E201" s="45"/>
      <c r="V201" s="45" t="s">
        <v>896</v>
      </c>
    </row>
    <row r="202" spans="2:22" x14ac:dyDescent="0.3">
      <c r="B202" s="136" t="s">
        <v>380</v>
      </c>
      <c r="C202" s="84" t="s">
        <v>825</v>
      </c>
      <c r="D202" s="45"/>
      <c r="E202" s="45"/>
      <c r="V202" s="45" t="s">
        <v>897</v>
      </c>
    </row>
    <row r="203" spans="2:22" x14ac:dyDescent="0.3">
      <c r="B203" s="136" t="s">
        <v>380</v>
      </c>
      <c r="C203" s="84" t="s">
        <v>826</v>
      </c>
      <c r="D203" s="45"/>
      <c r="E203" s="45"/>
      <c r="V203" s="45" t="s">
        <v>900</v>
      </c>
    </row>
    <row r="204" spans="2:22" x14ac:dyDescent="0.3">
      <c r="B204" s="136" t="s">
        <v>380</v>
      </c>
      <c r="C204" s="84" t="s">
        <v>827</v>
      </c>
      <c r="D204" s="45"/>
      <c r="E204" s="45"/>
      <c r="V204" s="45" t="s">
        <v>902</v>
      </c>
    </row>
    <row r="205" spans="2:22" x14ac:dyDescent="0.3">
      <c r="B205" s="136" t="s">
        <v>380</v>
      </c>
      <c r="C205" s="84" t="s">
        <v>828</v>
      </c>
      <c r="D205" s="45"/>
      <c r="E205" s="45"/>
      <c r="V205" s="45" t="s">
        <v>903</v>
      </c>
    </row>
    <row r="206" spans="2:22" x14ac:dyDescent="0.3">
      <c r="B206" s="136" t="s">
        <v>380</v>
      </c>
      <c r="C206" s="84" t="s">
        <v>829</v>
      </c>
      <c r="D206" s="45"/>
      <c r="E206" s="45"/>
      <c r="V206" s="45" t="s">
        <v>904</v>
      </c>
    </row>
    <row r="207" spans="2:22" x14ac:dyDescent="0.3">
      <c r="B207" s="136" t="s">
        <v>380</v>
      </c>
      <c r="C207" s="84" t="s">
        <v>830</v>
      </c>
      <c r="D207" s="45"/>
      <c r="E207" s="45"/>
      <c r="V207" s="45" t="s">
        <v>905</v>
      </c>
    </row>
    <row r="208" spans="2:22" x14ac:dyDescent="0.3">
      <c r="B208" s="136" t="s">
        <v>380</v>
      </c>
      <c r="C208" s="84" t="s">
        <v>831</v>
      </c>
      <c r="D208" s="45"/>
      <c r="E208" s="45"/>
      <c r="V208" s="45" t="s">
        <v>908</v>
      </c>
    </row>
    <row r="209" spans="2:22" x14ac:dyDescent="0.3">
      <c r="B209" s="136" t="s">
        <v>380</v>
      </c>
      <c r="C209" s="84" t="s">
        <v>832</v>
      </c>
      <c r="D209" s="45"/>
      <c r="E209" s="45"/>
      <c r="V209" s="45" t="s">
        <v>911</v>
      </c>
    </row>
    <row r="210" spans="2:22" x14ac:dyDescent="0.3">
      <c r="B210" s="136" t="s">
        <v>380</v>
      </c>
      <c r="C210" s="84" t="s">
        <v>833</v>
      </c>
      <c r="D210" s="45"/>
      <c r="E210" s="45"/>
      <c r="V210" s="45" t="s">
        <v>915</v>
      </c>
    </row>
    <row r="211" spans="2:22" x14ac:dyDescent="0.3">
      <c r="B211" s="136" t="s">
        <v>380</v>
      </c>
      <c r="C211" s="84" t="s">
        <v>834</v>
      </c>
      <c r="D211" s="45"/>
      <c r="E211" s="45"/>
      <c r="V211" s="45" t="s">
        <v>916</v>
      </c>
    </row>
    <row r="212" spans="2:22" x14ac:dyDescent="0.3">
      <c r="B212" s="136" t="s">
        <v>380</v>
      </c>
      <c r="C212" s="84" t="s">
        <v>205</v>
      </c>
      <c r="D212" s="45"/>
      <c r="E212" s="45"/>
      <c r="V212" s="45" t="s">
        <v>919</v>
      </c>
    </row>
    <row r="213" spans="2:22" x14ac:dyDescent="0.3">
      <c r="B213" s="136" t="s">
        <v>380</v>
      </c>
      <c r="C213" s="84" t="s">
        <v>206</v>
      </c>
      <c r="D213" s="45"/>
      <c r="E213" s="45"/>
      <c r="V213" s="45" t="s">
        <v>926</v>
      </c>
    </row>
    <row r="214" spans="2:22" x14ac:dyDescent="0.3">
      <c r="B214" s="136" t="s">
        <v>380</v>
      </c>
      <c r="C214" s="84" t="s">
        <v>835</v>
      </c>
      <c r="D214" s="45"/>
      <c r="E214" s="45"/>
      <c r="V214" s="45" t="s">
        <v>930</v>
      </c>
    </row>
    <row r="215" spans="2:22" x14ac:dyDescent="0.3">
      <c r="B215" s="136" t="s">
        <v>380</v>
      </c>
      <c r="C215" s="84" t="s">
        <v>207</v>
      </c>
      <c r="D215" s="45"/>
      <c r="E215" s="45"/>
      <c r="V215" s="45" t="s">
        <v>931</v>
      </c>
    </row>
    <row r="216" spans="2:22" x14ac:dyDescent="0.3">
      <c r="B216" s="136" t="s">
        <v>380</v>
      </c>
      <c r="C216" s="84" t="s">
        <v>244</v>
      </c>
      <c r="D216" s="45"/>
      <c r="E216" s="45"/>
      <c r="V216" s="45" t="s">
        <v>232</v>
      </c>
    </row>
    <row r="217" spans="2:22" x14ac:dyDescent="0.3">
      <c r="B217" s="136" t="s">
        <v>380</v>
      </c>
      <c r="C217" s="84" t="s">
        <v>242</v>
      </c>
      <c r="D217" s="45"/>
      <c r="E217" s="45"/>
      <c r="V217" s="45" t="s">
        <v>936</v>
      </c>
    </row>
    <row r="218" spans="2:22" x14ac:dyDescent="0.3">
      <c r="B218" s="136" t="s">
        <v>380</v>
      </c>
      <c r="C218" s="84" t="s">
        <v>241</v>
      </c>
      <c r="D218" s="45"/>
      <c r="E218" s="45"/>
      <c r="V218" s="45" t="s">
        <v>937</v>
      </c>
    </row>
    <row r="219" spans="2:22" x14ac:dyDescent="0.3">
      <c r="B219" s="136" t="s">
        <v>380</v>
      </c>
      <c r="C219" s="84" t="s">
        <v>240</v>
      </c>
      <c r="D219" s="45"/>
      <c r="E219" s="45"/>
      <c r="V219" s="45" t="s">
        <v>939</v>
      </c>
    </row>
    <row r="220" spans="2:22" x14ac:dyDescent="0.3">
      <c r="B220" s="136" t="s">
        <v>380</v>
      </c>
      <c r="C220" s="84" t="s">
        <v>836</v>
      </c>
      <c r="D220" s="45"/>
      <c r="E220" s="45"/>
      <c r="V220" s="45" t="s">
        <v>940</v>
      </c>
    </row>
    <row r="221" spans="2:22" x14ac:dyDescent="0.3">
      <c r="B221" s="136" t="s">
        <v>380</v>
      </c>
      <c r="C221" s="84" t="s">
        <v>837</v>
      </c>
      <c r="D221" s="45"/>
      <c r="E221" s="45"/>
      <c r="V221" s="45" t="s">
        <v>941</v>
      </c>
    </row>
    <row r="222" spans="2:22" x14ac:dyDescent="0.3">
      <c r="B222" s="136" t="s">
        <v>380</v>
      </c>
      <c r="C222" s="84" t="s">
        <v>838</v>
      </c>
      <c r="D222" s="45"/>
      <c r="E222" s="45"/>
      <c r="V222" s="45" t="s">
        <v>942</v>
      </c>
    </row>
    <row r="223" spans="2:22" x14ac:dyDescent="0.3">
      <c r="B223" s="136" t="s">
        <v>380</v>
      </c>
      <c r="C223" s="84" t="s">
        <v>839</v>
      </c>
      <c r="D223" s="45"/>
      <c r="E223" s="45"/>
      <c r="V223" s="45" t="s">
        <v>943</v>
      </c>
    </row>
    <row r="224" spans="2:22" x14ac:dyDescent="0.3">
      <c r="B224" s="136" t="s">
        <v>380</v>
      </c>
      <c r="C224" s="84" t="s">
        <v>840</v>
      </c>
      <c r="D224" s="45"/>
      <c r="E224" s="45"/>
      <c r="V224" s="45" t="s">
        <v>944</v>
      </c>
    </row>
    <row r="225" spans="2:22" x14ac:dyDescent="0.3">
      <c r="B225" s="136" t="s">
        <v>380</v>
      </c>
      <c r="C225" s="84" t="s">
        <v>841</v>
      </c>
      <c r="D225" s="45"/>
      <c r="E225" s="45"/>
      <c r="V225" s="45" t="s">
        <v>945</v>
      </c>
    </row>
    <row r="226" spans="2:22" x14ac:dyDescent="0.3">
      <c r="B226" s="136" t="s">
        <v>380</v>
      </c>
      <c r="C226" s="84" t="s">
        <v>842</v>
      </c>
      <c r="D226" s="45"/>
      <c r="E226" s="45"/>
      <c r="V226" s="45" t="s">
        <v>946</v>
      </c>
    </row>
    <row r="227" spans="2:22" x14ac:dyDescent="0.3">
      <c r="B227" s="136" t="s">
        <v>380</v>
      </c>
      <c r="C227" s="84" t="s">
        <v>843</v>
      </c>
      <c r="D227" s="45"/>
      <c r="E227" s="45"/>
      <c r="V227" s="45" t="s">
        <v>947</v>
      </c>
    </row>
    <row r="228" spans="2:22" x14ac:dyDescent="0.3">
      <c r="B228" s="136" t="s">
        <v>380</v>
      </c>
      <c r="C228" s="84" t="s">
        <v>844</v>
      </c>
      <c r="D228" s="45"/>
      <c r="E228" s="45"/>
      <c r="V228" s="45" t="s">
        <v>951</v>
      </c>
    </row>
    <row r="229" spans="2:22" x14ac:dyDescent="0.3">
      <c r="B229" s="136" t="s">
        <v>380</v>
      </c>
      <c r="C229" s="84" t="s">
        <v>845</v>
      </c>
      <c r="D229" s="45"/>
      <c r="E229" s="45"/>
      <c r="V229" s="45" t="s">
        <v>954</v>
      </c>
    </row>
    <row r="230" spans="2:22" x14ac:dyDescent="0.3">
      <c r="B230" s="136" t="s">
        <v>380</v>
      </c>
      <c r="C230" s="84" t="s">
        <v>846</v>
      </c>
      <c r="D230" s="45"/>
      <c r="E230" s="45"/>
      <c r="V230" s="45" t="s">
        <v>955</v>
      </c>
    </row>
    <row r="231" spans="2:22" x14ac:dyDescent="0.3">
      <c r="B231" s="136" t="s">
        <v>380</v>
      </c>
      <c r="C231" s="84" t="s">
        <v>236</v>
      </c>
      <c r="D231" s="45"/>
      <c r="E231" s="45"/>
      <c r="V231" s="45" t="s">
        <v>956</v>
      </c>
    </row>
    <row r="232" spans="2:22" x14ac:dyDescent="0.3">
      <c r="B232" s="136" t="s">
        <v>380</v>
      </c>
      <c r="C232" s="84" t="s">
        <v>209</v>
      </c>
      <c r="D232" s="45"/>
      <c r="E232" s="45"/>
      <c r="V232" s="45" t="s">
        <v>957</v>
      </c>
    </row>
    <row r="233" spans="2:22" x14ac:dyDescent="0.3">
      <c r="B233" s="136" t="s">
        <v>1641</v>
      </c>
      <c r="C233" s="84" t="s">
        <v>847</v>
      </c>
      <c r="D233" s="45"/>
      <c r="E233" s="45"/>
      <c r="V233" s="45" t="s">
        <v>958</v>
      </c>
    </row>
    <row r="234" spans="2:22" x14ac:dyDescent="0.3">
      <c r="B234" s="136" t="s">
        <v>2135</v>
      </c>
      <c r="C234" s="84" t="s">
        <v>235</v>
      </c>
      <c r="D234" s="45"/>
      <c r="E234" s="45"/>
      <c r="V234" s="45" t="s">
        <v>959</v>
      </c>
    </row>
    <row r="235" spans="2:22" x14ac:dyDescent="0.3">
      <c r="B235" s="136" t="s">
        <v>142</v>
      </c>
      <c r="C235" s="84" t="s">
        <v>848</v>
      </c>
      <c r="D235" s="45"/>
      <c r="E235" s="45"/>
      <c r="V235" s="45" t="s">
        <v>961</v>
      </c>
    </row>
    <row r="236" spans="2:22" x14ac:dyDescent="0.3">
      <c r="B236" s="136" t="s">
        <v>143</v>
      </c>
      <c r="C236" s="84" t="s">
        <v>849</v>
      </c>
      <c r="D236" s="45"/>
      <c r="E236" s="45"/>
      <c r="V236" s="45" t="s">
        <v>963</v>
      </c>
    </row>
    <row r="237" spans="2:22" x14ac:dyDescent="0.3">
      <c r="B237" s="136" t="s">
        <v>144</v>
      </c>
      <c r="C237" s="84" t="s">
        <v>850</v>
      </c>
      <c r="D237" s="45"/>
      <c r="E237" s="45"/>
      <c r="V237" s="45" t="s">
        <v>964</v>
      </c>
    </row>
    <row r="238" spans="2:22" x14ac:dyDescent="0.3">
      <c r="B238" s="136" t="s">
        <v>145</v>
      </c>
      <c r="C238" s="84" t="s">
        <v>243</v>
      </c>
      <c r="D238" s="45"/>
      <c r="E238" s="45"/>
      <c r="V238" s="45" t="s">
        <v>965</v>
      </c>
    </row>
    <row r="239" spans="2:22" x14ac:dyDescent="0.3">
      <c r="B239" s="136" t="s">
        <v>146</v>
      </c>
      <c r="C239" s="84" t="s">
        <v>208</v>
      </c>
      <c r="D239" s="45"/>
      <c r="E239" s="45"/>
      <c r="V239" s="45" t="s">
        <v>966</v>
      </c>
    </row>
    <row r="240" spans="2:22" x14ac:dyDescent="0.3">
      <c r="B240" s="136" t="s">
        <v>147</v>
      </c>
      <c r="C240" s="84" t="s">
        <v>239</v>
      </c>
      <c r="D240" s="45"/>
      <c r="E240" s="45"/>
      <c r="V240" s="45" t="s">
        <v>967</v>
      </c>
    </row>
    <row r="241" spans="2:22" x14ac:dyDescent="0.3">
      <c r="B241" s="136" t="s">
        <v>148</v>
      </c>
      <c r="C241" s="84" t="s">
        <v>238</v>
      </c>
      <c r="D241" s="45"/>
      <c r="E241" s="45"/>
      <c r="V241" s="45" t="s">
        <v>968</v>
      </c>
    </row>
    <row r="242" spans="2:22" x14ac:dyDescent="0.3">
      <c r="B242" s="136" t="s">
        <v>149</v>
      </c>
      <c r="C242" s="84" t="s">
        <v>237</v>
      </c>
      <c r="D242" s="45"/>
      <c r="E242" s="45"/>
      <c r="V242" s="45" t="s">
        <v>969</v>
      </c>
    </row>
    <row r="243" spans="2:22" x14ac:dyDescent="0.3">
      <c r="B243" s="136" t="s">
        <v>150</v>
      </c>
      <c r="C243" s="84" t="s">
        <v>219</v>
      </c>
      <c r="D243" s="45"/>
      <c r="E243" s="45"/>
      <c r="V243" s="45" t="s">
        <v>970</v>
      </c>
    </row>
    <row r="244" spans="2:22" x14ac:dyDescent="0.3">
      <c r="B244" s="136" t="s">
        <v>3348</v>
      </c>
      <c r="C244" s="84" t="s">
        <v>851</v>
      </c>
      <c r="D244" s="45"/>
      <c r="E244" s="45"/>
      <c r="V244" s="45" t="s">
        <v>971</v>
      </c>
    </row>
    <row r="245" spans="2:22" x14ac:dyDescent="0.3">
      <c r="B245" s="136" t="s">
        <v>3359</v>
      </c>
      <c r="C245" s="84" t="s">
        <v>852</v>
      </c>
      <c r="D245" s="45"/>
      <c r="E245" s="45"/>
      <c r="V245" s="45" t="s">
        <v>972</v>
      </c>
    </row>
    <row r="246" spans="2:22" x14ac:dyDescent="0.3">
      <c r="B246" s="136" t="s">
        <v>3349</v>
      </c>
      <c r="C246" s="84" t="s">
        <v>853</v>
      </c>
      <c r="D246" s="45"/>
      <c r="E246" s="45"/>
      <c r="V246" s="45" t="s">
        <v>973</v>
      </c>
    </row>
    <row r="247" spans="2:22" x14ac:dyDescent="0.3">
      <c r="B247" s="136" t="s">
        <v>3360</v>
      </c>
      <c r="C247" s="84" t="s">
        <v>854</v>
      </c>
      <c r="D247" s="45"/>
      <c r="E247" s="45"/>
      <c r="V247" s="45" t="s">
        <v>974</v>
      </c>
    </row>
    <row r="248" spans="2:22" x14ac:dyDescent="0.3">
      <c r="B248" s="136" t="s">
        <v>3338</v>
      </c>
      <c r="C248" s="84" t="s">
        <v>855</v>
      </c>
      <c r="D248" s="45"/>
      <c r="E248" s="45"/>
      <c r="V248" s="45" t="s">
        <v>254</v>
      </c>
    </row>
    <row r="249" spans="2:22" x14ac:dyDescent="0.3">
      <c r="B249" s="136" t="s">
        <v>3339</v>
      </c>
      <c r="C249" s="84" t="s">
        <v>856</v>
      </c>
      <c r="D249" s="45"/>
      <c r="E249" s="45"/>
      <c r="V249" s="45" t="s">
        <v>253</v>
      </c>
    </row>
    <row r="250" spans="2:22" x14ac:dyDescent="0.3">
      <c r="B250" s="136" t="s">
        <v>3350</v>
      </c>
      <c r="C250" s="84" t="s">
        <v>233</v>
      </c>
      <c r="D250" s="45"/>
      <c r="E250" s="45"/>
      <c r="V250" s="45" t="s">
        <v>252</v>
      </c>
    </row>
    <row r="251" spans="2:22" x14ac:dyDescent="0.3">
      <c r="B251" s="136" t="s">
        <v>3361</v>
      </c>
      <c r="C251" s="84" t="s">
        <v>857</v>
      </c>
      <c r="D251" s="45"/>
      <c r="E251" s="45"/>
      <c r="V251" s="45" t="s">
        <v>251</v>
      </c>
    </row>
    <row r="252" spans="2:22" x14ac:dyDescent="0.3">
      <c r="B252" s="137" t="s">
        <v>3340</v>
      </c>
      <c r="C252" s="84" t="s">
        <v>858</v>
      </c>
      <c r="D252" s="45"/>
      <c r="E252" s="45"/>
      <c r="V252" s="45" t="s">
        <v>250</v>
      </c>
    </row>
    <row r="253" spans="2:22" x14ac:dyDescent="0.3">
      <c r="B253" s="137" t="s">
        <v>3351</v>
      </c>
      <c r="C253" s="84" t="s">
        <v>859</v>
      </c>
      <c r="D253" s="45"/>
      <c r="E253" s="45"/>
      <c r="V253" s="45" t="s">
        <v>249</v>
      </c>
    </row>
    <row r="254" spans="2:22" x14ac:dyDescent="0.3">
      <c r="B254" s="137" t="s">
        <v>3362</v>
      </c>
      <c r="C254" s="84" t="s">
        <v>860</v>
      </c>
      <c r="D254" s="45"/>
      <c r="E254" s="45"/>
      <c r="V254" s="45" t="s">
        <v>976</v>
      </c>
    </row>
    <row r="255" spans="2:22" x14ac:dyDescent="0.3">
      <c r="B255" s="137" t="s">
        <v>3341</v>
      </c>
      <c r="C255" s="84" t="s">
        <v>861</v>
      </c>
      <c r="D255" s="45"/>
      <c r="E255" s="45"/>
      <c r="V255" s="45" t="s">
        <v>977</v>
      </c>
    </row>
    <row r="256" spans="2:22" x14ac:dyDescent="0.3">
      <c r="B256" s="137" t="s">
        <v>3352</v>
      </c>
      <c r="C256" s="84" t="s">
        <v>862</v>
      </c>
      <c r="D256" s="45"/>
      <c r="E256" s="45"/>
      <c r="V256" s="45" t="s">
        <v>986</v>
      </c>
    </row>
    <row r="257" spans="2:22" x14ac:dyDescent="0.3">
      <c r="B257" s="137" t="s">
        <v>3342</v>
      </c>
      <c r="C257" s="84" t="s">
        <v>863</v>
      </c>
      <c r="D257" s="45"/>
      <c r="E257" s="45"/>
      <c r="V257" s="45" t="s">
        <v>987</v>
      </c>
    </row>
    <row r="258" spans="2:22" x14ac:dyDescent="0.3">
      <c r="B258" s="137" t="s">
        <v>3353</v>
      </c>
      <c r="C258" s="84" t="s">
        <v>864</v>
      </c>
      <c r="D258" s="45"/>
      <c r="E258" s="45"/>
      <c r="V258" s="45" t="s">
        <v>988</v>
      </c>
    </row>
    <row r="259" spans="2:22" x14ac:dyDescent="0.3">
      <c r="B259" s="137" t="s">
        <v>3343</v>
      </c>
      <c r="C259" s="84" t="s">
        <v>865</v>
      </c>
      <c r="D259" s="45"/>
      <c r="E259" s="45"/>
      <c r="V259" s="45" t="s">
        <v>989</v>
      </c>
    </row>
    <row r="260" spans="2:22" x14ac:dyDescent="0.3">
      <c r="B260" s="137" t="s">
        <v>3354</v>
      </c>
      <c r="C260" s="84" t="s">
        <v>866</v>
      </c>
      <c r="D260" s="45"/>
      <c r="E260" s="45"/>
      <c r="V260" s="45" t="s">
        <v>990</v>
      </c>
    </row>
    <row r="261" spans="2:22" x14ac:dyDescent="0.3">
      <c r="B261" s="137" t="s">
        <v>3344</v>
      </c>
      <c r="C261" s="84" t="s">
        <v>867</v>
      </c>
      <c r="D261" s="45"/>
      <c r="E261" s="45"/>
      <c r="V261" s="45" t="s">
        <v>991</v>
      </c>
    </row>
    <row r="262" spans="2:22" x14ac:dyDescent="0.3">
      <c r="B262" s="137" t="s">
        <v>3355</v>
      </c>
      <c r="C262" s="84" t="s">
        <v>868</v>
      </c>
      <c r="D262" s="45"/>
      <c r="E262" s="45"/>
      <c r="V262" s="45" t="s">
        <v>992</v>
      </c>
    </row>
    <row r="263" spans="2:22" x14ac:dyDescent="0.3">
      <c r="B263" s="137" t="s">
        <v>3345</v>
      </c>
      <c r="C263" s="84" t="s">
        <v>869</v>
      </c>
      <c r="D263" s="45"/>
      <c r="E263" s="45"/>
      <c r="V263" s="45" t="s">
        <v>247</v>
      </c>
    </row>
    <row r="264" spans="2:22" x14ac:dyDescent="0.3">
      <c r="B264" s="137" t="s">
        <v>3356</v>
      </c>
      <c r="C264" s="84" t="s">
        <v>870</v>
      </c>
      <c r="D264" s="45"/>
      <c r="E264" s="45"/>
      <c r="V264" s="45" t="s">
        <v>993</v>
      </c>
    </row>
    <row r="265" spans="2:22" x14ac:dyDescent="0.3">
      <c r="B265" s="137" t="s">
        <v>3346</v>
      </c>
      <c r="C265" s="84" t="s">
        <v>871</v>
      </c>
      <c r="D265" s="45"/>
      <c r="E265" s="45"/>
      <c r="V265" s="45" t="s">
        <v>994</v>
      </c>
    </row>
    <row r="266" spans="2:22" x14ac:dyDescent="0.3">
      <c r="B266" s="137" t="s">
        <v>3357</v>
      </c>
      <c r="C266" s="84" t="s">
        <v>872</v>
      </c>
      <c r="D266" s="45"/>
      <c r="E266" s="45"/>
      <c r="V266" s="45" t="s">
        <v>995</v>
      </c>
    </row>
    <row r="267" spans="2:22" x14ac:dyDescent="0.3">
      <c r="B267" s="137" t="s">
        <v>3347</v>
      </c>
      <c r="C267" s="84" t="s">
        <v>873</v>
      </c>
      <c r="D267" s="45"/>
      <c r="E267" s="45"/>
      <c r="V267" s="45" t="s">
        <v>996</v>
      </c>
    </row>
    <row r="268" spans="2:22" x14ac:dyDescent="0.3">
      <c r="B268" s="137" t="s">
        <v>3358</v>
      </c>
      <c r="C268" s="84" t="s">
        <v>874</v>
      </c>
      <c r="D268" s="45"/>
      <c r="E268" s="45"/>
      <c r="V268" s="45" t="s">
        <v>998</v>
      </c>
    </row>
    <row r="269" spans="2:22" x14ac:dyDescent="0.3">
      <c r="B269" s="137" t="s">
        <v>2136</v>
      </c>
      <c r="C269" s="84" t="s">
        <v>875</v>
      </c>
      <c r="D269" s="45"/>
      <c r="E269" s="45"/>
      <c r="V269" s="45" t="s">
        <v>999</v>
      </c>
    </row>
    <row r="270" spans="2:22" x14ac:dyDescent="0.3">
      <c r="B270" s="137" t="s">
        <v>2137</v>
      </c>
      <c r="C270" s="84" t="s">
        <v>876</v>
      </c>
      <c r="D270" s="45"/>
      <c r="E270" s="45"/>
      <c r="V270" s="45" t="s">
        <v>1001</v>
      </c>
    </row>
    <row r="271" spans="2:22" x14ac:dyDescent="0.3">
      <c r="B271" s="137" t="s">
        <v>2138</v>
      </c>
      <c r="C271" s="84" t="s">
        <v>877</v>
      </c>
      <c r="D271" s="45"/>
      <c r="E271" s="45"/>
      <c r="V271" s="45" t="s">
        <v>1002</v>
      </c>
    </row>
    <row r="272" spans="2:22" x14ac:dyDescent="0.3">
      <c r="B272" s="137" t="s">
        <v>2139</v>
      </c>
      <c r="C272" s="84" t="s">
        <v>878</v>
      </c>
      <c r="D272" s="45"/>
      <c r="E272" s="45"/>
      <c r="V272" s="45" t="s">
        <v>214</v>
      </c>
    </row>
    <row r="273" spans="2:22" x14ac:dyDescent="0.3">
      <c r="B273" s="137" t="s">
        <v>2140</v>
      </c>
      <c r="C273" s="84" t="s">
        <v>879</v>
      </c>
      <c r="D273" s="45"/>
      <c r="E273" s="45"/>
      <c r="V273" s="45" t="s">
        <v>1005</v>
      </c>
    </row>
    <row r="274" spans="2:22" x14ac:dyDescent="0.3">
      <c r="B274" s="137" t="s">
        <v>2141</v>
      </c>
      <c r="C274" s="84" t="s">
        <v>880</v>
      </c>
      <c r="D274" s="45"/>
      <c r="E274" s="45"/>
      <c r="V274" s="45" t="s">
        <v>1006</v>
      </c>
    </row>
    <row r="275" spans="2:22" x14ac:dyDescent="0.3">
      <c r="B275" s="137" t="s">
        <v>1644</v>
      </c>
      <c r="C275" s="84" t="s">
        <v>881</v>
      </c>
      <c r="D275" s="45"/>
      <c r="E275" s="45"/>
      <c r="V275" s="45" t="s">
        <v>1007</v>
      </c>
    </row>
    <row r="276" spans="2:22" x14ac:dyDescent="0.3">
      <c r="B276" s="137" t="s">
        <v>1647</v>
      </c>
      <c r="C276" s="84" t="s">
        <v>882</v>
      </c>
      <c r="D276" s="45"/>
      <c r="E276" s="45"/>
      <c r="V276" s="45" t="s">
        <v>1008</v>
      </c>
    </row>
    <row r="277" spans="2:22" x14ac:dyDescent="0.3">
      <c r="B277" s="137" t="s">
        <v>2142</v>
      </c>
      <c r="C277" s="84" t="s">
        <v>883</v>
      </c>
      <c r="D277" s="45"/>
      <c r="E277" s="45"/>
      <c r="V277" s="45" t="s">
        <v>1009</v>
      </c>
    </row>
    <row r="278" spans="2:22" x14ac:dyDescent="0.3">
      <c r="B278" s="137" t="s">
        <v>2143</v>
      </c>
      <c r="C278" s="84" t="s">
        <v>884</v>
      </c>
      <c r="D278" s="45"/>
      <c r="E278" s="45"/>
      <c r="V278" s="45" t="s">
        <v>1010</v>
      </c>
    </row>
    <row r="279" spans="2:22" x14ac:dyDescent="0.3">
      <c r="B279" s="136" t="s">
        <v>2144</v>
      </c>
      <c r="C279" s="84" t="s">
        <v>885</v>
      </c>
      <c r="D279" s="45"/>
      <c r="E279" s="45"/>
      <c r="V279" s="45" t="s">
        <v>1011</v>
      </c>
    </row>
    <row r="280" spans="2:22" x14ac:dyDescent="0.3">
      <c r="B280" s="136" t="s">
        <v>1648</v>
      </c>
      <c r="C280" s="84" t="s">
        <v>886</v>
      </c>
      <c r="D280" s="45"/>
      <c r="E280" s="45"/>
      <c r="V280" s="45" t="s">
        <v>1012</v>
      </c>
    </row>
    <row r="281" spans="2:22" x14ac:dyDescent="0.3">
      <c r="B281" s="136" t="s">
        <v>2145</v>
      </c>
      <c r="C281" s="84" t="s">
        <v>887</v>
      </c>
      <c r="D281" s="45"/>
      <c r="E281" s="45"/>
      <c r="V281" s="45" t="s">
        <v>1013</v>
      </c>
    </row>
    <row r="282" spans="2:22" x14ac:dyDescent="0.3">
      <c r="B282" s="136" t="s">
        <v>2146</v>
      </c>
      <c r="C282" s="84" t="s">
        <v>888</v>
      </c>
      <c r="D282" s="45"/>
      <c r="E282" s="45"/>
      <c r="V282" s="45" t="s">
        <v>1014</v>
      </c>
    </row>
    <row r="283" spans="2:22" x14ac:dyDescent="0.3">
      <c r="B283" s="136" t="s">
        <v>1649</v>
      </c>
      <c r="C283" s="84" t="s">
        <v>889</v>
      </c>
      <c r="D283" s="45"/>
      <c r="E283" s="45"/>
      <c r="V283" s="45" t="s">
        <v>1015</v>
      </c>
    </row>
    <row r="284" spans="2:22" x14ac:dyDescent="0.3">
      <c r="B284" s="136" t="s">
        <v>2147</v>
      </c>
      <c r="C284" s="84" t="s">
        <v>890</v>
      </c>
      <c r="D284" s="45"/>
      <c r="E284" s="45"/>
      <c r="V284" s="45" t="s">
        <v>1016</v>
      </c>
    </row>
    <row r="285" spans="2:22" x14ac:dyDescent="0.3">
      <c r="B285" s="136" t="s">
        <v>2148</v>
      </c>
      <c r="C285" s="84" t="s">
        <v>891</v>
      </c>
      <c r="D285" s="45"/>
      <c r="E285" s="45"/>
      <c r="V285" s="45" t="s">
        <v>1017</v>
      </c>
    </row>
    <row r="286" spans="2:22" x14ac:dyDescent="0.3">
      <c r="B286" s="136" t="s">
        <v>2149</v>
      </c>
      <c r="C286" s="84" t="s">
        <v>892</v>
      </c>
      <c r="D286" s="45"/>
      <c r="E286" s="45"/>
      <c r="V286" s="45" t="s">
        <v>1018</v>
      </c>
    </row>
    <row r="287" spans="2:22" x14ac:dyDescent="0.3">
      <c r="B287" s="136" t="s">
        <v>2150</v>
      </c>
      <c r="C287" s="84" t="s">
        <v>893</v>
      </c>
      <c r="D287" s="45"/>
      <c r="E287" s="45"/>
      <c r="V287" s="45" t="s">
        <v>1020</v>
      </c>
    </row>
    <row r="288" spans="2:22" x14ac:dyDescent="0.3">
      <c r="B288" s="136" t="s">
        <v>2151</v>
      </c>
      <c r="C288" s="84" t="s">
        <v>894</v>
      </c>
      <c r="D288" s="45"/>
      <c r="E288" s="45"/>
      <c r="V288" s="45" t="s">
        <v>1023</v>
      </c>
    </row>
    <row r="289" spans="2:22" x14ac:dyDescent="0.3">
      <c r="B289" s="136" t="s">
        <v>2152</v>
      </c>
      <c r="C289" s="84" t="s">
        <v>895</v>
      </c>
      <c r="D289" s="45"/>
      <c r="E289" s="45"/>
      <c r="V289" s="45" t="s">
        <v>1024</v>
      </c>
    </row>
    <row r="290" spans="2:22" x14ac:dyDescent="0.3">
      <c r="B290" s="136" t="s">
        <v>2153</v>
      </c>
      <c r="C290" s="84" t="s">
        <v>896</v>
      </c>
      <c r="D290" s="45"/>
      <c r="E290" s="45"/>
      <c r="V290" s="45" t="s">
        <v>1025</v>
      </c>
    </row>
    <row r="291" spans="2:22" x14ac:dyDescent="0.3">
      <c r="B291" s="136" t="s">
        <v>2154</v>
      </c>
      <c r="C291" s="84" t="s">
        <v>897</v>
      </c>
      <c r="D291" s="45"/>
      <c r="E291" s="45"/>
      <c r="V291" s="45" t="s">
        <v>1027</v>
      </c>
    </row>
    <row r="292" spans="2:22" x14ac:dyDescent="0.3">
      <c r="B292" s="136" t="s">
        <v>2155</v>
      </c>
      <c r="C292" s="84" t="s">
        <v>898</v>
      </c>
      <c r="D292" s="45"/>
      <c r="E292" s="45"/>
      <c r="V292" s="45" t="s">
        <v>1028</v>
      </c>
    </row>
    <row r="293" spans="2:22" x14ac:dyDescent="0.3">
      <c r="B293" s="136" t="s">
        <v>2156</v>
      </c>
      <c r="C293" s="84" t="s">
        <v>899</v>
      </c>
      <c r="D293" s="45"/>
      <c r="E293" s="45"/>
      <c r="V293" s="45" t="s">
        <v>1029</v>
      </c>
    </row>
    <row r="294" spans="2:22" x14ac:dyDescent="0.3">
      <c r="B294" s="136" t="s">
        <v>2157</v>
      </c>
      <c r="C294" s="84" t="s">
        <v>900</v>
      </c>
      <c r="D294" s="45"/>
      <c r="E294" s="45"/>
      <c r="V294" s="45" t="s">
        <v>1030</v>
      </c>
    </row>
    <row r="295" spans="2:22" x14ac:dyDescent="0.3">
      <c r="B295" s="136" t="s">
        <v>2158</v>
      </c>
      <c r="C295" s="84" t="s">
        <v>901</v>
      </c>
      <c r="D295" s="45"/>
      <c r="E295" s="45"/>
      <c r="V295" s="45" t="s">
        <v>216</v>
      </c>
    </row>
    <row r="296" spans="2:22" x14ac:dyDescent="0.3">
      <c r="B296" s="136" t="s">
        <v>2159</v>
      </c>
      <c r="C296" s="84" t="s">
        <v>902</v>
      </c>
      <c r="D296" s="45"/>
      <c r="E296" s="45"/>
      <c r="V296" s="45" t="s">
        <v>1031</v>
      </c>
    </row>
    <row r="297" spans="2:22" x14ac:dyDescent="0.3">
      <c r="B297" s="136" t="s">
        <v>3323</v>
      </c>
      <c r="C297" s="84" t="s">
        <v>903</v>
      </c>
      <c r="D297" s="45"/>
      <c r="E297" s="45"/>
      <c r="V297" s="45" t="s">
        <v>1032</v>
      </c>
    </row>
    <row r="298" spans="2:22" x14ac:dyDescent="0.3">
      <c r="B298" s="136" t="s">
        <v>3334</v>
      </c>
      <c r="C298" s="84" t="s">
        <v>904</v>
      </c>
      <c r="D298" s="45"/>
      <c r="E298" s="45"/>
      <c r="V298" s="45" t="s">
        <v>1033</v>
      </c>
    </row>
    <row r="299" spans="2:22" x14ac:dyDescent="0.3">
      <c r="B299" s="136" t="s">
        <v>3324</v>
      </c>
      <c r="C299" s="84" t="s">
        <v>905</v>
      </c>
      <c r="D299" s="45"/>
      <c r="E299" s="45"/>
      <c r="V299" s="45" t="s">
        <v>1034</v>
      </c>
    </row>
    <row r="300" spans="2:22" x14ac:dyDescent="0.3">
      <c r="B300" s="136" t="s">
        <v>3335</v>
      </c>
      <c r="C300" s="84" t="s">
        <v>906</v>
      </c>
      <c r="D300" s="45"/>
      <c r="E300" s="45"/>
      <c r="V300" s="45" t="s">
        <v>1035</v>
      </c>
    </row>
    <row r="301" spans="2:22" x14ac:dyDescent="0.3">
      <c r="B301" s="136" t="s">
        <v>3313</v>
      </c>
      <c r="C301" s="84" t="s">
        <v>907</v>
      </c>
      <c r="D301" s="45"/>
      <c r="E301" s="45"/>
      <c r="V301" s="45" t="s">
        <v>1036</v>
      </c>
    </row>
    <row r="302" spans="2:22" x14ac:dyDescent="0.3">
      <c r="B302" s="136" t="s">
        <v>3314</v>
      </c>
      <c r="C302" s="84" t="s">
        <v>908</v>
      </c>
      <c r="D302" s="45"/>
      <c r="E302" s="45"/>
      <c r="V302" s="45" t="s">
        <v>1037</v>
      </c>
    </row>
    <row r="303" spans="2:22" x14ac:dyDescent="0.3">
      <c r="B303" s="136" t="s">
        <v>3325</v>
      </c>
      <c r="C303" s="84" t="s">
        <v>909</v>
      </c>
      <c r="D303" s="45"/>
      <c r="E303" s="45"/>
      <c r="V303" s="45" t="s">
        <v>1038</v>
      </c>
    </row>
    <row r="304" spans="2:22" x14ac:dyDescent="0.3">
      <c r="B304" s="136" t="s">
        <v>3336</v>
      </c>
      <c r="C304" s="84" t="s">
        <v>910</v>
      </c>
      <c r="D304" s="45"/>
      <c r="E304" s="45"/>
      <c r="V304" s="45" t="s">
        <v>1039</v>
      </c>
    </row>
    <row r="305" spans="2:22" x14ac:dyDescent="0.3">
      <c r="B305" s="136" t="s">
        <v>3315</v>
      </c>
      <c r="C305" s="84" t="s">
        <v>911</v>
      </c>
      <c r="D305" s="45"/>
      <c r="E305" s="45"/>
      <c r="V305" s="45" t="s">
        <v>1040</v>
      </c>
    </row>
    <row r="306" spans="2:22" x14ac:dyDescent="0.3">
      <c r="B306" s="137" t="s">
        <v>3326</v>
      </c>
      <c r="C306" s="84" t="s">
        <v>912</v>
      </c>
      <c r="D306" s="45"/>
      <c r="E306" s="45"/>
      <c r="V306" s="45" t="s">
        <v>1041</v>
      </c>
    </row>
    <row r="307" spans="2:22" x14ac:dyDescent="0.3">
      <c r="B307" s="137" t="s">
        <v>3337</v>
      </c>
      <c r="C307" s="84" t="s">
        <v>913</v>
      </c>
      <c r="D307" s="45"/>
      <c r="E307" s="45"/>
      <c r="V307" s="45" t="s">
        <v>1042</v>
      </c>
    </row>
    <row r="308" spans="2:22" x14ac:dyDescent="0.3">
      <c r="B308" s="137" t="s">
        <v>3316</v>
      </c>
      <c r="C308" s="84" t="s">
        <v>914</v>
      </c>
      <c r="D308" s="45"/>
      <c r="E308" s="45"/>
      <c r="V308" s="45" t="s">
        <v>234</v>
      </c>
    </row>
    <row r="309" spans="2:22" x14ac:dyDescent="0.3">
      <c r="B309" s="137" t="s">
        <v>3327</v>
      </c>
      <c r="C309" s="84" t="s">
        <v>915</v>
      </c>
      <c r="D309" s="45"/>
      <c r="E309" s="45"/>
      <c r="V309" s="45" t="s">
        <v>1043</v>
      </c>
    </row>
    <row r="310" spans="2:22" x14ac:dyDescent="0.3">
      <c r="B310" s="137" t="s">
        <v>3317</v>
      </c>
      <c r="C310" s="84" t="s">
        <v>916</v>
      </c>
      <c r="D310" s="45"/>
      <c r="E310" s="45"/>
      <c r="V310" s="45" t="s">
        <v>1044</v>
      </c>
    </row>
    <row r="311" spans="2:22" x14ac:dyDescent="0.3">
      <c r="B311" s="137" t="s">
        <v>3328</v>
      </c>
      <c r="C311" s="84" t="s">
        <v>917</v>
      </c>
      <c r="D311" s="45"/>
      <c r="E311" s="45"/>
      <c r="V311" s="45" t="s">
        <v>1045</v>
      </c>
    </row>
    <row r="312" spans="2:22" x14ac:dyDescent="0.3">
      <c r="B312" s="137" t="s">
        <v>3318</v>
      </c>
      <c r="C312" s="84" t="s">
        <v>918</v>
      </c>
      <c r="D312" s="45"/>
      <c r="E312" s="45"/>
      <c r="V312" s="45" t="s">
        <v>1046</v>
      </c>
    </row>
    <row r="313" spans="2:22" x14ac:dyDescent="0.3">
      <c r="B313" s="137" t="s">
        <v>3329</v>
      </c>
      <c r="C313" s="84" t="s">
        <v>919</v>
      </c>
      <c r="D313" s="45"/>
      <c r="E313" s="45"/>
      <c r="V313" s="45" t="s">
        <v>1047</v>
      </c>
    </row>
    <row r="314" spans="2:22" x14ac:dyDescent="0.3">
      <c r="B314" s="137" t="s">
        <v>3319</v>
      </c>
      <c r="C314" s="84" t="s">
        <v>920</v>
      </c>
      <c r="D314" s="45"/>
      <c r="E314" s="45"/>
      <c r="V314" s="45" t="s">
        <v>1048</v>
      </c>
    </row>
    <row r="315" spans="2:22" x14ac:dyDescent="0.3">
      <c r="B315" s="137" t="s">
        <v>3330</v>
      </c>
      <c r="C315" s="84" t="s">
        <v>921</v>
      </c>
      <c r="D315" s="45"/>
      <c r="E315" s="45"/>
      <c r="V315" s="45" t="s">
        <v>1049</v>
      </c>
    </row>
    <row r="316" spans="2:22" x14ac:dyDescent="0.3">
      <c r="B316" s="137" t="s">
        <v>3320</v>
      </c>
      <c r="C316" s="84" t="s">
        <v>922</v>
      </c>
      <c r="D316" s="45"/>
      <c r="E316" s="45"/>
      <c r="V316" s="45" t="s">
        <v>1050</v>
      </c>
    </row>
    <row r="317" spans="2:22" x14ac:dyDescent="0.3">
      <c r="B317" s="137" t="s">
        <v>3331</v>
      </c>
      <c r="C317" s="84" t="s">
        <v>923</v>
      </c>
      <c r="D317" s="45"/>
      <c r="E317" s="45"/>
      <c r="V317" s="45" t="s">
        <v>1051</v>
      </c>
    </row>
    <row r="318" spans="2:22" x14ac:dyDescent="0.3">
      <c r="B318" s="137" t="s">
        <v>3321</v>
      </c>
      <c r="C318" s="84" t="s">
        <v>924</v>
      </c>
      <c r="D318" s="45"/>
      <c r="E318" s="45"/>
      <c r="V318" s="45" t="s">
        <v>1052</v>
      </c>
    </row>
    <row r="319" spans="2:22" x14ac:dyDescent="0.3">
      <c r="B319" s="137" t="s">
        <v>3332</v>
      </c>
      <c r="C319" s="84" t="s">
        <v>925</v>
      </c>
      <c r="D319" s="45"/>
      <c r="E319" s="45"/>
      <c r="V319" s="45" t="s">
        <v>1053</v>
      </c>
    </row>
    <row r="320" spans="2:22" x14ac:dyDescent="0.3">
      <c r="B320" s="137" t="s">
        <v>3322</v>
      </c>
      <c r="C320" s="84" t="s">
        <v>926</v>
      </c>
      <c r="D320" s="45"/>
      <c r="E320" s="45"/>
      <c r="V320" s="45" t="s">
        <v>1054</v>
      </c>
    </row>
    <row r="321" spans="2:22" x14ac:dyDescent="0.3">
      <c r="B321" s="137" t="s">
        <v>3333</v>
      </c>
      <c r="C321" s="84" t="s">
        <v>927</v>
      </c>
      <c r="D321" s="45"/>
      <c r="E321" s="45"/>
      <c r="V321" s="45" t="s">
        <v>1055</v>
      </c>
    </row>
    <row r="322" spans="2:22" x14ac:dyDescent="0.3">
      <c r="B322" s="137" t="s">
        <v>2986</v>
      </c>
      <c r="C322" s="84" t="s">
        <v>928</v>
      </c>
      <c r="D322" s="45"/>
      <c r="E322" s="45"/>
      <c r="V322" s="45" t="s">
        <v>1056</v>
      </c>
    </row>
    <row r="323" spans="2:22" x14ac:dyDescent="0.3">
      <c r="B323" s="137" t="s">
        <v>2997</v>
      </c>
      <c r="C323" s="84" t="s">
        <v>929</v>
      </c>
      <c r="D323" s="45"/>
      <c r="E323" s="45"/>
      <c r="V323" s="45" t="s">
        <v>231</v>
      </c>
    </row>
    <row r="324" spans="2:22" x14ac:dyDescent="0.3">
      <c r="B324" s="137" t="s">
        <v>2987</v>
      </c>
      <c r="C324" s="84" t="s">
        <v>930</v>
      </c>
      <c r="D324" s="45"/>
      <c r="E324" s="45"/>
      <c r="V324" s="45" t="s">
        <v>1057</v>
      </c>
    </row>
    <row r="325" spans="2:22" x14ac:dyDescent="0.3">
      <c r="B325" s="137" t="s">
        <v>2998</v>
      </c>
      <c r="C325" s="84" t="s">
        <v>931</v>
      </c>
      <c r="D325" s="45"/>
      <c r="E325" s="45"/>
      <c r="V325" s="45" t="s">
        <v>1058</v>
      </c>
    </row>
    <row r="326" spans="2:22" x14ac:dyDescent="0.3">
      <c r="B326" s="137" t="s">
        <v>2999</v>
      </c>
      <c r="C326" s="84" t="s">
        <v>932</v>
      </c>
      <c r="D326" s="45"/>
      <c r="E326" s="45"/>
      <c r="V326" s="45" t="s">
        <v>1059</v>
      </c>
    </row>
    <row r="327" spans="2:22" x14ac:dyDescent="0.3">
      <c r="B327" s="137" t="s">
        <v>2976</v>
      </c>
      <c r="C327" s="84" t="s">
        <v>933</v>
      </c>
      <c r="D327" s="45"/>
      <c r="E327" s="45"/>
      <c r="V327" s="45" t="s">
        <v>1060</v>
      </c>
    </row>
    <row r="328" spans="2:22" x14ac:dyDescent="0.3">
      <c r="B328" s="137" t="s">
        <v>2977</v>
      </c>
      <c r="C328" s="84" t="s">
        <v>232</v>
      </c>
      <c r="D328" s="45"/>
      <c r="E328" s="45"/>
      <c r="V328" s="45" t="s">
        <v>1061</v>
      </c>
    </row>
    <row r="329" spans="2:22" x14ac:dyDescent="0.3">
      <c r="B329" s="137" t="s">
        <v>4627</v>
      </c>
      <c r="C329" s="84" t="s">
        <v>934</v>
      </c>
      <c r="D329" s="45"/>
      <c r="E329" s="45"/>
      <c r="V329" s="45" t="s">
        <v>1062</v>
      </c>
    </row>
    <row r="330" spans="2:22" x14ac:dyDescent="0.3">
      <c r="B330" s="137" t="s">
        <v>2988</v>
      </c>
      <c r="C330" s="84" t="s">
        <v>935</v>
      </c>
      <c r="D330" s="45"/>
      <c r="E330" s="45"/>
      <c r="V330" s="45" t="s">
        <v>1063</v>
      </c>
    </row>
    <row r="331" spans="2:22" x14ac:dyDescent="0.3">
      <c r="B331" s="137" t="s">
        <v>3000</v>
      </c>
      <c r="C331" s="84" t="s">
        <v>936</v>
      </c>
      <c r="D331" s="45"/>
      <c r="E331" s="45"/>
      <c r="V331" s="45" t="s">
        <v>778</v>
      </c>
    </row>
    <row r="332" spans="2:22" x14ac:dyDescent="0.3">
      <c r="B332" s="137" t="s">
        <v>3001</v>
      </c>
      <c r="C332" s="84" t="s">
        <v>937</v>
      </c>
      <c r="D332" s="45"/>
      <c r="E332" s="45"/>
      <c r="V332" s="45" t="s">
        <v>778</v>
      </c>
    </row>
    <row r="333" spans="2:22" x14ac:dyDescent="0.3">
      <c r="B333" s="136" t="s">
        <v>2978</v>
      </c>
      <c r="C333" s="84" t="s">
        <v>938</v>
      </c>
      <c r="D333" s="45"/>
      <c r="E333" s="45"/>
      <c r="V333" s="45" t="s">
        <v>212</v>
      </c>
    </row>
    <row r="334" spans="2:22" x14ac:dyDescent="0.3">
      <c r="B334" s="136" t="s">
        <v>4628</v>
      </c>
      <c r="C334" s="84" t="s">
        <v>939</v>
      </c>
      <c r="D334" s="45"/>
      <c r="E334" s="45"/>
      <c r="V334" s="45" t="s">
        <v>212</v>
      </c>
    </row>
    <row r="335" spans="2:22" x14ac:dyDescent="0.3">
      <c r="B335" s="136" t="s">
        <v>2989</v>
      </c>
      <c r="C335" s="84" t="s">
        <v>940</v>
      </c>
      <c r="D335" s="45"/>
      <c r="E335" s="45"/>
      <c r="V335" s="45" t="s">
        <v>810</v>
      </c>
    </row>
    <row r="336" spans="2:22" x14ac:dyDescent="0.3">
      <c r="B336" s="136" t="s">
        <v>3002</v>
      </c>
      <c r="C336" s="84" t="s">
        <v>941</v>
      </c>
      <c r="D336" s="45"/>
      <c r="E336" s="45"/>
      <c r="V336" s="45" t="s">
        <v>814</v>
      </c>
    </row>
    <row r="337" spans="2:22" x14ac:dyDescent="0.3">
      <c r="B337" s="136" t="s">
        <v>2979</v>
      </c>
      <c r="C337" s="84" t="s">
        <v>942</v>
      </c>
      <c r="D337" s="45"/>
      <c r="E337" s="45"/>
      <c r="V337" s="45" t="s">
        <v>804</v>
      </c>
    </row>
    <row r="338" spans="2:22" x14ac:dyDescent="0.3">
      <c r="B338" s="136" t="s">
        <v>2990</v>
      </c>
      <c r="C338" s="84" t="s">
        <v>943</v>
      </c>
      <c r="D338" s="45"/>
      <c r="E338" s="45"/>
      <c r="V338" s="45" t="s">
        <v>808</v>
      </c>
    </row>
    <row r="339" spans="2:22" x14ac:dyDescent="0.3">
      <c r="B339" s="136" t="s">
        <v>2980</v>
      </c>
      <c r="C339" s="84" t="s">
        <v>944</v>
      </c>
      <c r="D339" s="45"/>
      <c r="E339" s="45"/>
      <c r="V339" s="45" t="s">
        <v>673</v>
      </c>
    </row>
    <row r="340" spans="2:22" x14ac:dyDescent="0.3">
      <c r="B340" s="136" t="s">
        <v>2991</v>
      </c>
      <c r="C340" s="84" t="s">
        <v>945</v>
      </c>
      <c r="D340" s="45"/>
      <c r="E340" s="45"/>
      <c r="V340" s="45" t="s">
        <v>726</v>
      </c>
    </row>
    <row r="341" spans="2:22" x14ac:dyDescent="0.3">
      <c r="B341" s="136" t="s">
        <v>4629</v>
      </c>
      <c r="C341" s="84" t="s">
        <v>946</v>
      </c>
      <c r="D341" s="45"/>
      <c r="E341" s="45"/>
      <c r="V341" s="45" t="s">
        <v>679</v>
      </c>
    </row>
    <row r="342" spans="2:22" x14ac:dyDescent="0.3">
      <c r="B342" s="136" t="s">
        <v>2981</v>
      </c>
      <c r="C342" s="84" t="s">
        <v>947</v>
      </c>
      <c r="D342" s="45"/>
      <c r="E342" s="45"/>
      <c r="V342" s="45" t="s">
        <v>730</v>
      </c>
    </row>
    <row r="343" spans="2:22" x14ac:dyDescent="0.3">
      <c r="B343" s="136" t="s">
        <v>2992</v>
      </c>
      <c r="C343" s="84" t="s">
        <v>948</v>
      </c>
      <c r="D343" s="45"/>
      <c r="E343" s="45"/>
      <c r="V343" s="45" t="s">
        <v>1550</v>
      </c>
    </row>
    <row r="344" spans="2:22" x14ac:dyDescent="0.3">
      <c r="B344" s="136" t="s">
        <v>2982</v>
      </c>
      <c r="C344" s="84" t="s">
        <v>949</v>
      </c>
      <c r="D344" s="45"/>
      <c r="E344" s="45"/>
      <c r="V344" s="45" t="s">
        <v>1552</v>
      </c>
    </row>
    <row r="345" spans="2:22" x14ac:dyDescent="0.3">
      <c r="B345" s="136" t="s">
        <v>2993</v>
      </c>
      <c r="C345" s="84" t="s">
        <v>950</v>
      </c>
      <c r="D345" s="45"/>
      <c r="E345" s="45"/>
      <c r="V345" s="45" t="s">
        <v>1554</v>
      </c>
    </row>
    <row r="346" spans="2:22" x14ac:dyDescent="0.3">
      <c r="B346" s="136" t="s">
        <v>2983</v>
      </c>
      <c r="C346" s="84" t="s">
        <v>951</v>
      </c>
      <c r="D346" s="45"/>
      <c r="E346" s="45"/>
      <c r="V346" s="45" t="s">
        <v>683</v>
      </c>
    </row>
    <row r="347" spans="2:22" x14ac:dyDescent="0.3">
      <c r="B347" s="136" t="s">
        <v>2994</v>
      </c>
      <c r="C347" s="84" t="s">
        <v>952</v>
      </c>
      <c r="D347" s="45"/>
      <c r="E347" s="45"/>
      <c r="V347" s="45" t="s">
        <v>686</v>
      </c>
    </row>
    <row r="348" spans="2:22" x14ac:dyDescent="0.3">
      <c r="B348" s="136" t="s">
        <v>2984</v>
      </c>
      <c r="C348" s="84" t="s">
        <v>953</v>
      </c>
      <c r="D348" s="45"/>
      <c r="E348" s="45"/>
      <c r="V348" s="45" t="s">
        <v>1555</v>
      </c>
    </row>
    <row r="349" spans="2:22" x14ac:dyDescent="0.3">
      <c r="B349" s="136" t="s">
        <v>2995</v>
      </c>
      <c r="C349" s="84" t="s">
        <v>954</v>
      </c>
      <c r="D349" s="45"/>
      <c r="E349" s="45"/>
      <c r="V349" s="45" t="s">
        <v>1556</v>
      </c>
    </row>
    <row r="350" spans="2:22" x14ac:dyDescent="0.3">
      <c r="B350" s="136" t="s">
        <v>2985</v>
      </c>
      <c r="C350" s="84" t="s">
        <v>955</v>
      </c>
      <c r="D350" s="45"/>
      <c r="E350" s="45"/>
      <c r="V350" s="45" t="s">
        <v>1557</v>
      </c>
    </row>
    <row r="351" spans="2:22" x14ac:dyDescent="0.3">
      <c r="B351" s="137" t="s">
        <v>2996</v>
      </c>
      <c r="C351" s="84" t="s">
        <v>956</v>
      </c>
      <c r="D351" s="45"/>
      <c r="E351" s="45"/>
      <c r="V351" s="45" t="s">
        <v>1558</v>
      </c>
    </row>
    <row r="352" spans="2:22" x14ac:dyDescent="0.3">
      <c r="B352" s="137" t="s">
        <v>3113</v>
      </c>
      <c r="C352" s="84" t="s">
        <v>957</v>
      </c>
      <c r="D352" s="45"/>
      <c r="E352" s="45"/>
      <c r="V352" s="45" t="s">
        <v>1559</v>
      </c>
    </row>
    <row r="353" spans="2:22" x14ac:dyDescent="0.3">
      <c r="B353" s="137" t="s">
        <v>3124</v>
      </c>
      <c r="C353" s="84" t="s">
        <v>958</v>
      </c>
      <c r="D353" s="45"/>
      <c r="E353" s="45"/>
      <c r="V353" s="45" t="s">
        <v>1560</v>
      </c>
    </row>
    <row r="354" spans="2:22" x14ac:dyDescent="0.3">
      <c r="B354" s="136" t="s">
        <v>3114</v>
      </c>
      <c r="C354" s="84" t="s">
        <v>959</v>
      </c>
      <c r="D354" s="45"/>
      <c r="E354" s="45"/>
      <c r="V354" s="45" t="s">
        <v>1561</v>
      </c>
    </row>
    <row r="355" spans="2:22" x14ac:dyDescent="0.3">
      <c r="B355" s="136" t="s">
        <v>3125</v>
      </c>
      <c r="C355" s="84" t="s">
        <v>960</v>
      </c>
      <c r="D355" s="45"/>
      <c r="E355" s="45"/>
      <c r="V355" s="45" t="s">
        <v>734</v>
      </c>
    </row>
    <row r="356" spans="2:22" x14ac:dyDescent="0.3">
      <c r="B356" s="136" t="s">
        <v>3126</v>
      </c>
      <c r="C356" s="84" t="s">
        <v>961</v>
      </c>
      <c r="D356" s="45"/>
      <c r="E356" s="45"/>
      <c r="V356" s="45" t="s">
        <v>720</v>
      </c>
    </row>
    <row r="357" spans="2:22" x14ac:dyDescent="0.3">
      <c r="B357" s="137" t="s">
        <v>3103</v>
      </c>
      <c r="C357" s="84" t="s">
        <v>962</v>
      </c>
      <c r="D357" s="45"/>
      <c r="E357" s="45"/>
      <c r="V357" s="45" t="s">
        <v>1563</v>
      </c>
    </row>
    <row r="358" spans="2:22" x14ac:dyDescent="0.3">
      <c r="B358" s="137" t="s">
        <v>3104</v>
      </c>
      <c r="C358" s="84" t="s">
        <v>963</v>
      </c>
      <c r="D358" s="45"/>
      <c r="E358" s="45"/>
      <c r="V358" s="45" t="s">
        <v>1564</v>
      </c>
    </row>
    <row r="359" spans="2:22" x14ac:dyDescent="0.3">
      <c r="B359" s="137" t="s">
        <v>4630</v>
      </c>
      <c r="C359" s="84" t="s">
        <v>964</v>
      </c>
      <c r="D359" s="45"/>
      <c r="E359" s="45"/>
      <c r="V359" s="45" t="s">
        <v>1565</v>
      </c>
    </row>
    <row r="360" spans="2:22" x14ac:dyDescent="0.3">
      <c r="B360" s="136" t="s">
        <v>3115</v>
      </c>
      <c r="C360" s="84" t="s">
        <v>965</v>
      </c>
      <c r="D360" s="45"/>
      <c r="E360" s="45"/>
      <c r="V360" s="45" t="s">
        <v>1566</v>
      </c>
    </row>
    <row r="361" spans="2:22" x14ac:dyDescent="0.3">
      <c r="B361" s="136" t="s">
        <v>3127</v>
      </c>
      <c r="C361" s="84" t="s">
        <v>966</v>
      </c>
      <c r="D361" s="45"/>
      <c r="E361" s="45"/>
      <c r="V361" s="45" t="s">
        <v>1567</v>
      </c>
    </row>
    <row r="362" spans="2:22" x14ac:dyDescent="0.3">
      <c r="B362" s="136" t="s">
        <v>3128</v>
      </c>
      <c r="C362" s="84" t="s">
        <v>967</v>
      </c>
      <c r="D362" s="45"/>
      <c r="E362" s="45"/>
      <c r="V362" s="45" t="s">
        <v>1568</v>
      </c>
    </row>
    <row r="363" spans="2:22" x14ac:dyDescent="0.3">
      <c r="B363" s="137" t="s">
        <v>3105</v>
      </c>
      <c r="C363" s="84" t="s">
        <v>968</v>
      </c>
      <c r="D363" s="45"/>
      <c r="E363" s="45"/>
      <c r="V363" s="45" t="s">
        <v>1569</v>
      </c>
    </row>
    <row r="364" spans="2:22" x14ac:dyDescent="0.3">
      <c r="B364" s="137" t="s">
        <v>4631</v>
      </c>
      <c r="C364" s="84" t="s">
        <v>969</v>
      </c>
      <c r="D364" s="45"/>
      <c r="E364" s="45"/>
      <c r="V364" s="45" t="s">
        <v>1570</v>
      </c>
    </row>
    <row r="365" spans="2:22" x14ac:dyDescent="0.3">
      <c r="B365" s="137" t="s">
        <v>3116</v>
      </c>
      <c r="C365" s="84" t="s">
        <v>970</v>
      </c>
      <c r="D365" s="45"/>
      <c r="E365" s="45"/>
      <c r="V365" s="45" t="s">
        <v>1571</v>
      </c>
    </row>
    <row r="366" spans="2:22" x14ac:dyDescent="0.3">
      <c r="B366" s="136" t="s">
        <v>3129</v>
      </c>
      <c r="C366" s="84" t="s">
        <v>971</v>
      </c>
      <c r="D366" s="45"/>
      <c r="E366" s="45"/>
      <c r="V366" s="45" t="s">
        <v>1572</v>
      </c>
    </row>
    <row r="367" spans="2:22" x14ac:dyDescent="0.3">
      <c r="B367" s="136" t="s">
        <v>3106</v>
      </c>
      <c r="C367" s="84" t="s">
        <v>972</v>
      </c>
      <c r="D367" s="45"/>
      <c r="E367" s="45"/>
      <c r="V367" s="45" t="s">
        <v>1573</v>
      </c>
    </row>
    <row r="368" spans="2:22" x14ac:dyDescent="0.3">
      <c r="B368" s="136" t="s">
        <v>3117</v>
      </c>
      <c r="C368" s="84" t="s">
        <v>973</v>
      </c>
      <c r="D368" s="45"/>
      <c r="E368" s="45"/>
      <c r="V368" s="45" t="s">
        <v>1574</v>
      </c>
    </row>
    <row r="369" spans="2:22" x14ac:dyDescent="0.3">
      <c r="B369" s="137" t="s">
        <v>3107</v>
      </c>
      <c r="C369" s="84" t="s">
        <v>974</v>
      </c>
      <c r="D369" s="45"/>
      <c r="E369" s="45"/>
      <c r="V369" s="45" t="s">
        <v>675</v>
      </c>
    </row>
    <row r="370" spans="2:22" x14ac:dyDescent="0.3">
      <c r="B370" s="137" t="s">
        <v>3118</v>
      </c>
      <c r="C370" s="84" t="s">
        <v>975</v>
      </c>
      <c r="D370" s="45"/>
      <c r="E370" s="45"/>
      <c r="V370" s="45" t="s">
        <v>1575</v>
      </c>
    </row>
    <row r="371" spans="2:22" x14ac:dyDescent="0.3">
      <c r="B371" s="137" t="s">
        <v>4632</v>
      </c>
      <c r="C371" s="84" t="s">
        <v>254</v>
      </c>
      <c r="D371" s="45"/>
      <c r="E371" s="45"/>
      <c r="V371" s="45" t="s">
        <v>1580</v>
      </c>
    </row>
    <row r="372" spans="2:22" x14ac:dyDescent="0.3">
      <c r="B372" s="137" t="s">
        <v>3108</v>
      </c>
      <c r="C372" s="84" t="s">
        <v>253</v>
      </c>
      <c r="D372" s="45"/>
      <c r="E372" s="45"/>
      <c r="V372" s="45" t="s">
        <v>1581</v>
      </c>
    </row>
    <row r="373" spans="2:22" x14ac:dyDescent="0.3">
      <c r="B373" s="137" t="s">
        <v>3119</v>
      </c>
      <c r="C373" s="84" t="s">
        <v>252</v>
      </c>
      <c r="D373" s="45"/>
      <c r="E373" s="45"/>
      <c r="V373" s="45" t="s">
        <v>1582</v>
      </c>
    </row>
    <row r="374" spans="2:22" x14ac:dyDescent="0.3">
      <c r="B374" s="137" t="s">
        <v>3109</v>
      </c>
      <c r="C374" s="84" t="s">
        <v>251</v>
      </c>
      <c r="D374" s="45"/>
      <c r="E374" s="45"/>
      <c r="V374" s="45" t="s">
        <v>1583</v>
      </c>
    </row>
    <row r="375" spans="2:22" x14ac:dyDescent="0.3">
      <c r="B375" s="137" t="s">
        <v>3120</v>
      </c>
      <c r="C375" s="84" t="s">
        <v>250</v>
      </c>
      <c r="D375" s="45"/>
      <c r="E375" s="45"/>
    </row>
    <row r="376" spans="2:22" x14ac:dyDescent="0.3">
      <c r="B376" s="137" t="s">
        <v>3110</v>
      </c>
      <c r="C376" s="84" t="s">
        <v>249</v>
      </c>
      <c r="D376" s="45"/>
      <c r="E376" s="45"/>
    </row>
    <row r="377" spans="2:22" x14ac:dyDescent="0.3">
      <c r="B377" s="137" t="s">
        <v>3121</v>
      </c>
      <c r="C377" s="84" t="s">
        <v>976</v>
      </c>
      <c r="D377" s="45"/>
      <c r="E377" s="45"/>
    </row>
    <row r="378" spans="2:22" x14ac:dyDescent="0.3">
      <c r="B378" s="137" t="s">
        <v>3111</v>
      </c>
      <c r="C378" s="84" t="s">
        <v>977</v>
      </c>
      <c r="D378" s="45"/>
      <c r="E378" s="45"/>
    </row>
    <row r="379" spans="2:22" x14ac:dyDescent="0.3">
      <c r="B379" s="137" t="s">
        <v>3122</v>
      </c>
      <c r="C379" s="84" t="s">
        <v>978</v>
      </c>
      <c r="D379" s="45"/>
      <c r="E379" s="45"/>
    </row>
    <row r="380" spans="2:22" x14ac:dyDescent="0.3">
      <c r="B380" s="137" t="s">
        <v>3112</v>
      </c>
      <c r="C380" s="84" t="s">
        <v>979</v>
      </c>
      <c r="D380" s="45"/>
      <c r="E380" s="45"/>
    </row>
    <row r="381" spans="2:22" x14ac:dyDescent="0.3">
      <c r="B381" s="137" t="s">
        <v>3123</v>
      </c>
      <c r="C381" s="84" t="s">
        <v>980</v>
      </c>
      <c r="D381" s="45"/>
      <c r="E381" s="45"/>
    </row>
    <row r="382" spans="2:22" x14ac:dyDescent="0.3">
      <c r="B382" s="137" t="s">
        <v>34</v>
      </c>
      <c r="C382" s="84" t="s">
        <v>981</v>
      </c>
      <c r="D382" s="45"/>
      <c r="E382" s="45"/>
    </row>
    <row r="383" spans="2:22" x14ac:dyDescent="0.3">
      <c r="B383" s="137" t="s">
        <v>35</v>
      </c>
      <c r="C383" s="84" t="s">
        <v>982</v>
      </c>
      <c r="D383" s="45"/>
      <c r="E383" s="45"/>
    </row>
    <row r="384" spans="2:22" x14ac:dyDescent="0.3">
      <c r="B384" s="137" t="s">
        <v>36</v>
      </c>
      <c r="C384" s="84" t="s">
        <v>983</v>
      </c>
      <c r="D384" s="45"/>
      <c r="E384" s="45"/>
    </row>
    <row r="385" spans="2:5" x14ac:dyDescent="0.3">
      <c r="B385" s="137" t="s">
        <v>37</v>
      </c>
      <c r="C385" s="84" t="s">
        <v>248</v>
      </c>
      <c r="D385" s="45"/>
      <c r="E385" s="45"/>
    </row>
    <row r="386" spans="2:5" x14ac:dyDescent="0.3">
      <c r="B386" s="137" t="s">
        <v>38</v>
      </c>
      <c r="C386" s="84" t="s">
        <v>984</v>
      </c>
      <c r="D386" s="45"/>
      <c r="E386" s="45"/>
    </row>
    <row r="387" spans="2:5" x14ac:dyDescent="0.3">
      <c r="B387" s="137" t="s">
        <v>39</v>
      </c>
      <c r="C387" s="84" t="s">
        <v>985</v>
      </c>
      <c r="D387" s="45"/>
      <c r="E387" s="45"/>
    </row>
    <row r="388" spans="2:5" x14ac:dyDescent="0.3">
      <c r="B388" s="137" t="s">
        <v>40</v>
      </c>
      <c r="C388" s="84" t="s">
        <v>986</v>
      </c>
      <c r="D388" s="45"/>
      <c r="E388" s="45"/>
    </row>
    <row r="389" spans="2:5" x14ac:dyDescent="0.3">
      <c r="B389" s="137" t="s">
        <v>1652</v>
      </c>
      <c r="C389" s="84" t="s">
        <v>987</v>
      </c>
      <c r="D389" s="45"/>
      <c r="E389" s="45"/>
    </row>
    <row r="390" spans="2:5" x14ac:dyDescent="0.3">
      <c r="B390" s="137" t="s">
        <v>41</v>
      </c>
      <c r="C390" s="84" t="s">
        <v>988</v>
      </c>
      <c r="D390" s="45"/>
      <c r="E390" s="45"/>
    </row>
    <row r="391" spans="2:5" x14ac:dyDescent="0.3">
      <c r="B391" s="137" t="s">
        <v>41</v>
      </c>
      <c r="C391" s="84" t="s">
        <v>989</v>
      </c>
      <c r="D391" s="45"/>
      <c r="E391" s="45"/>
    </row>
    <row r="392" spans="2:5" x14ac:dyDescent="0.3">
      <c r="B392" s="137" t="s">
        <v>42</v>
      </c>
      <c r="C392" s="84" t="s">
        <v>990</v>
      </c>
      <c r="D392" s="45"/>
      <c r="E392" s="45"/>
    </row>
    <row r="393" spans="2:5" x14ac:dyDescent="0.3">
      <c r="B393" s="137" t="s">
        <v>43</v>
      </c>
      <c r="C393" s="84" t="s">
        <v>991</v>
      </c>
      <c r="D393" s="45"/>
      <c r="E393" s="45"/>
    </row>
    <row r="394" spans="2:5" x14ac:dyDescent="0.3">
      <c r="B394" s="137" t="s">
        <v>44</v>
      </c>
      <c r="C394" s="84" t="s">
        <v>992</v>
      </c>
      <c r="D394" s="45"/>
      <c r="E394" s="45"/>
    </row>
    <row r="395" spans="2:5" x14ac:dyDescent="0.3">
      <c r="B395" s="137" t="s">
        <v>1653</v>
      </c>
      <c r="C395" s="84" t="s">
        <v>247</v>
      </c>
      <c r="D395" s="45"/>
      <c r="E395" s="45"/>
    </row>
    <row r="396" spans="2:5" x14ac:dyDescent="0.3">
      <c r="B396" s="137" t="s">
        <v>45</v>
      </c>
      <c r="C396" s="84" t="s">
        <v>993</v>
      </c>
      <c r="D396" s="45"/>
      <c r="E396" s="45"/>
    </row>
    <row r="397" spans="2:5" x14ac:dyDescent="0.3">
      <c r="B397" s="137" t="s">
        <v>46</v>
      </c>
      <c r="C397" s="84" t="s">
        <v>994</v>
      </c>
      <c r="D397" s="45"/>
      <c r="E397" s="45"/>
    </row>
    <row r="398" spans="2:5" x14ac:dyDescent="0.3">
      <c r="B398" s="137" t="s">
        <v>47</v>
      </c>
      <c r="C398" s="84" t="s">
        <v>995</v>
      </c>
      <c r="D398" s="45"/>
      <c r="E398" s="45"/>
    </row>
    <row r="399" spans="2:5" x14ac:dyDescent="0.3">
      <c r="B399" s="137" t="s">
        <v>47</v>
      </c>
      <c r="C399" s="84" t="s">
        <v>996</v>
      </c>
      <c r="D399" s="45"/>
      <c r="E399" s="45"/>
    </row>
    <row r="400" spans="2:5" x14ac:dyDescent="0.3">
      <c r="B400" s="137" t="s">
        <v>48</v>
      </c>
      <c r="C400" s="84" t="s">
        <v>997</v>
      </c>
      <c r="D400" s="45"/>
      <c r="E400" s="45"/>
    </row>
    <row r="401" spans="2:5" x14ac:dyDescent="0.3">
      <c r="B401" s="137" t="s">
        <v>49</v>
      </c>
      <c r="C401" s="84" t="s">
        <v>998</v>
      </c>
      <c r="D401" s="45"/>
      <c r="E401" s="45"/>
    </row>
    <row r="402" spans="2:5" x14ac:dyDescent="0.3">
      <c r="B402" s="137" t="s">
        <v>50</v>
      </c>
      <c r="C402" s="84" t="s">
        <v>999</v>
      </c>
      <c r="D402" s="45"/>
      <c r="E402" s="45"/>
    </row>
    <row r="403" spans="2:5" x14ac:dyDescent="0.3">
      <c r="B403" s="137" t="s">
        <v>51</v>
      </c>
      <c r="C403" s="84" t="s">
        <v>1000</v>
      </c>
      <c r="D403" s="45"/>
      <c r="E403" s="45"/>
    </row>
    <row r="404" spans="2:5" x14ac:dyDescent="0.3">
      <c r="B404" s="137" t="s">
        <v>52</v>
      </c>
      <c r="C404" s="84" t="s">
        <v>1001</v>
      </c>
      <c r="D404" s="45"/>
      <c r="E404" s="45"/>
    </row>
    <row r="405" spans="2:5" x14ac:dyDescent="0.3">
      <c r="B405" s="137" t="s">
        <v>53</v>
      </c>
      <c r="C405" s="84" t="s">
        <v>1002</v>
      </c>
      <c r="D405" s="45"/>
      <c r="E405" s="45"/>
    </row>
    <row r="406" spans="2:5" x14ac:dyDescent="0.3">
      <c r="B406" s="137" t="s">
        <v>54</v>
      </c>
      <c r="C406" s="84" t="s">
        <v>1003</v>
      </c>
      <c r="D406" s="45"/>
      <c r="E406" s="45"/>
    </row>
    <row r="407" spans="2:5" x14ac:dyDescent="0.3">
      <c r="B407" s="137" t="s">
        <v>55</v>
      </c>
      <c r="C407" s="84" t="s">
        <v>1004</v>
      </c>
      <c r="D407" s="45"/>
      <c r="E407" s="45"/>
    </row>
    <row r="408" spans="2:5" x14ac:dyDescent="0.3">
      <c r="B408" s="137" t="s">
        <v>56</v>
      </c>
      <c r="C408" s="84" t="s">
        <v>214</v>
      </c>
      <c r="D408" s="45"/>
      <c r="E408" s="45"/>
    </row>
    <row r="409" spans="2:5" x14ac:dyDescent="0.3">
      <c r="B409" s="137" t="s">
        <v>57</v>
      </c>
      <c r="C409" s="84" t="s">
        <v>1005</v>
      </c>
      <c r="D409" s="45"/>
      <c r="E409" s="45"/>
    </row>
    <row r="410" spans="2:5" x14ac:dyDescent="0.3">
      <c r="B410" s="137" t="s">
        <v>58</v>
      </c>
      <c r="C410" s="84" t="s">
        <v>1006</v>
      </c>
      <c r="D410" s="45"/>
      <c r="E410" s="45"/>
    </row>
    <row r="411" spans="2:5" x14ac:dyDescent="0.3">
      <c r="B411" s="136" t="s">
        <v>59</v>
      </c>
      <c r="C411" s="84" t="s">
        <v>1007</v>
      </c>
      <c r="D411" s="45"/>
      <c r="E411" s="45"/>
    </row>
    <row r="412" spans="2:5" x14ac:dyDescent="0.3">
      <c r="B412" s="136" t="s">
        <v>60</v>
      </c>
      <c r="C412" s="84" t="s">
        <v>1008</v>
      </c>
      <c r="D412" s="45"/>
      <c r="E412" s="45"/>
    </row>
    <row r="413" spans="2:5" x14ac:dyDescent="0.3">
      <c r="B413" s="136" t="s">
        <v>2722</v>
      </c>
      <c r="C413" s="84" t="s">
        <v>1009</v>
      </c>
      <c r="D413" s="45"/>
      <c r="E413" s="45"/>
    </row>
    <row r="414" spans="2:5" x14ac:dyDescent="0.3">
      <c r="B414" s="136" t="s">
        <v>2733</v>
      </c>
      <c r="C414" s="84" t="s">
        <v>1010</v>
      </c>
      <c r="D414" s="45"/>
      <c r="E414" s="45"/>
    </row>
    <row r="415" spans="2:5" x14ac:dyDescent="0.3">
      <c r="B415" s="136" t="s">
        <v>2723</v>
      </c>
      <c r="C415" s="84" t="s">
        <v>1011</v>
      </c>
      <c r="D415" s="45"/>
      <c r="E415" s="45"/>
    </row>
    <row r="416" spans="2:5" x14ac:dyDescent="0.3">
      <c r="B416" s="136" t="s">
        <v>2734</v>
      </c>
      <c r="C416" s="84" t="s">
        <v>1012</v>
      </c>
      <c r="D416" s="45"/>
      <c r="E416" s="45"/>
    </row>
    <row r="417" spans="2:5" x14ac:dyDescent="0.3">
      <c r="B417" s="136" t="s">
        <v>2735</v>
      </c>
      <c r="C417" s="84" t="s">
        <v>1013</v>
      </c>
      <c r="D417" s="45"/>
      <c r="E417" s="45"/>
    </row>
    <row r="418" spans="2:5" x14ac:dyDescent="0.3">
      <c r="B418" s="136" t="s">
        <v>2712</v>
      </c>
      <c r="C418" s="84" t="s">
        <v>1014</v>
      </c>
      <c r="D418" s="45"/>
      <c r="E418" s="45"/>
    </row>
    <row r="419" spans="2:5" x14ac:dyDescent="0.3">
      <c r="B419" s="136" t="s">
        <v>2713</v>
      </c>
      <c r="C419" s="84" t="s">
        <v>1015</v>
      </c>
      <c r="D419" s="45"/>
      <c r="E419" s="45"/>
    </row>
    <row r="420" spans="2:5" x14ac:dyDescent="0.3">
      <c r="B420" s="136" t="s">
        <v>4633</v>
      </c>
      <c r="C420" s="84" t="s">
        <v>1016</v>
      </c>
      <c r="D420" s="45"/>
      <c r="E420" s="45"/>
    </row>
    <row r="421" spans="2:5" x14ac:dyDescent="0.3">
      <c r="B421" s="136" t="s">
        <v>2724</v>
      </c>
      <c r="C421" s="84" t="s">
        <v>1017</v>
      </c>
      <c r="D421" s="45"/>
      <c r="E421" s="45"/>
    </row>
    <row r="422" spans="2:5" x14ac:dyDescent="0.3">
      <c r="B422" s="136" t="s">
        <v>2736</v>
      </c>
      <c r="C422" s="84" t="s">
        <v>1018</v>
      </c>
      <c r="D422" s="45"/>
      <c r="E422" s="45"/>
    </row>
    <row r="423" spans="2:5" x14ac:dyDescent="0.3">
      <c r="B423" s="136" t="s">
        <v>2737</v>
      </c>
      <c r="C423" s="84" t="s">
        <v>1019</v>
      </c>
      <c r="D423" s="45"/>
      <c r="E423" s="45"/>
    </row>
    <row r="424" spans="2:5" x14ac:dyDescent="0.3">
      <c r="B424" s="136" t="s">
        <v>2714</v>
      </c>
      <c r="C424" s="84" t="s">
        <v>1020</v>
      </c>
      <c r="D424" s="45"/>
      <c r="E424" s="45"/>
    </row>
    <row r="425" spans="2:5" x14ac:dyDescent="0.3">
      <c r="B425" s="136" t="s">
        <v>2725</v>
      </c>
      <c r="C425" s="84" t="s">
        <v>1021</v>
      </c>
      <c r="D425" s="45"/>
      <c r="E425" s="45"/>
    </row>
    <row r="426" spans="2:5" x14ac:dyDescent="0.3">
      <c r="B426" s="136" t="s">
        <v>2738</v>
      </c>
      <c r="C426" s="84" t="s">
        <v>1022</v>
      </c>
      <c r="D426" s="45"/>
      <c r="E426" s="45"/>
    </row>
    <row r="427" spans="2:5" x14ac:dyDescent="0.3">
      <c r="B427" s="136" t="s">
        <v>2715</v>
      </c>
      <c r="C427" s="84" t="s">
        <v>1023</v>
      </c>
      <c r="D427" s="45"/>
      <c r="E427" s="45"/>
    </row>
    <row r="428" spans="2:5" x14ac:dyDescent="0.3">
      <c r="B428" s="136" t="s">
        <v>2726</v>
      </c>
      <c r="C428" s="84" t="s">
        <v>1024</v>
      </c>
      <c r="D428" s="45"/>
      <c r="E428" s="45"/>
    </row>
    <row r="429" spans="2:5" x14ac:dyDescent="0.3">
      <c r="B429" s="136" t="s">
        <v>2716</v>
      </c>
      <c r="C429" s="84" t="s">
        <v>1025</v>
      </c>
      <c r="D429" s="45"/>
      <c r="E429" s="45"/>
    </row>
    <row r="430" spans="2:5" x14ac:dyDescent="0.3">
      <c r="B430" s="136" t="s">
        <v>2727</v>
      </c>
      <c r="C430" s="84" t="s">
        <v>1026</v>
      </c>
      <c r="D430" s="45"/>
      <c r="E430" s="45"/>
    </row>
    <row r="431" spans="2:5" x14ac:dyDescent="0.3">
      <c r="B431" s="136" t="s">
        <v>4634</v>
      </c>
      <c r="C431" s="84" t="s">
        <v>1027</v>
      </c>
      <c r="D431" s="45"/>
      <c r="E431" s="45"/>
    </row>
    <row r="432" spans="2:5" x14ac:dyDescent="0.3">
      <c r="B432" s="136" t="s">
        <v>2717</v>
      </c>
      <c r="C432" s="84" t="s">
        <v>1028</v>
      </c>
      <c r="D432" s="45"/>
      <c r="E432" s="45"/>
    </row>
    <row r="433" spans="2:5" x14ac:dyDescent="0.3">
      <c r="B433" s="136" t="s">
        <v>2728</v>
      </c>
      <c r="C433" s="84" t="s">
        <v>1029</v>
      </c>
      <c r="D433" s="45"/>
      <c r="E433" s="45"/>
    </row>
    <row r="434" spans="2:5" x14ac:dyDescent="0.3">
      <c r="B434" s="136" t="s">
        <v>2718</v>
      </c>
      <c r="C434" s="84" t="s">
        <v>1030</v>
      </c>
      <c r="D434" s="45"/>
      <c r="E434" s="45"/>
    </row>
    <row r="435" spans="2:5" x14ac:dyDescent="0.3">
      <c r="B435" s="136" t="s">
        <v>2729</v>
      </c>
      <c r="C435" s="84" t="s">
        <v>216</v>
      </c>
      <c r="D435" s="45"/>
      <c r="E435" s="45"/>
    </row>
    <row r="436" spans="2:5" x14ac:dyDescent="0.3">
      <c r="B436" s="136" t="s">
        <v>2719</v>
      </c>
      <c r="C436" s="84" t="s">
        <v>1031</v>
      </c>
      <c r="D436" s="45"/>
      <c r="E436" s="45"/>
    </row>
    <row r="437" spans="2:5" x14ac:dyDescent="0.3">
      <c r="B437" s="136" t="s">
        <v>2730</v>
      </c>
      <c r="C437" s="84" t="s">
        <v>1032</v>
      </c>
      <c r="D437" s="45"/>
      <c r="E437" s="45"/>
    </row>
    <row r="438" spans="2:5" x14ac:dyDescent="0.3">
      <c r="B438" s="137" t="s">
        <v>2720</v>
      </c>
      <c r="C438" s="84" t="s">
        <v>1033</v>
      </c>
      <c r="D438" s="45"/>
      <c r="E438" s="45"/>
    </row>
    <row r="439" spans="2:5" x14ac:dyDescent="0.3">
      <c r="B439" s="137" t="s">
        <v>2731</v>
      </c>
      <c r="C439" s="84" t="s">
        <v>1034</v>
      </c>
      <c r="D439" s="45"/>
      <c r="E439" s="45"/>
    </row>
    <row r="440" spans="2:5" x14ac:dyDescent="0.3">
      <c r="B440" s="137" t="s">
        <v>2721</v>
      </c>
      <c r="C440" s="84" t="s">
        <v>1035</v>
      </c>
      <c r="D440" s="45"/>
      <c r="E440" s="45"/>
    </row>
    <row r="441" spans="2:5" x14ac:dyDescent="0.3">
      <c r="B441" s="137" t="s">
        <v>2732</v>
      </c>
      <c r="C441" s="84" t="s">
        <v>1036</v>
      </c>
      <c r="D441" s="45"/>
      <c r="E441" s="45"/>
    </row>
    <row r="442" spans="2:5" x14ac:dyDescent="0.3">
      <c r="B442" s="137" t="s">
        <v>2160</v>
      </c>
      <c r="C442" s="84" t="s">
        <v>1037</v>
      </c>
      <c r="D442" s="45"/>
      <c r="E442" s="45"/>
    </row>
    <row r="443" spans="2:5" x14ac:dyDescent="0.3">
      <c r="B443" s="137" t="s">
        <v>1656</v>
      </c>
      <c r="C443" s="84" t="s">
        <v>1038</v>
      </c>
      <c r="D443" s="45"/>
      <c r="E443" s="45"/>
    </row>
    <row r="444" spans="2:5" x14ac:dyDescent="0.3">
      <c r="B444" s="137" t="s">
        <v>2161</v>
      </c>
      <c r="C444" s="84" t="s">
        <v>1039</v>
      </c>
      <c r="D444" s="45"/>
      <c r="E444" s="45"/>
    </row>
    <row r="445" spans="2:5" x14ac:dyDescent="0.3">
      <c r="B445" s="137" t="s">
        <v>2162</v>
      </c>
      <c r="C445" s="84" t="s">
        <v>1040</v>
      </c>
      <c r="D445" s="45"/>
      <c r="E445" s="45"/>
    </row>
    <row r="446" spans="2:5" x14ac:dyDescent="0.3">
      <c r="B446" s="137" t="s">
        <v>2163</v>
      </c>
      <c r="C446" s="84" t="s">
        <v>1041</v>
      </c>
      <c r="D446" s="45"/>
      <c r="E446" s="45"/>
    </row>
    <row r="447" spans="2:5" x14ac:dyDescent="0.3">
      <c r="B447" s="137" t="s">
        <v>2164</v>
      </c>
      <c r="C447" s="84" t="s">
        <v>1042</v>
      </c>
      <c r="D447" s="45"/>
      <c r="E447" s="45"/>
    </row>
    <row r="448" spans="2:5" x14ac:dyDescent="0.3">
      <c r="B448" s="137" t="s">
        <v>2165</v>
      </c>
      <c r="C448" s="84" t="s">
        <v>234</v>
      </c>
      <c r="D448" s="45"/>
      <c r="E448" s="45"/>
    </row>
    <row r="449" spans="2:5" x14ac:dyDescent="0.3">
      <c r="B449" s="137" t="s">
        <v>2166</v>
      </c>
      <c r="C449" s="84" t="s">
        <v>1043</v>
      </c>
      <c r="D449" s="45"/>
      <c r="E449" s="45"/>
    </row>
    <row r="450" spans="2:5" x14ac:dyDescent="0.3">
      <c r="B450" s="137" t="s">
        <v>2167</v>
      </c>
      <c r="C450" s="84" t="s">
        <v>1044</v>
      </c>
      <c r="D450" s="45"/>
      <c r="E450" s="45"/>
    </row>
    <row r="451" spans="2:5" x14ac:dyDescent="0.3">
      <c r="B451" s="137" t="s">
        <v>2168</v>
      </c>
      <c r="C451" s="84" t="s">
        <v>1045</v>
      </c>
      <c r="D451" s="45"/>
      <c r="E451" s="45"/>
    </row>
    <row r="452" spans="2:5" x14ac:dyDescent="0.3">
      <c r="B452" s="137" t="s">
        <v>2678</v>
      </c>
      <c r="C452" s="84" t="s">
        <v>1046</v>
      </c>
      <c r="D452" s="45"/>
      <c r="E452" s="45"/>
    </row>
    <row r="453" spans="2:5" x14ac:dyDescent="0.3">
      <c r="B453" s="137" t="s">
        <v>1935</v>
      </c>
      <c r="C453" s="84" t="s">
        <v>1047</v>
      </c>
      <c r="D453" s="45"/>
      <c r="E453" s="45"/>
    </row>
    <row r="454" spans="2:5" x14ac:dyDescent="0.3">
      <c r="B454" s="137" t="s">
        <v>4635</v>
      </c>
      <c r="C454" s="84" t="s">
        <v>1048</v>
      </c>
      <c r="D454" s="45"/>
      <c r="E454" s="45"/>
    </row>
    <row r="455" spans="2:5" x14ac:dyDescent="0.3">
      <c r="B455" s="137" t="s">
        <v>1936</v>
      </c>
      <c r="C455" s="84" t="s">
        <v>1049</v>
      </c>
      <c r="D455" s="45"/>
      <c r="E455" s="45"/>
    </row>
    <row r="456" spans="2:5" x14ac:dyDescent="0.3">
      <c r="B456" s="137" t="s">
        <v>1882</v>
      </c>
      <c r="C456" s="84" t="s">
        <v>1050</v>
      </c>
      <c r="D456" s="45"/>
      <c r="E456" s="45"/>
    </row>
    <row r="457" spans="2:5" x14ac:dyDescent="0.3">
      <c r="B457" s="137" t="s">
        <v>2679</v>
      </c>
      <c r="C457" s="84" t="s">
        <v>1051</v>
      </c>
      <c r="D457" s="45"/>
      <c r="E457" s="45"/>
    </row>
    <row r="458" spans="2:5" x14ac:dyDescent="0.3">
      <c r="B458" s="137" t="s">
        <v>2680</v>
      </c>
      <c r="C458" s="84" t="s">
        <v>1052</v>
      </c>
      <c r="D458" s="45"/>
      <c r="E458" s="45"/>
    </row>
    <row r="459" spans="2:5" x14ac:dyDescent="0.3">
      <c r="B459" s="137" t="s">
        <v>2669</v>
      </c>
      <c r="C459" s="84" t="s">
        <v>1053</v>
      </c>
      <c r="D459" s="45"/>
      <c r="E459" s="45"/>
    </row>
    <row r="460" spans="2:5" x14ac:dyDescent="0.3">
      <c r="B460" s="137" t="s">
        <v>2681</v>
      </c>
      <c r="C460" s="84" t="s">
        <v>1054</v>
      </c>
      <c r="D460" s="45"/>
      <c r="E460" s="45"/>
    </row>
    <row r="461" spans="2:5" x14ac:dyDescent="0.3">
      <c r="B461" s="137" t="s">
        <v>1937</v>
      </c>
      <c r="C461" s="84" t="s">
        <v>1055</v>
      </c>
      <c r="D461" s="45"/>
      <c r="E461" s="45"/>
    </row>
    <row r="462" spans="2:5" x14ac:dyDescent="0.3">
      <c r="B462" s="137" t="s">
        <v>2682</v>
      </c>
      <c r="C462" s="84" t="s">
        <v>1056</v>
      </c>
      <c r="D462" s="45"/>
      <c r="E462" s="45"/>
    </row>
    <row r="463" spans="2:5" x14ac:dyDescent="0.3">
      <c r="B463" s="137" t="s">
        <v>2670</v>
      </c>
      <c r="C463" s="84" t="s">
        <v>231</v>
      </c>
      <c r="D463" s="45"/>
      <c r="E463" s="45"/>
    </row>
    <row r="464" spans="2:5" x14ac:dyDescent="0.3">
      <c r="B464" s="137" t="s">
        <v>2683</v>
      </c>
      <c r="C464" s="84" t="s">
        <v>1057</v>
      </c>
      <c r="D464" s="45"/>
      <c r="E464" s="45"/>
    </row>
    <row r="465" spans="2:5" x14ac:dyDescent="0.3">
      <c r="B465" s="136" t="s">
        <v>2667</v>
      </c>
      <c r="C465" s="84" t="s">
        <v>1058</v>
      </c>
      <c r="D465" s="45"/>
      <c r="E465" s="45"/>
    </row>
    <row r="466" spans="2:5" x14ac:dyDescent="0.3">
      <c r="B466" s="136" t="s">
        <v>2671</v>
      </c>
      <c r="C466" s="84" t="s">
        <v>1059</v>
      </c>
      <c r="D466" s="45"/>
      <c r="E466" s="45"/>
    </row>
    <row r="467" spans="2:5" x14ac:dyDescent="0.3">
      <c r="B467" s="136" t="s">
        <v>4636</v>
      </c>
      <c r="C467" s="84" t="s">
        <v>1060</v>
      </c>
      <c r="D467" s="45"/>
      <c r="E467" s="45"/>
    </row>
    <row r="468" spans="2:5" x14ac:dyDescent="0.3">
      <c r="B468" s="136" t="s">
        <v>2672</v>
      </c>
      <c r="C468" s="84" t="s">
        <v>1061</v>
      </c>
      <c r="D468" s="45"/>
      <c r="E468" s="45"/>
    </row>
    <row r="469" spans="2:5" x14ac:dyDescent="0.3">
      <c r="B469" s="136" t="s">
        <v>4637</v>
      </c>
      <c r="C469" s="84" t="s">
        <v>1062</v>
      </c>
      <c r="D469" s="45"/>
      <c r="E469" s="45"/>
    </row>
    <row r="470" spans="2:5" x14ac:dyDescent="0.3">
      <c r="B470" s="136" t="s">
        <v>2673</v>
      </c>
      <c r="C470" s="84" t="s">
        <v>1063</v>
      </c>
      <c r="D470" s="45"/>
      <c r="E470" s="45"/>
    </row>
    <row r="471" spans="2:5" x14ac:dyDescent="0.3">
      <c r="B471" s="136" t="s">
        <v>1837</v>
      </c>
      <c r="C471" s="45"/>
      <c r="D471" s="45"/>
      <c r="E471" s="45"/>
    </row>
    <row r="472" spans="2:5" x14ac:dyDescent="0.3">
      <c r="B472" s="136" t="s">
        <v>2668</v>
      </c>
      <c r="C472" s="45"/>
      <c r="D472" s="45"/>
      <c r="E472" s="45"/>
    </row>
    <row r="473" spans="2:5" x14ac:dyDescent="0.3">
      <c r="B473" s="136" t="s">
        <v>2674</v>
      </c>
      <c r="C473" s="45"/>
      <c r="D473" s="45"/>
      <c r="E473" s="45"/>
    </row>
    <row r="474" spans="2:5" x14ac:dyDescent="0.3">
      <c r="B474" s="136" t="s">
        <v>2675</v>
      </c>
      <c r="C474" s="45"/>
      <c r="D474" s="45"/>
      <c r="E474" s="45"/>
    </row>
    <row r="475" spans="2:5" x14ac:dyDescent="0.3">
      <c r="B475" s="136" t="s">
        <v>2676</v>
      </c>
      <c r="C475" s="45"/>
      <c r="D475" s="45"/>
      <c r="E475" s="45"/>
    </row>
    <row r="476" spans="2:5" x14ac:dyDescent="0.3">
      <c r="B476" s="136" t="s">
        <v>2677</v>
      </c>
      <c r="C476" s="45"/>
      <c r="D476" s="45"/>
      <c r="E476" s="45"/>
    </row>
    <row r="477" spans="2:5" x14ac:dyDescent="0.3">
      <c r="B477" s="136" t="s">
        <v>2169</v>
      </c>
      <c r="C477" s="45"/>
      <c r="D477" s="45"/>
      <c r="E477" s="45"/>
    </row>
    <row r="478" spans="2:5" x14ac:dyDescent="0.3">
      <c r="B478" s="136" t="s">
        <v>1659</v>
      </c>
      <c r="C478" s="45"/>
      <c r="D478" s="45"/>
      <c r="E478" s="45"/>
    </row>
    <row r="479" spans="2:5" x14ac:dyDescent="0.3">
      <c r="B479" s="136" t="s">
        <v>2171</v>
      </c>
      <c r="C479" s="45"/>
      <c r="D479" s="45"/>
      <c r="E479" s="45"/>
    </row>
    <row r="480" spans="2:5" x14ac:dyDescent="0.3">
      <c r="B480" s="136" t="s">
        <v>2172</v>
      </c>
      <c r="C480" s="45"/>
      <c r="D480" s="45"/>
      <c r="E480" s="45"/>
    </row>
    <row r="481" spans="2:5" x14ac:dyDescent="0.3">
      <c r="B481" s="136" t="s">
        <v>2173</v>
      </c>
      <c r="C481" s="45"/>
      <c r="D481" s="45"/>
      <c r="E481" s="45"/>
    </row>
    <row r="482" spans="2:5" x14ac:dyDescent="0.3">
      <c r="B482" s="136" t="s">
        <v>2174</v>
      </c>
      <c r="C482" s="45"/>
      <c r="D482" s="45"/>
      <c r="E482" s="45"/>
    </row>
    <row r="483" spans="2:5" x14ac:dyDescent="0.3">
      <c r="B483" s="136" t="s">
        <v>2175</v>
      </c>
      <c r="C483" s="45"/>
      <c r="D483" s="45"/>
      <c r="E483" s="45"/>
    </row>
    <row r="484" spans="2:5" x14ac:dyDescent="0.3">
      <c r="B484" s="136" t="s">
        <v>2176</v>
      </c>
      <c r="C484" s="45"/>
      <c r="D484" s="45"/>
      <c r="E484" s="45"/>
    </row>
    <row r="485" spans="2:5" x14ac:dyDescent="0.3">
      <c r="B485" s="136" t="s">
        <v>2177</v>
      </c>
      <c r="C485" s="45"/>
      <c r="D485" s="45"/>
      <c r="E485" s="45"/>
    </row>
    <row r="486" spans="2:5" x14ac:dyDescent="0.3">
      <c r="B486" s="136" t="s">
        <v>2178</v>
      </c>
      <c r="C486" s="45"/>
      <c r="D486" s="45"/>
      <c r="E486" s="45"/>
    </row>
    <row r="487" spans="2:5" x14ac:dyDescent="0.3">
      <c r="B487" s="136" t="s">
        <v>2179</v>
      </c>
      <c r="C487" s="45"/>
      <c r="D487" s="45"/>
      <c r="E487" s="45"/>
    </row>
    <row r="488" spans="2:5" x14ac:dyDescent="0.3">
      <c r="B488" s="136" t="s">
        <v>2180</v>
      </c>
      <c r="C488" s="45"/>
      <c r="D488" s="45"/>
      <c r="E488" s="45"/>
    </row>
    <row r="489" spans="2:5" x14ac:dyDescent="0.3">
      <c r="B489" s="136" t="s">
        <v>2181</v>
      </c>
      <c r="C489" s="45"/>
      <c r="D489" s="45"/>
      <c r="E489" s="45"/>
    </row>
    <row r="490" spans="2:5" x14ac:dyDescent="0.3">
      <c r="B490" s="136" t="s">
        <v>2182</v>
      </c>
      <c r="C490" s="45"/>
      <c r="D490" s="45"/>
      <c r="E490" s="45"/>
    </row>
    <row r="491" spans="2:5" x14ac:dyDescent="0.3">
      <c r="B491" s="136" t="s">
        <v>1662</v>
      </c>
      <c r="C491" s="45"/>
      <c r="D491" s="45"/>
      <c r="E491" s="45"/>
    </row>
    <row r="492" spans="2:5" x14ac:dyDescent="0.3">
      <c r="B492" s="137" t="s">
        <v>1665</v>
      </c>
      <c r="C492" s="45"/>
      <c r="D492" s="45"/>
      <c r="E492" s="45"/>
    </row>
    <row r="493" spans="2:5" x14ac:dyDescent="0.3">
      <c r="B493" s="137" t="s">
        <v>4638</v>
      </c>
      <c r="C493" s="45"/>
      <c r="D493" s="45"/>
      <c r="E493" s="45"/>
    </row>
    <row r="494" spans="2:5" x14ac:dyDescent="0.3">
      <c r="B494" s="137" t="s">
        <v>4639</v>
      </c>
      <c r="C494" s="45"/>
      <c r="D494" s="45"/>
      <c r="E494" s="45"/>
    </row>
    <row r="495" spans="2:5" x14ac:dyDescent="0.3">
      <c r="B495" s="137" t="s">
        <v>4640</v>
      </c>
      <c r="C495" s="45"/>
      <c r="D495" s="45"/>
      <c r="E495" s="45"/>
    </row>
    <row r="496" spans="2:5" x14ac:dyDescent="0.3">
      <c r="B496" s="137" t="s">
        <v>4641</v>
      </c>
      <c r="C496" s="45"/>
      <c r="D496" s="45"/>
      <c r="E496" s="45"/>
    </row>
    <row r="497" spans="2:5" x14ac:dyDescent="0.3">
      <c r="B497" s="137" t="s">
        <v>4642</v>
      </c>
      <c r="C497" s="45"/>
      <c r="D497" s="45"/>
      <c r="E497" s="45"/>
    </row>
    <row r="498" spans="2:5" x14ac:dyDescent="0.3">
      <c r="B498" s="137" t="s">
        <v>4643</v>
      </c>
      <c r="C498" s="45"/>
      <c r="D498" s="45"/>
      <c r="E498" s="45"/>
    </row>
    <row r="499" spans="2:5" x14ac:dyDescent="0.3">
      <c r="B499" s="137" t="s">
        <v>4644</v>
      </c>
      <c r="C499" s="45"/>
      <c r="D499" s="45"/>
      <c r="E499" s="45"/>
    </row>
    <row r="500" spans="2:5" x14ac:dyDescent="0.3">
      <c r="B500" s="137" t="s">
        <v>4645</v>
      </c>
      <c r="C500" s="45"/>
      <c r="D500" s="45"/>
      <c r="E500" s="45"/>
    </row>
    <row r="501" spans="2:5" x14ac:dyDescent="0.3">
      <c r="B501" s="137" t="s">
        <v>4646</v>
      </c>
      <c r="C501" s="45"/>
      <c r="D501" s="45"/>
      <c r="E501" s="45"/>
    </row>
    <row r="502" spans="2:5" x14ac:dyDescent="0.3">
      <c r="B502" s="137" t="s">
        <v>4647</v>
      </c>
      <c r="C502" s="45"/>
      <c r="D502" s="45"/>
      <c r="E502" s="45"/>
    </row>
    <row r="503" spans="2:5" x14ac:dyDescent="0.3">
      <c r="B503" s="137" t="s">
        <v>4648</v>
      </c>
      <c r="C503" s="45"/>
      <c r="D503" s="45"/>
      <c r="E503" s="45"/>
    </row>
    <row r="504" spans="2:5" x14ac:dyDescent="0.3">
      <c r="B504" s="137" t="s">
        <v>4649</v>
      </c>
      <c r="C504" s="45"/>
      <c r="D504" s="45"/>
      <c r="E504" s="45"/>
    </row>
    <row r="505" spans="2:5" x14ac:dyDescent="0.3">
      <c r="B505" s="137" t="s">
        <v>4650</v>
      </c>
      <c r="C505" s="45"/>
      <c r="D505" s="45"/>
      <c r="E505" s="45"/>
    </row>
    <row r="506" spans="2:5" x14ac:dyDescent="0.3">
      <c r="B506" s="137" t="s">
        <v>4651</v>
      </c>
      <c r="C506" s="45"/>
      <c r="D506" s="45"/>
      <c r="E506" s="45"/>
    </row>
    <row r="507" spans="2:5" x14ac:dyDescent="0.3">
      <c r="B507" s="137" t="s">
        <v>4652</v>
      </c>
      <c r="C507" s="45"/>
      <c r="D507" s="45"/>
      <c r="E507" s="45"/>
    </row>
    <row r="508" spans="2:5" x14ac:dyDescent="0.3">
      <c r="B508" s="137" t="s">
        <v>4653</v>
      </c>
      <c r="C508" s="45"/>
      <c r="D508" s="45"/>
      <c r="E508" s="45"/>
    </row>
    <row r="509" spans="2:5" x14ac:dyDescent="0.3">
      <c r="B509" s="137" t="s">
        <v>4654</v>
      </c>
      <c r="C509" s="45"/>
      <c r="D509" s="45"/>
      <c r="E509" s="45"/>
    </row>
    <row r="510" spans="2:5" x14ac:dyDescent="0.3">
      <c r="B510" s="137" t="s">
        <v>4655</v>
      </c>
      <c r="C510" s="45"/>
      <c r="D510" s="45"/>
      <c r="E510" s="45"/>
    </row>
    <row r="511" spans="2:5" x14ac:dyDescent="0.3">
      <c r="B511" s="137" t="s">
        <v>4656</v>
      </c>
      <c r="C511" s="45"/>
      <c r="D511" s="45"/>
      <c r="E511" s="45"/>
    </row>
    <row r="512" spans="2:5" x14ac:dyDescent="0.3">
      <c r="B512" s="137" t="s">
        <v>4657</v>
      </c>
      <c r="C512" s="45"/>
      <c r="D512" s="45"/>
      <c r="E512" s="45"/>
    </row>
    <row r="513" spans="2:5" x14ac:dyDescent="0.3">
      <c r="B513" s="137" t="s">
        <v>4658</v>
      </c>
      <c r="C513" s="45"/>
      <c r="D513" s="45"/>
      <c r="E513" s="45"/>
    </row>
    <row r="514" spans="2:5" x14ac:dyDescent="0.3">
      <c r="B514" s="137" t="s">
        <v>4659</v>
      </c>
      <c r="C514" s="45"/>
      <c r="D514" s="45"/>
      <c r="E514" s="45"/>
    </row>
    <row r="515" spans="2:5" x14ac:dyDescent="0.3">
      <c r="B515" s="137" t="s">
        <v>4660</v>
      </c>
      <c r="C515" s="45"/>
      <c r="D515" s="45"/>
      <c r="E515" s="45"/>
    </row>
    <row r="516" spans="2:5" x14ac:dyDescent="0.3">
      <c r="B516" s="137" t="s">
        <v>4661</v>
      </c>
      <c r="C516" s="45"/>
      <c r="D516" s="45"/>
      <c r="E516" s="45"/>
    </row>
    <row r="517" spans="2:5" x14ac:dyDescent="0.3">
      <c r="B517" s="137" t="s">
        <v>4662</v>
      </c>
      <c r="C517" s="45"/>
      <c r="D517" s="45"/>
      <c r="E517" s="45"/>
    </row>
    <row r="518" spans="2:5" x14ac:dyDescent="0.3">
      <c r="B518" s="137" t="s">
        <v>4663</v>
      </c>
      <c r="C518" s="45"/>
      <c r="D518" s="45"/>
      <c r="E518" s="45"/>
    </row>
    <row r="519" spans="2:5" x14ac:dyDescent="0.3">
      <c r="B519" s="136" t="s">
        <v>4664</v>
      </c>
      <c r="C519" s="45"/>
      <c r="D519" s="45"/>
      <c r="E519" s="45"/>
    </row>
    <row r="520" spans="2:5" x14ac:dyDescent="0.3">
      <c r="B520" s="136" t="s">
        <v>4665</v>
      </c>
      <c r="C520" s="45"/>
      <c r="D520" s="45"/>
      <c r="E520" s="45"/>
    </row>
    <row r="521" spans="2:5" x14ac:dyDescent="0.3">
      <c r="B521" s="136" t="s">
        <v>4666</v>
      </c>
      <c r="C521" s="45"/>
      <c r="D521" s="45"/>
      <c r="E521" s="45"/>
    </row>
    <row r="522" spans="2:5" x14ac:dyDescent="0.3">
      <c r="B522" s="136" t="s">
        <v>4667</v>
      </c>
      <c r="C522" s="45"/>
      <c r="D522" s="45"/>
      <c r="E522" s="45"/>
    </row>
    <row r="523" spans="2:5" x14ac:dyDescent="0.3">
      <c r="B523" s="136" t="s">
        <v>2183</v>
      </c>
      <c r="C523" s="45"/>
      <c r="D523" s="45"/>
      <c r="E523" s="45"/>
    </row>
    <row r="524" spans="2:5" x14ac:dyDescent="0.3">
      <c r="B524" s="136" t="s">
        <v>2184</v>
      </c>
      <c r="C524" s="45"/>
      <c r="D524" s="45"/>
      <c r="E524" s="45"/>
    </row>
    <row r="525" spans="2:5" x14ac:dyDescent="0.3">
      <c r="B525" s="136" t="s">
        <v>2185</v>
      </c>
      <c r="D525" s="45"/>
      <c r="E525" s="45"/>
    </row>
    <row r="526" spans="2:5" x14ac:dyDescent="0.3">
      <c r="B526" s="136" t="s">
        <v>1666</v>
      </c>
      <c r="D526" s="45"/>
      <c r="E526" s="45"/>
    </row>
    <row r="527" spans="2:5" x14ac:dyDescent="0.3">
      <c r="B527" s="136" t="s">
        <v>2186</v>
      </c>
      <c r="D527" s="45"/>
      <c r="E527" s="45"/>
    </row>
    <row r="528" spans="2:5" x14ac:dyDescent="0.3">
      <c r="B528" s="136" t="s">
        <v>2187</v>
      </c>
      <c r="D528" s="45"/>
      <c r="E528" s="45"/>
    </row>
    <row r="529" spans="2:5" x14ac:dyDescent="0.3">
      <c r="B529" s="136" t="s">
        <v>2188</v>
      </c>
      <c r="D529" s="45"/>
      <c r="E529" s="45"/>
    </row>
    <row r="530" spans="2:5" x14ac:dyDescent="0.3">
      <c r="B530" s="136" t="s">
        <v>2189</v>
      </c>
      <c r="D530" s="45"/>
      <c r="E530" s="45"/>
    </row>
    <row r="531" spans="2:5" x14ac:dyDescent="0.3">
      <c r="B531" s="136" t="s">
        <v>2190</v>
      </c>
      <c r="D531" s="45"/>
      <c r="E531" s="45"/>
    </row>
    <row r="532" spans="2:5" x14ac:dyDescent="0.3">
      <c r="B532" s="136" t="s">
        <v>2191</v>
      </c>
      <c r="D532" s="45"/>
      <c r="E532" s="45"/>
    </row>
    <row r="533" spans="2:5" x14ac:dyDescent="0.3">
      <c r="B533" s="136" t="s">
        <v>2192</v>
      </c>
      <c r="D533" s="45"/>
      <c r="E533" s="45"/>
    </row>
    <row r="534" spans="2:5" x14ac:dyDescent="0.3">
      <c r="B534" s="136" t="s">
        <v>1669</v>
      </c>
      <c r="D534" s="45"/>
      <c r="E534" s="45"/>
    </row>
    <row r="535" spans="2:5" x14ac:dyDescent="0.3">
      <c r="B535" s="136" t="s">
        <v>2193</v>
      </c>
      <c r="D535" s="45"/>
      <c r="E535" s="45"/>
    </row>
    <row r="536" spans="2:5" x14ac:dyDescent="0.3">
      <c r="B536" s="136" t="s">
        <v>2194</v>
      </c>
      <c r="D536" s="45"/>
      <c r="E536" s="45"/>
    </row>
    <row r="537" spans="2:5" x14ac:dyDescent="0.3">
      <c r="B537" s="136" t="s">
        <v>2195</v>
      </c>
      <c r="D537" s="45"/>
      <c r="E537" s="45"/>
    </row>
    <row r="538" spans="2:5" x14ac:dyDescent="0.3">
      <c r="B538" s="136" t="s">
        <v>1670</v>
      </c>
      <c r="D538" s="45"/>
      <c r="E538" s="45"/>
    </row>
    <row r="539" spans="2:5" x14ac:dyDescent="0.3">
      <c r="B539" s="136" t="s">
        <v>2196</v>
      </c>
      <c r="D539" s="45"/>
      <c r="E539" s="45"/>
    </row>
    <row r="540" spans="2:5" x14ac:dyDescent="0.3">
      <c r="B540" s="136" t="s">
        <v>2197</v>
      </c>
      <c r="D540" s="45"/>
      <c r="E540" s="45"/>
    </row>
    <row r="541" spans="2:5" x14ac:dyDescent="0.3">
      <c r="B541" s="136" t="s">
        <v>2198</v>
      </c>
      <c r="D541" s="45"/>
      <c r="E541" s="45"/>
    </row>
    <row r="542" spans="2:5" x14ac:dyDescent="0.3">
      <c r="B542" s="136" t="s">
        <v>2199</v>
      </c>
      <c r="D542" s="45"/>
      <c r="E542" s="45"/>
    </row>
    <row r="543" spans="2:5" x14ac:dyDescent="0.3">
      <c r="B543" s="136" t="s">
        <v>2200</v>
      </c>
      <c r="D543" s="45"/>
      <c r="E543" s="45"/>
    </row>
    <row r="544" spans="2:5" x14ac:dyDescent="0.3">
      <c r="B544" s="136" t="s">
        <v>2201</v>
      </c>
      <c r="D544" s="45"/>
      <c r="E544" s="45"/>
    </row>
    <row r="545" spans="2:5" x14ac:dyDescent="0.3">
      <c r="B545" s="137" t="s">
        <v>2202</v>
      </c>
      <c r="D545" s="45"/>
      <c r="E545" s="45"/>
    </row>
    <row r="546" spans="2:5" x14ac:dyDescent="0.3">
      <c r="B546" s="137" t="s">
        <v>2203</v>
      </c>
      <c r="D546" s="45"/>
      <c r="E546" s="45"/>
    </row>
    <row r="547" spans="2:5" x14ac:dyDescent="0.3">
      <c r="B547" s="137" t="s">
        <v>1671</v>
      </c>
      <c r="D547" s="45"/>
      <c r="E547" s="45"/>
    </row>
    <row r="548" spans="2:5" x14ac:dyDescent="0.3">
      <c r="B548" s="137" t="s">
        <v>1674</v>
      </c>
      <c r="D548" s="45"/>
      <c r="E548" s="45"/>
    </row>
    <row r="549" spans="2:5" x14ac:dyDescent="0.3">
      <c r="B549" s="137" t="s">
        <v>1675</v>
      </c>
      <c r="D549" s="45"/>
      <c r="E549" s="45"/>
    </row>
    <row r="550" spans="2:5" x14ac:dyDescent="0.3">
      <c r="B550" s="137" t="s">
        <v>2204</v>
      </c>
      <c r="D550" s="45"/>
      <c r="E550" s="45"/>
    </row>
    <row r="551" spans="2:5" x14ac:dyDescent="0.3">
      <c r="B551" s="137" t="s">
        <v>2205</v>
      </c>
      <c r="D551" s="45"/>
      <c r="E551" s="45"/>
    </row>
    <row r="552" spans="2:5" x14ac:dyDescent="0.3">
      <c r="B552" s="137" t="s">
        <v>2206</v>
      </c>
      <c r="D552" s="45"/>
      <c r="E552" s="45"/>
    </row>
    <row r="553" spans="2:5" x14ac:dyDescent="0.3">
      <c r="B553" s="137" t="s">
        <v>2207</v>
      </c>
      <c r="D553" s="45"/>
      <c r="E553" s="45"/>
    </row>
    <row r="554" spans="2:5" x14ac:dyDescent="0.3">
      <c r="B554" s="137" t="s">
        <v>1676</v>
      </c>
      <c r="D554" s="45"/>
      <c r="E554" s="45"/>
    </row>
    <row r="555" spans="2:5" x14ac:dyDescent="0.3">
      <c r="B555" s="137" t="s">
        <v>2208</v>
      </c>
      <c r="D555" s="45"/>
      <c r="E555" s="45"/>
    </row>
    <row r="556" spans="2:5" x14ac:dyDescent="0.3">
      <c r="B556" s="137" t="s">
        <v>2209</v>
      </c>
      <c r="D556" s="45"/>
      <c r="E556" s="45"/>
    </row>
    <row r="557" spans="2:5" x14ac:dyDescent="0.3">
      <c r="B557" s="137" t="s">
        <v>2210</v>
      </c>
      <c r="D557" s="45"/>
      <c r="E557" s="45"/>
    </row>
    <row r="558" spans="2:5" x14ac:dyDescent="0.3">
      <c r="B558" s="137" t="s">
        <v>2211</v>
      </c>
      <c r="D558" s="45"/>
      <c r="E558" s="45"/>
    </row>
    <row r="559" spans="2:5" x14ac:dyDescent="0.3">
      <c r="B559" s="137" t="s">
        <v>2212</v>
      </c>
      <c r="D559" s="45"/>
      <c r="E559" s="45"/>
    </row>
    <row r="560" spans="2:5" x14ac:dyDescent="0.3">
      <c r="B560" s="137" t="s">
        <v>1677</v>
      </c>
      <c r="D560" s="45"/>
      <c r="E560" s="45"/>
    </row>
    <row r="561" spans="2:5" x14ac:dyDescent="0.3">
      <c r="B561" s="137" t="s">
        <v>2213</v>
      </c>
      <c r="D561" s="45"/>
      <c r="E561" s="45"/>
    </row>
    <row r="562" spans="2:5" x14ac:dyDescent="0.3">
      <c r="B562" s="137" t="s">
        <v>2214</v>
      </c>
      <c r="D562" s="45"/>
      <c r="E562" s="45"/>
    </row>
    <row r="563" spans="2:5" x14ac:dyDescent="0.3">
      <c r="B563" s="137" t="s">
        <v>2215</v>
      </c>
      <c r="D563" s="45"/>
      <c r="E563" s="45"/>
    </row>
    <row r="564" spans="2:5" x14ac:dyDescent="0.3">
      <c r="B564" s="137" t="s">
        <v>2216</v>
      </c>
      <c r="D564" s="45"/>
      <c r="E564" s="45"/>
    </row>
    <row r="565" spans="2:5" x14ac:dyDescent="0.3">
      <c r="B565" s="137" t="s">
        <v>2217</v>
      </c>
      <c r="D565" s="45"/>
      <c r="E565" s="45"/>
    </row>
    <row r="566" spans="2:5" x14ac:dyDescent="0.3">
      <c r="B566" s="137" t="s">
        <v>2218</v>
      </c>
      <c r="D566" s="45"/>
      <c r="E566" s="45"/>
    </row>
    <row r="567" spans="2:5" x14ac:dyDescent="0.3">
      <c r="B567" s="137" t="s">
        <v>2219</v>
      </c>
      <c r="D567" s="45"/>
      <c r="E567" s="45"/>
    </row>
    <row r="568" spans="2:5" x14ac:dyDescent="0.3">
      <c r="B568" s="137" t="s">
        <v>4668</v>
      </c>
      <c r="D568" s="45"/>
      <c r="E568" s="45"/>
    </row>
    <row r="569" spans="2:5" x14ac:dyDescent="0.3">
      <c r="B569" s="137" t="s">
        <v>2899</v>
      </c>
      <c r="D569" s="45"/>
      <c r="E569" s="45"/>
    </row>
    <row r="570" spans="2:5" x14ac:dyDescent="0.3">
      <c r="B570" s="137" t="s">
        <v>2910</v>
      </c>
      <c r="D570" s="45"/>
      <c r="E570" s="45"/>
    </row>
    <row r="571" spans="2:5" x14ac:dyDescent="0.3">
      <c r="B571" s="137" t="s">
        <v>2900</v>
      </c>
      <c r="D571" s="45"/>
      <c r="E571" s="45"/>
    </row>
    <row r="572" spans="2:5" x14ac:dyDescent="0.3">
      <c r="B572" s="136" t="s">
        <v>2911</v>
      </c>
      <c r="D572" s="45"/>
      <c r="E572" s="45"/>
    </row>
    <row r="573" spans="2:5" x14ac:dyDescent="0.3">
      <c r="B573" s="136" t="s">
        <v>2912</v>
      </c>
      <c r="D573" s="45"/>
      <c r="E573" s="45"/>
    </row>
    <row r="574" spans="2:5" x14ac:dyDescent="0.3">
      <c r="B574" s="136" t="s">
        <v>2889</v>
      </c>
      <c r="D574" s="45"/>
      <c r="E574" s="45"/>
    </row>
    <row r="575" spans="2:5" x14ac:dyDescent="0.3">
      <c r="B575" s="136" t="s">
        <v>2890</v>
      </c>
      <c r="D575" s="45"/>
      <c r="E575" s="45"/>
    </row>
    <row r="576" spans="2:5" x14ac:dyDescent="0.3">
      <c r="B576" s="136" t="s">
        <v>4669</v>
      </c>
      <c r="D576" s="45"/>
      <c r="E576" s="45"/>
    </row>
    <row r="577" spans="2:5" x14ac:dyDescent="0.3">
      <c r="B577" s="136" t="s">
        <v>2901</v>
      </c>
      <c r="D577" s="45"/>
      <c r="E577" s="45"/>
    </row>
    <row r="578" spans="2:5" x14ac:dyDescent="0.3">
      <c r="B578" s="136" t="s">
        <v>2913</v>
      </c>
      <c r="D578" s="45"/>
      <c r="E578" s="45"/>
    </row>
    <row r="579" spans="2:5" x14ac:dyDescent="0.3">
      <c r="B579" s="136" t="s">
        <v>2914</v>
      </c>
      <c r="D579" s="45"/>
      <c r="E579" s="45"/>
    </row>
    <row r="580" spans="2:5" x14ac:dyDescent="0.3">
      <c r="B580" s="136" t="s">
        <v>2891</v>
      </c>
      <c r="D580" s="45"/>
      <c r="E580" s="45"/>
    </row>
    <row r="581" spans="2:5" x14ac:dyDescent="0.3">
      <c r="B581" s="136" t="s">
        <v>4670</v>
      </c>
      <c r="D581" s="45"/>
      <c r="E581" s="45"/>
    </row>
    <row r="582" spans="2:5" x14ac:dyDescent="0.3">
      <c r="B582" s="136" t="s">
        <v>2902</v>
      </c>
      <c r="D582" s="45"/>
      <c r="E582" s="45"/>
    </row>
    <row r="583" spans="2:5" x14ac:dyDescent="0.3">
      <c r="B583" s="136" t="s">
        <v>2915</v>
      </c>
      <c r="D583" s="45"/>
      <c r="E583" s="45"/>
    </row>
    <row r="584" spans="2:5" x14ac:dyDescent="0.3">
      <c r="B584" s="136" t="s">
        <v>2892</v>
      </c>
      <c r="D584" s="45"/>
      <c r="E584" s="45"/>
    </row>
    <row r="585" spans="2:5" x14ac:dyDescent="0.3">
      <c r="B585" s="136" t="s">
        <v>4671</v>
      </c>
      <c r="D585" s="45"/>
      <c r="E585" s="45"/>
    </row>
    <row r="586" spans="2:5" x14ac:dyDescent="0.3">
      <c r="B586" s="136" t="s">
        <v>2903</v>
      </c>
      <c r="D586" s="45"/>
      <c r="E586" s="45"/>
    </row>
    <row r="587" spans="2:5" x14ac:dyDescent="0.3">
      <c r="B587" s="136" t="s">
        <v>4672</v>
      </c>
      <c r="D587" s="45"/>
      <c r="E587" s="45"/>
    </row>
    <row r="588" spans="2:5" x14ac:dyDescent="0.3">
      <c r="B588" s="136" t="s">
        <v>2893</v>
      </c>
      <c r="D588" s="45"/>
      <c r="E588" s="45"/>
    </row>
    <row r="589" spans="2:5" x14ac:dyDescent="0.3">
      <c r="B589" s="136" t="s">
        <v>2904</v>
      </c>
      <c r="D589" s="45"/>
      <c r="E589" s="45"/>
    </row>
    <row r="590" spans="2:5" x14ac:dyDescent="0.3">
      <c r="B590" s="136" t="s">
        <v>4673</v>
      </c>
      <c r="D590" s="45"/>
      <c r="E590" s="45"/>
    </row>
    <row r="591" spans="2:5" x14ac:dyDescent="0.3">
      <c r="B591" s="136" t="s">
        <v>2894</v>
      </c>
      <c r="D591" s="45"/>
      <c r="E591" s="45"/>
    </row>
    <row r="592" spans="2:5" x14ac:dyDescent="0.3">
      <c r="B592" s="136" t="s">
        <v>2905</v>
      </c>
      <c r="D592" s="45"/>
      <c r="E592" s="45"/>
    </row>
    <row r="593" spans="2:5" x14ac:dyDescent="0.3">
      <c r="B593" s="136" t="s">
        <v>2895</v>
      </c>
      <c r="D593" s="45"/>
      <c r="E593" s="45"/>
    </row>
    <row r="594" spans="2:5" x14ac:dyDescent="0.3">
      <c r="B594" s="136" t="s">
        <v>2906</v>
      </c>
      <c r="D594" s="45"/>
      <c r="E594" s="45"/>
    </row>
    <row r="595" spans="2:5" x14ac:dyDescent="0.3">
      <c r="B595" s="136" t="s">
        <v>2896</v>
      </c>
      <c r="D595" s="45"/>
      <c r="E595" s="45"/>
    </row>
    <row r="596" spans="2:5" x14ac:dyDescent="0.3">
      <c r="B596" s="136" t="s">
        <v>2907</v>
      </c>
      <c r="D596" s="45"/>
      <c r="E596" s="45"/>
    </row>
    <row r="597" spans="2:5" x14ac:dyDescent="0.3">
      <c r="B597" s="136" t="s">
        <v>2897</v>
      </c>
      <c r="D597" s="45"/>
      <c r="E597" s="45"/>
    </row>
    <row r="598" spans="2:5" x14ac:dyDescent="0.3">
      <c r="B598" s="136" t="s">
        <v>2908</v>
      </c>
      <c r="D598" s="45"/>
      <c r="E598" s="45"/>
    </row>
    <row r="599" spans="2:5" x14ac:dyDescent="0.3">
      <c r="B599" s="136" t="s">
        <v>2898</v>
      </c>
      <c r="D599" s="45"/>
      <c r="E599" s="45"/>
    </row>
    <row r="600" spans="2:5" x14ac:dyDescent="0.3">
      <c r="B600" s="136" t="s">
        <v>2909</v>
      </c>
      <c r="D600" s="45"/>
      <c r="E600" s="45"/>
    </row>
    <row r="601" spans="2:5" x14ac:dyDescent="0.3">
      <c r="B601" s="136" t="s">
        <v>1248</v>
      </c>
      <c r="D601" s="45"/>
      <c r="E601" s="45"/>
    </row>
    <row r="602" spans="2:5" x14ac:dyDescent="0.3">
      <c r="B602" s="136" t="s">
        <v>1618</v>
      </c>
      <c r="D602" s="45"/>
      <c r="E602" s="45"/>
    </row>
    <row r="603" spans="2:5" x14ac:dyDescent="0.3">
      <c r="B603" s="136" t="s">
        <v>1838</v>
      </c>
      <c r="D603" s="45"/>
      <c r="E603" s="45"/>
    </row>
    <row r="604" spans="2:5" x14ac:dyDescent="0.3">
      <c r="B604" s="143" t="s">
        <v>5</v>
      </c>
      <c r="D604" s="45"/>
      <c r="E604" s="45"/>
    </row>
    <row r="605" spans="2:5" x14ac:dyDescent="0.3">
      <c r="B605" s="143" t="s">
        <v>6</v>
      </c>
      <c r="D605" s="45"/>
      <c r="E605" s="45"/>
    </row>
    <row r="606" spans="2:5" x14ac:dyDescent="0.3">
      <c r="B606" s="143" t="s">
        <v>2229</v>
      </c>
      <c r="D606" s="45"/>
      <c r="E606" s="45"/>
    </row>
    <row r="607" spans="2:5" x14ac:dyDescent="0.3">
      <c r="B607" s="143" t="s">
        <v>7</v>
      </c>
      <c r="D607" s="45"/>
      <c r="E607" s="45"/>
    </row>
    <row r="608" spans="2:5" x14ac:dyDescent="0.3">
      <c r="B608" s="143" t="s">
        <v>1684</v>
      </c>
      <c r="D608" s="45"/>
      <c r="E608" s="45"/>
    </row>
    <row r="609" spans="2:5" x14ac:dyDescent="0.3">
      <c r="B609" s="143" t="s">
        <v>8</v>
      </c>
      <c r="D609" s="45"/>
      <c r="E609" s="45"/>
    </row>
    <row r="610" spans="2:5" x14ac:dyDescent="0.3">
      <c r="B610" s="143" t="s">
        <v>9</v>
      </c>
      <c r="D610" s="45"/>
      <c r="E610" s="45"/>
    </row>
    <row r="611" spans="2:5" x14ac:dyDescent="0.3">
      <c r="B611" s="143" t="s">
        <v>3</v>
      </c>
      <c r="D611" s="45"/>
      <c r="E611" s="45"/>
    </row>
    <row r="612" spans="2:5" x14ac:dyDescent="0.3">
      <c r="B612" s="143" t="s">
        <v>9</v>
      </c>
      <c r="D612" s="45"/>
      <c r="E612" s="45"/>
    </row>
    <row r="613" spans="2:5" x14ac:dyDescent="0.3">
      <c r="B613" s="143" t="s">
        <v>10</v>
      </c>
      <c r="D613" s="45"/>
      <c r="E613" s="45"/>
    </row>
    <row r="614" spans="2:5" x14ac:dyDescent="0.3">
      <c r="B614" s="143" t="s">
        <v>11</v>
      </c>
      <c r="D614" s="45"/>
      <c r="E614" s="45"/>
    </row>
    <row r="615" spans="2:5" x14ac:dyDescent="0.3">
      <c r="B615" s="143" t="s">
        <v>1685</v>
      </c>
      <c r="D615" s="45"/>
      <c r="E615" s="45"/>
    </row>
    <row r="616" spans="2:5" x14ac:dyDescent="0.3">
      <c r="B616" s="143" t="s">
        <v>12</v>
      </c>
      <c r="D616" s="45"/>
      <c r="E616" s="45"/>
    </row>
    <row r="617" spans="2:5" x14ac:dyDescent="0.3">
      <c r="B617" s="143" t="s">
        <v>13</v>
      </c>
      <c r="D617" s="45"/>
      <c r="E617" s="45"/>
    </row>
    <row r="618" spans="2:5" x14ac:dyDescent="0.3">
      <c r="B618" s="143" t="s">
        <v>14</v>
      </c>
      <c r="D618" s="45"/>
      <c r="E618" s="45"/>
    </row>
    <row r="619" spans="2:5" x14ac:dyDescent="0.3">
      <c r="B619" s="143" t="s">
        <v>15</v>
      </c>
      <c r="D619" s="45"/>
      <c r="E619" s="45"/>
    </row>
    <row r="620" spans="2:5" x14ac:dyDescent="0.3">
      <c r="B620" s="143" t="s">
        <v>16</v>
      </c>
      <c r="D620" s="45"/>
      <c r="E620" s="45"/>
    </row>
    <row r="621" spans="2:5" x14ac:dyDescent="0.3">
      <c r="B621" s="143" t="s">
        <v>16</v>
      </c>
      <c r="D621" s="45"/>
      <c r="E621" s="45"/>
    </row>
    <row r="622" spans="2:5" x14ac:dyDescent="0.3">
      <c r="B622" s="143" t="s">
        <v>16</v>
      </c>
      <c r="D622" s="45"/>
      <c r="E622" s="45"/>
    </row>
    <row r="623" spans="2:5" x14ac:dyDescent="0.3">
      <c r="B623" s="143" t="s">
        <v>1927</v>
      </c>
      <c r="D623" s="45"/>
      <c r="E623" s="45"/>
    </row>
    <row r="624" spans="2:5" x14ac:dyDescent="0.3">
      <c r="B624" s="143" t="s">
        <v>17</v>
      </c>
      <c r="D624" s="45"/>
      <c r="E624" s="45"/>
    </row>
    <row r="625" spans="2:5" x14ac:dyDescent="0.3">
      <c r="B625" s="143" t="s">
        <v>1686</v>
      </c>
      <c r="D625" s="45"/>
      <c r="E625" s="45"/>
    </row>
    <row r="626" spans="2:5" x14ac:dyDescent="0.3">
      <c r="B626" s="143" t="s">
        <v>18</v>
      </c>
      <c r="D626" s="45"/>
      <c r="E626" s="45"/>
    </row>
    <row r="627" spans="2:5" x14ac:dyDescent="0.3">
      <c r="B627" s="143" t="s">
        <v>19</v>
      </c>
      <c r="D627" s="45"/>
      <c r="E627" s="45"/>
    </row>
    <row r="628" spans="2:5" x14ac:dyDescent="0.3">
      <c r="B628" s="143" t="s">
        <v>1687</v>
      </c>
      <c r="D628" s="45"/>
      <c r="E628" s="45"/>
    </row>
    <row r="629" spans="2:5" x14ac:dyDescent="0.3">
      <c r="B629" s="143" t="s">
        <v>20</v>
      </c>
      <c r="D629" s="45"/>
      <c r="E629" s="45"/>
    </row>
    <row r="630" spans="2:5" x14ac:dyDescent="0.3">
      <c r="B630" s="143" t="s">
        <v>21</v>
      </c>
      <c r="D630" s="45"/>
      <c r="E630" s="45"/>
    </row>
    <row r="631" spans="2:5" x14ac:dyDescent="0.3">
      <c r="B631" s="143" t="s">
        <v>22</v>
      </c>
      <c r="D631" s="45"/>
      <c r="E631" s="45"/>
    </row>
    <row r="632" spans="2:5" x14ac:dyDescent="0.3">
      <c r="B632" s="143" t="s">
        <v>23</v>
      </c>
      <c r="D632" s="45"/>
      <c r="E632" s="45"/>
    </row>
    <row r="633" spans="2:5" x14ac:dyDescent="0.3">
      <c r="B633" s="143" t="s">
        <v>1683</v>
      </c>
      <c r="D633" s="45"/>
      <c r="E633" s="45"/>
    </row>
    <row r="634" spans="2:5" x14ac:dyDescent="0.3">
      <c r="B634" s="143" t="s">
        <v>24</v>
      </c>
      <c r="D634" s="45"/>
      <c r="E634" s="45"/>
    </row>
    <row r="635" spans="2:5" x14ac:dyDescent="0.3">
      <c r="B635" s="143" t="s">
        <v>25</v>
      </c>
      <c r="D635" s="45"/>
      <c r="E635" s="45"/>
    </row>
    <row r="636" spans="2:5" x14ac:dyDescent="0.3">
      <c r="B636" s="143" t="s">
        <v>26</v>
      </c>
      <c r="D636" s="45"/>
      <c r="E636" s="45"/>
    </row>
    <row r="637" spans="2:5" x14ac:dyDescent="0.3">
      <c r="B637" s="143" t="s">
        <v>27</v>
      </c>
      <c r="D637" s="45"/>
      <c r="E637" s="45"/>
    </row>
    <row r="638" spans="2:5" x14ac:dyDescent="0.3">
      <c r="B638" s="143" t="s">
        <v>28</v>
      </c>
      <c r="D638" s="45"/>
      <c r="E638" s="45"/>
    </row>
    <row r="639" spans="2:5" x14ac:dyDescent="0.3">
      <c r="B639" s="143" t="s">
        <v>29</v>
      </c>
      <c r="D639" s="45"/>
      <c r="E639" s="45"/>
    </row>
    <row r="640" spans="2:5" x14ac:dyDescent="0.3">
      <c r="B640" s="143" t="s">
        <v>2226</v>
      </c>
      <c r="D640" s="45"/>
      <c r="E640" s="45"/>
    </row>
    <row r="641" spans="2:5" x14ac:dyDescent="0.3">
      <c r="B641" s="143" t="s">
        <v>2227</v>
      </c>
      <c r="D641" s="45"/>
      <c r="E641" s="45"/>
    </row>
    <row r="642" spans="2:5" x14ac:dyDescent="0.3">
      <c r="B642" s="143" t="s">
        <v>31</v>
      </c>
      <c r="D642" s="45"/>
      <c r="E642" s="45"/>
    </row>
    <row r="643" spans="2:5" x14ac:dyDescent="0.3">
      <c r="B643" s="143" t="s">
        <v>2093</v>
      </c>
      <c r="D643" s="45"/>
      <c r="E643" s="45"/>
    </row>
    <row r="644" spans="2:5" x14ac:dyDescent="0.3">
      <c r="B644" s="143" t="s">
        <v>1688</v>
      </c>
      <c r="D644" s="45"/>
      <c r="E644" s="45"/>
    </row>
    <row r="645" spans="2:5" x14ac:dyDescent="0.3">
      <c r="B645" s="143" t="s">
        <v>4674</v>
      </c>
      <c r="D645" s="45"/>
      <c r="E645" s="45"/>
    </row>
    <row r="646" spans="2:5" x14ac:dyDescent="0.3">
      <c r="B646" s="143" t="s">
        <v>1689</v>
      </c>
      <c r="D646" s="45"/>
      <c r="E646" s="45"/>
    </row>
    <row r="647" spans="2:5" x14ac:dyDescent="0.3">
      <c r="B647" s="143" t="s">
        <v>2094</v>
      </c>
      <c r="D647" s="45"/>
      <c r="E647" s="45"/>
    </row>
    <row r="648" spans="2:5" x14ac:dyDescent="0.3">
      <c r="B648" s="143" t="s">
        <v>1689</v>
      </c>
      <c r="D648" s="45"/>
      <c r="E648" s="45"/>
    </row>
    <row r="649" spans="2:5" x14ac:dyDescent="0.3">
      <c r="B649" s="143" t="s">
        <v>4675</v>
      </c>
      <c r="D649" s="45"/>
      <c r="E649" s="45"/>
    </row>
    <row r="650" spans="2:5" x14ac:dyDescent="0.3">
      <c r="B650" s="143" t="s">
        <v>1438</v>
      </c>
      <c r="D650" s="45"/>
      <c r="E650" s="45"/>
    </row>
    <row r="651" spans="2:5" x14ac:dyDescent="0.3">
      <c r="B651" s="143" t="s">
        <v>1439</v>
      </c>
      <c r="D651" s="45"/>
      <c r="E651" s="45"/>
    </row>
    <row r="652" spans="2:5" x14ac:dyDescent="0.3">
      <c r="B652" s="143" t="s">
        <v>1440</v>
      </c>
      <c r="D652" s="45"/>
      <c r="E652" s="45"/>
    </row>
    <row r="653" spans="2:5" x14ac:dyDescent="0.3">
      <c r="B653" s="143" t="s">
        <v>1441</v>
      </c>
      <c r="D653" s="45"/>
      <c r="E653" s="45"/>
    </row>
    <row r="654" spans="2:5" x14ac:dyDescent="0.3">
      <c r="B654" s="143" t="s">
        <v>1442</v>
      </c>
      <c r="D654" s="45"/>
      <c r="E654" s="45"/>
    </row>
    <row r="655" spans="2:5" x14ac:dyDescent="0.3">
      <c r="B655" s="143" t="s">
        <v>1443</v>
      </c>
      <c r="D655" s="45"/>
      <c r="E655" s="45"/>
    </row>
    <row r="656" spans="2:5" x14ac:dyDescent="0.3">
      <c r="B656" s="143" t="s">
        <v>1444</v>
      </c>
      <c r="D656" s="45"/>
      <c r="E656" s="45"/>
    </row>
    <row r="657" spans="2:5" x14ac:dyDescent="0.3">
      <c r="B657" s="143" t="s">
        <v>1445</v>
      </c>
      <c r="D657" s="45"/>
      <c r="E657" s="45"/>
    </row>
    <row r="658" spans="2:5" x14ac:dyDescent="0.3">
      <c r="B658" s="143" t="s">
        <v>1446</v>
      </c>
      <c r="D658" s="45"/>
      <c r="E658" s="45"/>
    </row>
    <row r="659" spans="2:5" x14ac:dyDescent="0.3">
      <c r="B659" s="143" t="s">
        <v>1447</v>
      </c>
      <c r="D659" s="45"/>
      <c r="E659" s="45"/>
    </row>
    <row r="660" spans="2:5" x14ac:dyDescent="0.3">
      <c r="B660" s="143" t="s">
        <v>1448</v>
      </c>
      <c r="D660" s="45"/>
      <c r="E660" s="45"/>
    </row>
    <row r="661" spans="2:5" x14ac:dyDescent="0.3">
      <c r="B661" s="143" t="s">
        <v>1449</v>
      </c>
      <c r="D661" s="45"/>
      <c r="E661" s="45"/>
    </row>
    <row r="662" spans="2:5" x14ac:dyDescent="0.3">
      <c r="B662" s="143" t="s">
        <v>1450</v>
      </c>
      <c r="D662" s="45"/>
      <c r="E662" s="45"/>
    </row>
    <row r="663" spans="2:5" x14ac:dyDescent="0.3">
      <c r="B663" s="143" t="s">
        <v>1451</v>
      </c>
      <c r="D663" s="45"/>
      <c r="E663" s="45"/>
    </row>
    <row r="664" spans="2:5" x14ac:dyDescent="0.3">
      <c r="B664" s="143" t="s">
        <v>1452</v>
      </c>
      <c r="D664" s="45"/>
      <c r="E664" s="45"/>
    </row>
    <row r="665" spans="2:5" x14ac:dyDescent="0.3">
      <c r="B665" s="143" t="s">
        <v>1453</v>
      </c>
      <c r="D665" s="45"/>
      <c r="E665" s="45"/>
    </row>
    <row r="666" spans="2:5" x14ac:dyDescent="0.3">
      <c r="B666" s="143" t="s">
        <v>1454</v>
      </c>
      <c r="D666" s="45"/>
      <c r="E666" s="45"/>
    </row>
    <row r="667" spans="2:5" x14ac:dyDescent="0.3">
      <c r="B667" s="143" t="s">
        <v>1455</v>
      </c>
      <c r="D667" s="45"/>
      <c r="E667" s="45"/>
    </row>
    <row r="668" spans="2:5" x14ac:dyDescent="0.3">
      <c r="B668" s="143" t="s">
        <v>1456</v>
      </c>
      <c r="D668" s="45"/>
      <c r="E668" s="45"/>
    </row>
    <row r="669" spans="2:5" x14ac:dyDescent="0.3">
      <c r="B669" s="143" t="s">
        <v>1457</v>
      </c>
      <c r="D669" s="45"/>
      <c r="E669" s="45"/>
    </row>
    <row r="670" spans="2:5" x14ac:dyDescent="0.3">
      <c r="B670" s="143" t="s">
        <v>1458</v>
      </c>
      <c r="D670" s="45"/>
      <c r="E670" s="45"/>
    </row>
    <row r="671" spans="2:5" x14ac:dyDescent="0.3">
      <c r="B671" s="143" t="s">
        <v>32</v>
      </c>
      <c r="D671" s="45"/>
      <c r="E671" s="45"/>
    </row>
    <row r="672" spans="2:5" x14ac:dyDescent="0.3">
      <c r="B672" s="143" t="s">
        <v>1619</v>
      </c>
      <c r="D672" s="45"/>
      <c r="E672" s="45"/>
    </row>
    <row r="673" spans="2:5" x14ac:dyDescent="0.3">
      <c r="B673" s="143" t="s">
        <v>4676</v>
      </c>
      <c r="D673" s="45"/>
      <c r="E673" s="45"/>
    </row>
    <row r="674" spans="2:5" x14ac:dyDescent="0.3">
      <c r="B674" s="143" t="s">
        <v>2095</v>
      </c>
      <c r="D674" s="45"/>
      <c r="E674" s="45"/>
    </row>
    <row r="675" spans="2:5" x14ac:dyDescent="0.3">
      <c r="B675" s="143" t="s">
        <v>2231</v>
      </c>
      <c r="D675" s="45"/>
      <c r="E675" s="45"/>
    </row>
    <row r="676" spans="2:5" x14ac:dyDescent="0.3">
      <c r="B676" s="143" t="s">
        <v>4677</v>
      </c>
      <c r="D676" s="45"/>
      <c r="E676" s="45"/>
    </row>
    <row r="677" spans="2:5" x14ac:dyDescent="0.3">
      <c r="B677" s="143" t="s">
        <v>4678</v>
      </c>
      <c r="D677" s="45"/>
      <c r="E677" s="45"/>
    </row>
    <row r="678" spans="2:5" x14ac:dyDescent="0.3">
      <c r="B678" s="143" t="s">
        <v>4679</v>
      </c>
      <c r="D678" s="45"/>
      <c r="E678" s="45"/>
    </row>
    <row r="679" spans="2:5" x14ac:dyDescent="0.3">
      <c r="B679" s="143" t="s">
        <v>4680</v>
      </c>
      <c r="D679" s="45"/>
      <c r="E679" s="45"/>
    </row>
    <row r="680" spans="2:5" x14ac:dyDescent="0.3">
      <c r="B680" s="143" t="s">
        <v>4681</v>
      </c>
      <c r="D680" s="45"/>
      <c r="E680" s="45"/>
    </row>
    <row r="681" spans="2:5" x14ac:dyDescent="0.3">
      <c r="B681" s="143" t="s">
        <v>4681</v>
      </c>
      <c r="D681" s="45"/>
      <c r="E681" s="45"/>
    </row>
    <row r="682" spans="2:5" x14ac:dyDescent="0.3">
      <c r="B682" s="143" t="s">
        <v>4682</v>
      </c>
      <c r="D682" s="45"/>
      <c r="E682" s="45"/>
    </row>
    <row r="683" spans="2:5" x14ac:dyDescent="0.3">
      <c r="B683" s="143" t="s">
        <v>1427</v>
      </c>
      <c r="D683" s="45"/>
      <c r="E683" s="45"/>
    </row>
    <row r="684" spans="2:5" x14ac:dyDescent="0.3">
      <c r="B684" s="143" t="s">
        <v>1428</v>
      </c>
      <c r="D684" s="45"/>
      <c r="E684" s="45"/>
    </row>
    <row r="685" spans="2:5" x14ac:dyDescent="0.3">
      <c r="B685" s="143" t="s">
        <v>1429</v>
      </c>
      <c r="D685" s="45"/>
      <c r="E685" s="45"/>
    </row>
    <row r="686" spans="2:5" x14ac:dyDescent="0.3">
      <c r="B686" s="143" t="s">
        <v>1430</v>
      </c>
      <c r="D686" s="45"/>
      <c r="E686" s="45"/>
    </row>
    <row r="687" spans="2:5" x14ac:dyDescent="0.3">
      <c r="B687" s="143" t="s">
        <v>1431</v>
      </c>
      <c r="D687" s="45"/>
      <c r="E687" s="45"/>
    </row>
    <row r="688" spans="2:5" x14ac:dyDescent="0.3">
      <c r="B688" s="143" t="s">
        <v>1432</v>
      </c>
      <c r="D688" s="45"/>
      <c r="E688" s="45"/>
    </row>
    <row r="689" spans="2:5" x14ac:dyDescent="0.3">
      <c r="B689" s="143" t="s">
        <v>1433</v>
      </c>
      <c r="D689" s="45"/>
      <c r="E689" s="45"/>
    </row>
    <row r="690" spans="2:5" x14ac:dyDescent="0.3">
      <c r="B690" s="143" t="s">
        <v>1705</v>
      </c>
      <c r="D690" s="45"/>
      <c r="E690" s="45"/>
    </row>
    <row r="691" spans="2:5" x14ac:dyDescent="0.3">
      <c r="B691" s="143" t="s">
        <v>1434</v>
      </c>
      <c r="D691" s="45"/>
      <c r="E691" s="45"/>
    </row>
    <row r="692" spans="2:5" x14ac:dyDescent="0.3">
      <c r="B692" s="143" t="s">
        <v>1435</v>
      </c>
      <c r="D692" s="45"/>
      <c r="E692" s="45"/>
    </row>
    <row r="693" spans="2:5" x14ac:dyDescent="0.3">
      <c r="B693" s="143" t="s">
        <v>1436</v>
      </c>
      <c r="D693" s="45"/>
      <c r="E693" s="45"/>
    </row>
    <row r="694" spans="2:5" x14ac:dyDescent="0.3">
      <c r="B694" s="143" t="s">
        <v>1437</v>
      </c>
      <c r="D694" s="45"/>
      <c r="E694" s="45"/>
    </row>
    <row r="695" spans="2:5" x14ac:dyDescent="0.3">
      <c r="B695" s="143" t="s">
        <v>1460</v>
      </c>
      <c r="D695" s="45"/>
      <c r="E695" s="45"/>
    </row>
    <row r="696" spans="2:5" x14ac:dyDescent="0.3">
      <c r="B696" s="143" t="s">
        <v>4683</v>
      </c>
      <c r="D696" s="45"/>
      <c r="E696" s="45"/>
    </row>
    <row r="697" spans="2:5" x14ac:dyDescent="0.3">
      <c r="B697" s="143" t="s">
        <v>4684</v>
      </c>
      <c r="D697" s="45"/>
      <c r="E697" s="45"/>
    </row>
    <row r="698" spans="2:5" x14ac:dyDescent="0.3">
      <c r="B698" s="143" t="s">
        <v>1617</v>
      </c>
      <c r="D698" s="45"/>
      <c r="E698" s="45"/>
    </row>
    <row r="699" spans="2:5" x14ac:dyDescent="0.3">
      <c r="B699" s="143" t="s">
        <v>1464</v>
      </c>
      <c r="D699" s="45"/>
      <c r="E699" s="45"/>
    </row>
    <row r="700" spans="2:5" x14ac:dyDescent="0.3">
      <c r="B700" s="143" t="s">
        <v>1464</v>
      </c>
      <c r="D700" s="45"/>
      <c r="E700" s="45"/>
    </row>
    <row r="701" spans="2:5" x14ac:dyDescent="0.3">
      <c r="B701" s="143" t="s">
        <v>1464</v>
      </c>
      <c r="D701" s="45"/>
      <c r="E701" s="45"/>
    </row>
    <row r="702" spans="2:5" x14ac:dyDescent="0.3">
      <c r="B702" s="143" t="s">
        <v>1464</v>
      </c>
      <c r="D702" s="45"/>
      <c r="E702" s="45"/>
    </row>
    <row r="703" spans="2:5" x14ac:dyDescent="0.3">
      <c r="B703" s="143" t="s">
        <v>297</v>
      </c>
      <c r="D703" s="45"/>
      <c r="E703" s="45"/>
    </row>
    <row r="704" spans="2:5" x14ac:dyDescent="0.3">
      <c r="B704" s="143" t="s">
        <v>2274</v>
      </c>
      <c r="D704" s="45"/>
      <c r="E704" s="45"/>
    </row>
    <row r="705" spans="2:5" x14ac:dyDescent="0.3">
      <c r="B705" s="143" t="s">
        <v>1706</v>
      </c>
      <c r="D705" s="45"/>
      <c r="E705" s="45"/>
    </row>
    <row r="706" spans="2:5" x14ac:dyDescent="0.3">
      <c r="B706" s="143" t="s">
        <v>2275</v>
      </c>
      <c r="D706" s="45"/>
      <c r="E706" s="45"/>
    </row>
    <row r="707" spans="2:5" x14ac:dyDescent="0.3">
      <c r="B707" s="143" t="s">
        <v>2276</v>
      </c>
      <c r="D707" s="45"/>
      <c r="E707" s="45"/>
    </row>
    <row r="708" spans="2:5" x14ac:dyDescent="0.3">
      <c r="B708" s="143" t="s">
        <v>2277</v>
      </c>
      <c r="D708" s="45"/>
      <c r="E708" s="45"/>
    </row>
    <row r="709" spans="2:5" x14ac:dyDescent="0.3">
      <c r="B709" s="143" t="s">
        <v>1483</v>
      </c>
      <c r="D709" s="45"/>
      <c r="E709" s="45"/>
    </row>
    <row r="710" spans="2:5" x14ac:dyDescent="0.3">
      <c r="B710" s="143" t="s">
        <v>2278</v>
      </c>
      <c r="D710" s="45"/>
      <c r="E710" s="45"/>
    </row>
    <row r="711" spans="2:5" x14ac:dyDescent="0.3">
      <c r="B711" s="143" t="s">
        <v>2279</v>
      </c>
      <c r="D711" s="45"/>
      <c r="E711" s="45"/>
    </row>
    <row r="712" spans="2:5" x14ac:dyDescent="0.3">
      <c r="B712" s="143" t="s">
        <v>2280</v>
      </c>
      <c r="D712" s="45"/>
      <c r="E712" s="45"/>
    </row>
    <row r="713" spans="2:5" x14ac:dyDescent="0.3">
      <c r="B713" s="143" t="s">
        <v>2281</v>
      </c>
      <c r="D713" s="45"/>
      <c r="E713" s="45"/>
    </row>
    <row r="714" spans="2:5" x14ac:dyDescent="0.3">
      <c r="B714" s="143" t="s">
        <v>4685</v>
      </c>
      <c r="D714" s="45"/>
      <c r="E714" s="45"/>
    </row>
    <row r="715" spans="2:5" x14ac:dyDescent="0.3">
      <c r="B715" s="143" t="s">
        <v>4685</v>
      </c>
      <c r="D715" s="45"/>
      <c r="E715" s="45"/>
    </row>
    <row r="716" spans="2:5" x14ac:dyDescent="0.3">
      <c r="B716" s="143" t="s">
        <v>4685</v>
      </c>
      <c r="D716" s="45"/>
      <c r="E716" s="45"/>
    </row>
    <row r="717" spans="2:5" x14ac:dyDescent="0.3">
      <c r="B717" s="143" t="s">
        <v>4686</v>
      </c>
      <c r="D717" s="45"/>
      <c r="E717" s="45"/>
    </row>
    <row r="718" spans="2:5" x14ac:dyDescent="0.3">
      <c r="B718" s="143" t="s">
        <v>4686</v>
      </c>
      <c r="D718" s="45"/>
      <c r="E718" s="45"/>
    </row>
    <row r="719" spans="2:5" x14ac:dyDescent="0.3">
      <c r="B719" s="143" t="s">
        <v>4686</v>
      </c>
      <c r="D719" s="45"/>
      <c r="E719" s="45"/>
    </row>
    <row r="720" spans="2:5" x14ac:dyDescent="0.3">
      <c r="B720" s="143" t="s">
        <v>3167</v>
      </c>
      <c r="D720" s="45"/>
      <c r="E720" s="45"/>
    </row>
    <row r="721" spans="2:5" x14ac:dyDescent="0.3">
      <c r="B721" s="143" t="s">
        <v>3178</v>
      </c>
      <c r="D721" s="45"/>
      <c r="E721" s="45"/>
    </row>
    <row r="722" spans="2:5" x14ac:dyDescent="0.3">
      <c r="B722" s="143" t="s">
        <v>3168</v>
      </c>
      <c r="D722" s="45"/>
      <c r="E722" s="45"/>
    </row>
    <row r="723" spans="2:5" x14ac:dyDescent="0.3">
      <c r="B723" s="143" t="s">
        <v>3179</v>
      </c>
      <c r="D723" s="45"/>
      <c r="E723" s="45"/>
    </row>
    <row r="724" spans="2:5" x14ac:dyDescent="0.3">
      <c r="B724" s="143" t="s">
        <v>3180</v>
      </c>
      <c r="D724" s="45"/>
      <c r="E724" s="45"/>
    </row>
    <row r="725" spans="2:5" x14ac:dyDescent="0.3">
      <c r="B725" s="143" t="s">
        <v>3157</v>
      </c>
      <c r="D725" s="45"/>
      <c r="E725" s="45"/>
    </row>
    <row r="726" spans="2:5" x14ac:dyDescent="0.3">
      <c r="B726" s="143" t="s">
        <v>3158</v>
      </c>
      <c r="D726" s="45"/>
      <c r="E726" s="45"/>
    </row>
    <row r="727" spans="2:5" x14ac:dyDescent="0.3">
      <c r="B727" s="143" t="s">
        <v>4687</v>
      </c>
      <c r="D727" s="45"/>
      <c r="E727" s="45"/>
    </row>
    <row r="728" spans="2:5" x14ac:dyDescent="0.3">
      <c r="B728" s="143" t="s">
        <v>3169</v>
      </c>
      <c r="D728" s="45"/>
      <c r="E728" s="45"/>
    </row>
    <row r="729" spans="2:5" x14ac:dyDescent="0.3">
      <c r="B729" s="143" t="s">
        <v>3181</v>
      </c>
      <c r="D729" s="45"/>
      <c r="E729" s="45"/>
    </row>
    <row r="730" spans="2:5" x14ac:dyDescent="0.3">
      <c r="B730" s="143" t="s">
        <v>3182</v>
      </c>
      <c r="D730" s="45"/>
      <c r="E730" s="45"/>
    </row>
    <row r="731" spans="2:5" x14ac:dyDescent="0.3">
      <c r="B731" s="143" t="s">
        <v>3159</v>
      </c>
      <c r="D731" s="45"/>
      <c r="E731" s="45"/>
    </row>
    <row r="732" spans="2:5" x14ac:dyDescent="0.3">
      <c r="B732" s="143" t="s">
        <v>4688</v>
      </c>
      <c r="D732" s="45"/>
      <c r="E732" s="45"/>
    </row>
    <row r="733" spans="2:5" x14ac:dyDescent="0.3">
      <c r="B733" s="143" t="s">
        <v>3170</v>
      </c>
      <c r="D733" s="45"/>
      <c r="E733" s="45"/>
    </row>
    <row r="734" spans="2:5" x14ac:dyDescent="0.3">
      <c r="B734" s="143" t="s">
        <v>3183</v>
      </c>
      <c r="D734" s="45"/>
      <c r="E734" s="45"/>
    </row>
    <row r="735" spans="2:5" x14ac:dyDescent="0.3">
      <c r="B735" s="143" t="s">
        <v>3160</v>
      </c>
      <c r="D735" s="45"/>
      <c r="E735" s="45"/>
    </row>
    <row r="736" spans="2:5" x14ac:dyDescent="0.3">
      <c r="B736" s="143" t="s">
        <v>3171</v>
      </c>
      <c r="D736" s="45"/>
      <c r="E736" s="45"/>
    </row>
    <row r="737" spans="2:5" x14ac:dyDescent="0.3">
      <c r="B737" s="143" t="s">
        <v>3161</v>
      </c>
      <c r="D737" s="45"/>
      <c r="E737" s="45"/>
    </row>
    <row r="738" spans="2:5" x14ac:dyDescent="0.3">
      <c r="B738" s="143" t="s">
        <v>3172</v>
      </c>
      <c r="D738" s="45"/>
      <c r="E738" s="45"/>
    </row>
    <row r="739" spans="2:5" x14ac:dyDescent="0.3">
      <c r="B739" s="143" t="s">
        <v>4689</v>
      </c>
      <c r="D739" s="45"/>
      <c r="E739" s="45"/>
    </row>
    <row r="740" spans="2:5" x14ac:dyDescent="0.3">
      <c r="B740" s="143" t="s">
        <v>3162</v>
      </c>
      <c r="D740" s="45"/>
      <c r="E740" s="45"/>
    </row>
    <row r="741" spans="2:5" x14ac:dyDescent="0.3">
      <c r="B741" s="143" t="s">
        <v>3173</v>
      </c>
      <c r="D741" s="45"/>
      <c r="E741" s="45"/>
    </row>
    <row r="742" spans="2:5" x14ac:dyDescent="0.3">
      <c r="B742" s="143" t="s">
        <v>3163</v>
      </c>
      <c r="D742" s="45"/>
      <c r="E742" s="45"/>
    </row>
    <row r="743" spans="2:5" x14ac:dyDescent="0.3">
      <c r="B743" s="143" t="s">
        <v>3174</v>
      </c>
      <c r="D743" s="45"/>
      <c r="E743" s="45"/>
    </row>
    <row r="744" spans="2:5" x14ac:dyDescent="0.3">
      <c r="B744" s="143" t="s">
        <v>3164</v>
      </c>
      <c r="D744" s="45"/>
      <c r="E744" s="45"/>
    </row>
    <row r="745" spans="2:5" x14ac:dyDescent="0.3">
      <c r="B745" s="143" t="s">
        <v>3175</v>
      </c>
      <c r="D745" s="45"/>
      <c r="E745" s="45"/>
    </row>
    <row r="746" spans="2:5" x14ac:dyDescent="0.3">
      <c r="B746" s="143" t="s">
        <v>3165</v>
      </c>
      <c r="D746" s="45"/>
      <c r="E746" s="45"/>
    </row>
    <row r="747" spans="2:5" x14ac:dyDescent="0.3">
      <c r="B747" s="143" t="s">
        <v>3176</v>
      </c>
      <c r="D747" s="45"/>
      <c r="E747" s="45"/>
    </row>
    <row r="748" spans="2:5" x14ac:dyDescent="0.3">
      <c r="B748" s="143" t="s">
        <v>3166</v>
      </c>
      <c r="D748" s="45"/>
      <c r="E748" s="45"/>
    </row>
    <row r="749" spans="2:5" x14ac:dyDescent="0.3">
      <c r="B749" s="143" t="s">
        <v>3177</v>
      </c>
      <c r="D749" s="45"/>
      <c r="E749" s="45"/>
    </row>
    <row r="750" spans="2:5" x14ac:dyDescent="0.3">
      <c r="B750" s="143" t="s">
        <v>3140</v>
      </c>
      <c r="D750" s="45"/>
      <c r="E750" s="45"/>
    </row>
    <row r="751" spans="2:5" x14ac:dyDescent="0.3">
      <c r="B751" s="143" t="s">
        <v>3151</v>
      </c>
      <c r="D751" s="45"/>
      <c r="E751" s="45"/>
    </row>
    <row r="752" spans="2:5" x14ac:dyDescent="0.3">
      <c r="B752" s="143" t="s">
        <v>3141</v>
      </c>
      <c r="D752" s="45"/>
      <c r="E752" s="45"/>
    </row>
    <row r="753" spans="2:5" x14ac:dyDescent="0.3">
      <c r="B753" s="143" t="s">
        <v>3152</v>
      </c>
      <c r="D753" s="45"/>
      <c r="E753" s="45"/>
    </row>
    <row r="754" spans="2:5" x14ac:dyDescent="0.3">
      <c r="B754" s="143" t="s">
        <v>3153</v>
      </c>
      <c r="D754" s="45"/>
      <c r="E754" s="45"/>
    </row>
    <row r="755" spans="2:5" x14ac:dyDescent="0.3">
      <c r="B755" s="143" t="s">
        <v>3130</v>
      </c>
      <c r="D755" s="45"/>
      <c r="E755" s="45"/>
    </row>
    <row r="756" spans="2:5" x14ac:dyDescent="0.3">
      <c r="B756" s="143" t="s">
        <v>3131</v>
      </c>
      <c r="D756" s="45"/>
      <c r="E756" s="45"/>
    </row>
    <row r="757" spans="2:5" x14ac:dyDescent="0.3">
      <c r="B757" s="143" t="s">
        <v>4690</v>
      </c>
      <c r="D757" s="45"/>
      <c r="E757" s="45"/>
    </row>
    <row r="758" spans="2:5" x14ac:dyDescent="0.3">
      <c r="B758" s="143" t="s">
        <v>3142</v>
      </c>
      <c r="D758" s="45"/>
      <c r="E758" s="45"/>
    </row>
    <row r="759" spans="2:5" x14ac:dyDescent="0.3">
      <c r="B759" s="143" t="s">
        <v>3154</v>
      </c>
      <c r="D759" s="45"/>
      <c r="E759" s="45"/>
    </row>
    <row r="760" spans="2:5" x14ac:dyDescent="0.3">
      <c r="B760" s="143" t="s">
        <v>3155</v>
      </c>
      <c r="D760" s="45"/>
      <c r="E760" s="45"/>
    </row>
    <row r="761" spans="2:5" x14ac:dyDescent="0.3">
      <c r="B761" s="143" t="s">
        <v>3132</v>
      </c>
      <c r="D761" s="45"/>
      <c r="E761" s="45"/>
    </row>
    <row r="762" spans="2:5" x14ac:dyDescent="0.3">
      <c r="B762" s="143" t="s">
        <v>4691</v>
      </c>
      <c r="D762" s="45"/>
      <c r="E762" s="45"/>
    </row>
    <row r="763" spans="2:5" x14ac:dyDescent="0.3">
      <c r="B763" s="143" t="s">
        <v>3143</v>
      </c>
      <c r="D763" s="45"/>
      <c r="E763" s="45"/>
    </row>
    <row r="764" spans="2:5" x14ac:dyDescent="0.3">
      <c r="B764" s="143" t="s">
        <v>3156</v>
      </c>
      <c r="D764" s="45"/>
      <c r="E764" s="45"/>
    </row>
    <row r="765" spans="2:5" x14ac:dyDescent="0.3">
      <c r="B765" s="143" t="s">
        <v>3133</v>
      </c>
      <c r="D765" s="45"/>
      <c r="E765" s="45"/>
    </row>
    <row r="766" spans="2:5" x14ac:dyDescent="0.3">
      <c r="B766" s="143" t="s">
        <v>3144</v>
      </c>
      <c r="D766" s="45"/>
      <c r="E766" s="45"/>
    </row>
    <row r="767" spans="2:5" x14ac:dyDescent="0.3">
      <c r="B767" s="143" t="s">
        <v>3134</v>
      </c>
      <c r="D767" s="45"/>
      <c r="E767" s="45"/>
    </row>
    <row r="768" spans="2:5" x14ac:dyDescent="0.3">
      <c r="B768" s="143" t="s">
        <v>3145</v>
      </c>
      <c r="D768" s="45"/>
      <c r="E768" s="45"/>
    </row>
    <row r="769" spans="2:5" x14ac:dyDescent="0.3">
      <c r="B769" s="143" t="s">
        <v>4692</v>
      </c>
      <c r="D769" s="45"/>
      <c r="E769" s="45"/>
    </row>
    <row r="770" spans="2:5" x14ac:dyDescent="0.3">
      <c r="B770" s="143" t="s">
        <v>3135</v>
      </c>
      <c r="D770" s="45"/>
      <c r="E770" s="45"/>
    </row>
    <row r="771" spans="2:5" x14ac:dyDescent="0.3">
      <c r="B771" s="143" t="s">
        <v>3146</v>
      </c>
      <c r="D771" s="45"/>
      <c r="E771" s="45"/>
    </row>
    <row r="772" spans="2:5" x14ac:dyDescent="0.3">
      <c r="B772" s="143" t="s">
        <v>3136</v>
      </c>
      <c r="D772" s="45"/>
      <c r="E772" s="45"/>
    </row>
    <row r="773" spans="2:5" x14ac:dyDescent="0.3">
      <c r="B773" s="143" t="s">
        <v>3147</v>
      </c>
      <c r="D773" s="45"/>
      <c r="E773" s="45"/>
    </row>
    <row r="774" spans="2:5" x14ac:dyDescent="0.3">
      <c r="B774" s="143" t="s">
        <v>3137</v>
      </c>
      <c r="D774" s="45"/>
      <c r="E774" s="45"/>
    </row>
    <row r="775" spans="2:5" x14ac:dyDescent="0.3">
      <c r="B775" s="143" t="s">
        <v>3148</v>
      </c>
      <c r="D775" s="45"/>
      <c r="E775" s="45"/>
    </row>
    <row r="776" spans="2:5" x14ac:dyDescent="0.3">
      <c r="B776" s="143" t="s">
        <v>3138</v>
      </c>
      <c r="D776" s="45"/>
      <c r="E776" s="45"/>
    </row>
    <row r="777" spans="2:5" x14ac:dyDescent="0.3">
      <c r="B777" s="143" t="s">
        <v>3149</v>
      </c>
      <c r="D777" s="45"/>
      <c r="E777" s="45"/>
    </row>
    <row r="778" spans="2:5" x14ac:dyDescent="0.3">
      <c r="B778" s="143" t="s">
        <v>3139</v>
      </c>
      <c r="D778" s="45"/>
      <c r="E778" s="45"/>
    </row>
    <row r="779" spans="2:5" x14ac:dyDescent="0.3">
      <c r="B779" s="143" t="s">
        <v>3150</v>
      </c>
      <c r="D779" s="45"/>
      <c r="E779" s="45"/>
    </row>
    <row r="780" spans="2:5" x14ac:dyDescent="0.3">
      <c r="B780" s="143" t="s">
        <v>61</v>
      </c>
      <c r="D780" s="45"/>
      <c r="E780" s="45"/>
    </row>
    <row r="781" spans="2:5" x14ac:dyDescent="0.3">
      <c r="B781" s="143" t="s">
        <v>62</v>
      </c>
      <c r="D781" s="45"/>
      <c r="E781" s="45"/>
    </row>
    <row r="782" spans="2:5" x14ac:dyDescent="0.3">
      <c r="B782" s="143" t="s">
        <v>63</v>
      </c>
    </row>
    <row r="783" spans="2:5" x14ac:dyDescent="0.3">
      <c r="B783" s="143" t="s">
        <v>64</v>
      </c>
    </row>
    <row r="784" spans="2:5" x14ac:dyDescent="0.3">
      <c r="B784" s="143" t="s">
        <v>65</v>
      </c>
    </row>
    <row r="785" spans="2:2" x14ac:dyDescent="0.3">
      <c r="B785" s="143" t="s">
        <v>66</v>
      </c>
    </row>
    <row r="786" spans="2:2" x14ac:dyDescent="0.3">
      <c r="B786" s="143" t="s">
        <v>67</v>
      </c>
    </row>
    <row r="787" spans="2:2" x14ac:dyDescent="0.3">
      <c r="B787" s="143" t="s">
        <v>1712</v>
      </c>
    </row>
    <row r="788" spans="2:2" x14ac:dyDescent="0.3">
      <c r="B788" s="136" t="s">
        <v>68</v>
      </c>
    </row>
    <row r="789" spans="2:2" x14ac:dyDescent="0.3">
      <c r="B789" s="143" t="s">
        <v>69</v>
      </c>
    </row>
    <row r="790" spans="2:2" x14ac:dyDescent="0.3">
      <c r="B790" s="143" t="s">
        <v>70</v>
      </c>
    </row>
    <row r="791" spans="2:2" x14ac:dyDescent="0.3">
      <c r="B791" s="143" t="s">
        <v>71</v>
      </c>
    </row>
    <row r="792" spans="2:2" x14ac:dyDescent="0.3">
      <c r="B792" s="143" t="s">
        <v>72</v>
      </c>
    </row>
    <row r="793" spans="2:2" x14ac:dyDescent="0.3">
      <c r="B793" s="143" t="s">
        <v>73</v>
      </c>
    </row>
    <row r="794" spans="2:2" x14ac:dyDescent="0.3">
      <c r="B794" s="143" t="s">
        <v>74</v>
      </c>
    </row>
    <row r="795" spans="2:2" x14ac:dyDescent="0.3">
      <c r="B795" s="143" t="s">
        <v>75</v>
      </c>
    </row>
    <row r="796" spans="2:2" x14ac:dyDescent="0.3">
      <c r="B796" s="143" t="s">
        <v>76</v>
      </c>
    </row>
    <row r="797" spans="2:2" x14ac:dyDescent="0.3">
      <c r="B797" s="143" t="s">
        <v>77</v>
      </c>
    </row>
    <row r="798" spans="2:2" x14ac:dyDescent="0.3">
      <c r="B798" s="143" t="s">
        <v>78</v>
      </c>
    </row>
    <row r="799" spans="2:2" x14ac:dyDescent="0.3">
      <c r="B799" s="143" t="s">
        <v>79</v>
      </c>
    </row>
    <row r="800" spans="2:2" x14ac:dyDescent="0.3">
      <c r="B800" s="143" t="s">
        <v>80</v>
      </c>
    </row>
    <row r="801" spans="2:2" x14ac:dyDescent="0.3">
      <c r="B801" s="143" t="s">
        <v>81</v>
      </c>
    </row>
    <row r="802" spans="2:2" x14ac:dyDescent="0.3">
      <c r="B802" s="143" t="s">
        <v>82</v>
      </c>
    </row>
    <row r="803" spans="2:2" x14ac:dyDescent="0.3">
      <c r="B803" s="143" t="s">
        <v>83</v>
      </c>
    </row>
    <row r="804" spans="2:2" x14ac:dyDescent="0.3">
      <c r="B804" s="143" t="s">
        <v>84</v>
      </c>
    </row>
    <row r="805" spans="2:2" x14ac:dyDescent="0.3">
      <c r="B805" s="143" t="s">
        <v>85</v>
      </c>
    </row>
    <row r="806" spans="2:2" x14ac:dyDescent="0.3">
      <c r="B806" s="143" t="s">
        <v>86</v>
      </c>
    </row>
    <row r="807" spans="2:2" x14ac:dyDescent="0.3">
      <c r="B807" s="143" t="s">
        <v>87</v>
      </c>
    </row>
    <row r="808" spans="2:2" x14ac:dyDescent="0.3">
      <c r="B808" s="143" t="s">
        <v>2801</v>
      </c>
    </row>
    <row r="809" spans="2:2" x14ac:dyDescent="0.3">
      <c r="B809" s="143" t="s">
        <v>2812</v>
      </c>
    </row>
    <row r="810" spans="2:2" x14ac:dyDescent="0.3">
      <c r="B810" s="143" t="s">
        <v>2802</v>
      </c>
    </row>
    <row r="811" spans="2:2" x14ac:dyDescent="0.3">
      <c r="B811" s="143" t="s">
        <v>2813</v>
      </c>
    </row>
    <row r="812" spans="2:2" x14ac:dyDescent="0.3">
      <c r="B812" s="143" t="s">
        <v>2814</v>
      </c>
    </row>
    <row r="813" spans="2:2" x14ac:dyDescent="0.3">
      <c r="B813" s="143" t="s">
        <v>2791</v>
      </c>
    </row>
    <row r="814" spans="2:2" x14ac:dyDescent="0.3">
      <c r="B814" s="143" t="s">
        <v>2792</v>
      </c>
    </row>
    <row r="815" spans="2:2" x14ac:dyDescent="0.3">
      <c r="B815" s="143" t="s">
        <v>4693</v>
      </c>
    </row>
    <row r="816" spans="2:2" x14ac:dyDescent="0.3">
      <c r="B816" s="143" t="s">
        <v>2803</v>
      </c>
    </row>
    <row r="817" spans="2:2" x14ac:dyDescent="0.3">
      <c r="B817" s="143" t="s">
        <v>2815</v>
      </c>
    </row>
    <row r="818" spans="2:2" x14ac:dyDescent="0.3">
      <c r="B818" s="143" t="s">
        <v>2816</v>
      </c>
    </row>
    <row r="819" spans="2:2" x14ac:dyDescent="0.3">
      <c r="B819" s="143" t="s">
        <v>2793</v>
      </c>
    </row>
    <row r="820" spans="2:2" x14ac:dyDescent="0.3">
      <c r="B820" s="143" t="s">
        <v>2804</v>
      </c>
    </row>
    <row r="821" spans="2:2" x14ac:dyDescent="0.3">
      <c r="B821" s="143" t="s">
        <v>2817</v>
      </c>
    </row>
    <row r="822" spans="2:2" x14ac:dyDescent="0.3">
      <c r="B822" s="143" t="s">
        <v>2794</v>
      </c>
    </row>
    <row r="823" spans="2:2" x14ac:dyDescent="0.3">
      <c r="B823" s="143" t="s">
        <v>2805</v>
      </c>
    </row>
    <row r="824" spans="2:2" x14ac:dyDescent="0.3">
      <c r="B824" s="143" t="s">
        <v>2795</v>
      </c>
    </row>
    <row r="825" spans="2:2" x14ac:dyDescent="0.3">
      <c r="B825" s="143" t="s">
        <v>2806</v>
      </c>
    </row>
    <row r="826" spans="2:2" x14ac:dyDescent="0.3">
      <c r="B826" s="143" t="s">
        <v>4694</v>
      </c>
    </row>
    <row r="827" spans="2:2" x14ac:dyDescent="0.3">
      <c r="B827" s="143" t="s">
        <v>2796</v>
      </c>
    </row>
    <row r="828" spans="2:2" x14ac:dyDescent="0.3">
      <c r="B828" s="143" t="s">
        <v>2807</v>
      </c>
    </row>
    <row r="829" spans="2:2" x14ac:dyDescent="0.3">
      <c r="B829" s="143" t="s">
        <v>2797</v>
      </c>
    </row>
    <row r="830" spans="2:2" x14ac:dyDescent="0.3">
      <c r="B830" s="143" t="s">
        <v>2808</v>
      </c>
    </row>
    <row r="831" spans="2:2" x14ac:dyDescent="0.3">
      <c r="B831" s="143" t="s">
        <v>2798</v>
      </c>
    </row>
    <row r="832" spans="2:2" x14ac:dyDescent="0.3">
      <c r="B832" s="143" t="s">
        <v>2809</v>
      </c>
    </row>
    <row r="833" spans="2:2" x14ac:dyDescent="0.3">
      <c r="B833" s="143" t="s">
        <v>2799</v>
      </c>
    </row>
    <row r="834" spans="2:2" x14ac:dyDescent="0.3">
      <c r="B834" s="143" t="s">
        <v>2810</v>
      </c>
    </row>
    <row r="835" spans="2:2" x14ac:dyDescent="0.3">
      <c r="B835" s="143" t="s">
        <v>2800</v>
      </c>
    </row>
    <row r="836" spans="2:2" x14ac:dyDescent="0.3">
      <c r="B836" s="143" t="s">
        <v>2811</v>
      </c>
    </row>
    <row r="837" spans="2:2" x14ac:dyDescent="0.3">
      <c r="B837" s="143" t="s">
        <v>2282</v>
      </c>
    </row>
    <row r="838" spans="2:2" x14ac:dyDescent="0.3">
      <c r="B838" s="143" t="s">
        <v>2283</v>
      </c>
    </row>
    <row r="839" spans="2:2" x14ac:dyDescent="0.3">
      <c r="B839" s="143" t="s">
        <v>2284</v>
      </c>
    </row>
    <row r="840" spans="2:2" x14ac:dyDescent="0.3">
      <c r="B840" s="143" t="s">
        <v>1717</v>
      </c>
    </row>
    <row r="841" spans="2:2" x14ac:dyDescent="0.3">
      <c r="B841" s="143" t="s">
        <v>1720</v>
      </c>
    </row>
    <row r="842" spans="2:2" x14ac:dyDescent="0.3">
      <c r="B842" s="143" t="s">
        <v>2285</v>
      </c>
    </row>
    <row r="843" spans="2:2" x14ac:dyDescent="0.3">
      <c r="B843" s="143" t="s">
        <v>2286</v>
      </c>
    </row>
    <row r="844" spans="2:2" x14ac:dyDescent="0.3">
      <c r="B844" s="143" t="s">
        <v>2287</v>
      </c>
    </row>
    <row r="845" spans="2:2" x14ac:dyDescent="0.3">
      <c r="B845" s="143" t="s">
        <v>2288</v>
      </c>
    </row>
    <row r="846" spans="2:2" x14ac:dyDescent="0.3">
      <c r="B846" s="143" t="s">
        <v>1721</v>
      </c>
    </row>
    <row r="847" spans="2:2" x14ac:dyDescent="0.3">
      <c r="B847" s="143" t="s">
        <v>2289</v>
      </c>
    </row>
    <row r="848" spans="2:2" x14ac:dyDescent="0.3">
      <c r="B848" s="143" t="s">
        <v>2290</v>
      </c>
    </row>
    <row r="849" spans="2:2" x14ac:dyDescent="0.3">
      <c r="B849" s="143" t="s">
        <v>2291</v>
      </c>
    </row>
    <row r="850" spans="2:2" x14ac:dyDescent="0.3">
      <c r="B850" s="143" t="s">
        <v>2292</v>
      </c>
    </row>
    <row r="851" spans="2:2" x14ac:dyDescent="0.3">
      <c r="B851" s="143" t="s">
        <v>2293</v>
      </c>
    </row>
    <row r="852" spans="2:2" x14ac:dyDescent="0.3">
      <c r="B852" s="143" t="s">
        <v>1722</v>
      </c>
    </row>
    <row r="853" spans="2:2" x14ac:dyDescent="0.3">
      <c r="B853" s="143" t="s">
        <v>2294</v>
      </c>
    </row>
    <row r="854" spans="2:2" x14ac:dyDescent="0.3">
      <c r="B854" s="143" t="s">
        <v>2295</v>
      </c>
    </row>
    <row r="855" spans="2:2" x14ac:dyDescent="0.3">
      <c r="B855" s="143" t="s">
        <v>2296</v>
      </c>
    </row>
    <row r="856" spans="2:2" x14ac:dyDescent="0.3">
      <c r="B856" s="143" t="s">
        <v>2297</v>
      </c>
    </row>
    <row r="857" spans="2:2" x14ac:dyDescent="0.3">
      <c r="B857" s="143" t="s">
        <v>2298</v>
      </c>
    </row>
    <row r="858" spans="2:2" x14ac:dyDescent="0.3">
      <c r="B858" s="143" t="s">
        <v>2299</v>
      </c>
    </row>
    <row r="859" spans="2:2" x14ac:dyDescent="0.3">
      <c r="B859" s="143" t="s">
        <v>2300</v>
      </c>
    </row>
    <row r="860" spans="2:2" x14ac:dyDescent="0.3">
      <c r="B860" s="143" t="s">
        <v>1723</v>
      </c>
    </row>
    <row r="861" spans="2:2" x14ac:dyDescent="0.3">
      <c r="B861" s="143" t="s">
        <v>2301</v>
      </c>
    </row>
    <row r="862" spans="2:2" x14ac:dyDescent="0.3">
      <c r="B862" s="143" t="s">
        <v>2302</v>
      </c>
    </row>
    <row r="863" spans="2:2" x14ac:dyDescent="0.3">
      <c r="B863" s="143" t="s">
        <v>1726</v>
      </c>
    </row>
    <row r="864" spans="2:2" x14ac:dyDescent="0.3">
      <c r="B864" s="143" t="s">
        <v>1727</v>
      </c>
    </row>
    <row r="865" spans="2:2" x14ac:dyDescent="0.3">
      <c r="B865" s="143" t="s">
        <v>2303</v>
      </c>
    </row>
    <row r="866" spans="2:2" x14ac:dyDescent="0.3">
      <c r="B866" s="143" t="s">
        <v>2304</v>
      </c>
    </row>
    <row r="867" spans="2:2" x14ac:dyDescent="0.3">
      <c r="B867" s="143" t="s">
        <v>2305</v>
      </c>
    </row>
    <row r="868" spans="2:2" x14ac:dyDescent="0.3">
      <c r="B868" s="143" t="s">
        <v>2306</v>
      </c>
    </row>
    <row r="869" spans="2:2" x14ac:dyDescent="0.3">
      <c r="B869" s="143" t="s">
        <v>1728</v>
      </c>
    </row>
    <row r="870" spans="2:2" x14ac:dyDescent="0.3">
      <c r="B870" s="143" t="s">
        <v>2307</v>
      </c>
    </row>
    <row r="871" spans="2:2" x14ac:dyDescent="0.3">
      <c r="B871" s="143" t="s">
        <v>2308</v>
      </c>
    </row>
    <row r="872" spans="2:2" x14ac:dyDescent="0.3">
      <c r="B872" s="143" t="s">
        <v>2309</v>
      </c>
    </row>
    <row r="873" spans="2:2" x14ac:dyDescent="0.3">
      <c r="B873" s="143" t="s">
        <v>2310</v>
      </c>
    </row>
    <row r="874" spans="2:2" x14ac:dyDescent="0.3">
      <c r="B874" s="143" t="s">
        <v>2311</v>
      </c>
    </row>
    <row r="875" spans="2:2" x14ac:dyDescent="0.3">
      <c r="B875" s="143" t="s">
        <v>1729</v>
      </c>
    </row>
    <row r="876" spans="2:2" x14ac:dyDescent="0.3">
      <c r="B876" s="143" t="s">
        <v>2312</v>
      </c>
    </row>
    <row r="877" spans="2:2" x14ac:dyDescent="0.3">
      <c r="B877" s="143" t="s">
        <v>2313</v>
      </c>
    </row>
    <row r="878" spans="2:2" x14ac:dyDescent="0.3">
      <c r="B878" s="143" t="s">
        <v>2314</v>
      </c>
    </row>
    <row r="879" spans="2:2" x14ac:dyDescent="0.3">
      <c r="B879" s="143" t="s">
        <v>2315</v>
      </c>
    </row>
    <row r="880" spans="2:2" x14ac:dyDescent="0.3">
      <c r="B880" s="143" t="s">
        <v>2316</v>
      </c>
    </row>
    <row r="881" spans="2:2" x14ac:dyDescent="0.3">
      <c r="B881" s="143" t="s">
        <v>2317</v>
      </c>
    </row>
    <row r="882" spans="2:2" x14ac:dyDescent="0.3">
      <c r="B882" s="143" t="s">
        <v>2318</v>
      </c>
    </row>
    <row r="883" spans="2:2" x14ac:dyDescent="0.3">
      <c r="B883" s="143" t="s">
        <v>228</v>
      </c>
    </row>
    <row r="884" spans="2:2" x14ac:dyDescent="0.3">
      <c r="B884" s="143" t="s">
        <v>228</v>
      </c>
    </row>
    <row r="885" spans="2:2" x14ac:dyDescent="0.3">
      <c r="B885" s="143" t="s">
        <v>228</v>
      </c>
    </row>
    <row r="886" spans="2:2" x14ac:dyDescent="0.3">
      <c r="B886" s="143" t="s">
        <v>228</v>
      </c>
    </row>
    <row r="887" spans="2:2" x14ac:dyDescent="0.3">
      <c r="B887" s="143" t="s">
        <v>228</v>
      </c>
    </row>
    <row r="888" spans="2:2" x14ac:dyDescent="0.3">
      <c r="B888" s="143" t="s">
        <v>228</v>
      </c>
    </row>
    <row r="889" spans="2:2" x14ac:dyDescent="0.3">
      <c r="B889" s="143" t="s">
        <v>33</v>
      </c>
    </row>
    <row r="890" spans="2:2" x14ac:dyDescent="0.3">
      <c r="B890" s="143" t="s">
        <v>33</v>
      </c>
    </row>
    <row r="891" spans="2:2" x14ac:dyDescent="0.3">
      <c r="B891" s="143" t="s">
        <v>2404</v>
      </c>
    </row>
    <row r="892" spans="2:2" x14ac:dyDescent="0.3">
      <c r="B892" s="143" t="s">
        <v>4695</v>
      </c>
    </row>
    <row r="893" spans="2:2" x14ac:dyDescent="0.3">
      <c r="B893" s="143" t="s">
        <v>4695</v>
      </c>
    </row>
    <row r="894" spans="2:2" x14ac:dyDescent="0.3">
      <c r="B894" s="143" t="s">
        <v>4696</v>
      </c>
    </row>
    <row r="895" spans="2:2" x14ac:dyDescent="0.3">
      <c r="B895" s="143" t="s">
        <v>4696</v>
      </c>
    </row>
    <row r="896" spans="2:2" x14ac:dyDescent="0.3">
      <c r="B896" s="143" t="s">
        <v>4697</v>
      </c>
    </row>
    <row r="897" spans="2:2" x14ac:dyDescent="0.3">
      <c r="B897" s="143" t="s">
        <v>2319</v>
      </c>
    </row>
    <row r="898" spans="2:2" x14ac:dyDescent="0.3">
      <c r="B898" s="143" t="s">
        <v>1730</v>
      </c>
    </row>
    <row r="899" spans="2:2" x14ac:dyDescent="0.3">
      <c r="B899" s="143" t="s">
        <v>2320</v>
      </c>
    </row>
    <row r="900" spans="2:2" x14ac:dyDescent="0.3">
      <c r="B900" s="143" t="s">
        <v>1707</v>
      </c>
    </row>
    <row r="901" spans="2:2" x14ac:dyDescent="0.3">
      <c r="B901" s="143" t="s">
        <v>4698</v>
      </c>
    </row>
    <row r="902" spans="2:2" x14ac:dyDescent="0.3">
      <c r="B902" s="143" t="s">
        <v>4698</v>
      </c>
    </row>
    <row r="903" spans="2:2" x14ac:dyDescent="0.3">
      <c r="B903" s="143" t="s">
        <v>4698</v>
      </c>
    </row>
    <row r="904" spans="2:2" x14ac:dyDescent="0.3">
      <c r="B904" s="143" t="s">
        <v>4698</v>
      </c>
    </row>
    <row r="905" spans="2:2" x14ac:dyDescent="0.3">
      <c r="B905" s="143" t="s">
        <v>4698</v>
      </c>
    </row>
    <row r="906" spans="2:2" x14ac:dyDescent="0.3">
      <c r="B906" s="143" t="s">
        <v>4698</v>
      </c>
    </row>
    <row r="907" spans="2:2" x14ac:dyDescent="0.3">
      <c r="B907" s="143" t="s">
        <v>2321</v>
      </c>
    </row>
    <row r="908" spans="2:2" x14ac:dyDescent="0.3">
      <c r="B908" s="143" t="s">
        <v>2322</v>
      </c>
    </row>
    <row r="909" spans="2:2" x14ac:dyDescent="0.3">
      <c r="B909" s="143" t="s">
        <v>1733</v>
      </c>
    </row>
    <row r="910" spans="2:2" x14ac:dyDescent="0.3">
      <c r="B910" s="143" t="s">
        <v>2323</v>
      </c>
    </row>
    <row r="911" spans="2:2" x14ac:dyDescent="0.3">
      <c r="B911" s="143" t="s">
        <v>2324</v>
      </c>
    </row>
    <row r="912" spans="2:2" x14ac:dyDescent="0.3">
      <c r="B912" s="143" t="s">
        <v>2325</v>
      </c>
    </row>
    <row r="913" spans="2:2" x14ac:dyDescent="0.3">
      <c r="B913" s="143" t="s">
        <v>2326</v>
      </c>
    </row>
    <row r="914" spans="2:2" x14ac:dyDescent="0.3">
      <c r="B914" s="143" t="s">
        <v>1736</v>
      </c>
    </row>
    <row r="915" spans="2:2" x14ac:dyDescent="0.3">
      <c r="B915" s="143" t="s">
        <v>2327</v>
      </c>
    </row>
    <row r="916" spans="2:2" x14ac:dyDescent="0.3">
      <c r="B916" s="143" t="s">
        <v>2328</v>
      </c>
    </row>
    <row r="917" spans="2:2" x14ac:dyDescent="0.3">
      <c r="B917" s="143" t="s">
        <v>2329</v>
      </c>
    </row>
    <row r="918" spans="2:2" x14ac:dyDescent="0.3">
      <c r="B918" s="143" t="s">
        <v>2330</v>
      </c>
    </row>
    <row r="919" spans="2:2" x14ac:dyDescent="0.3">
      <c r="B919" s="143" t="s">
        <v>2331</v>
      </c>
    </row>
    <row r="920" spans="2:2" x14ac:dyDescent="0.3">
      <c r="B920" s="143" t="s">
        <v>1737</v>
      </c>
    </row>
    <row r="921" spans="2:2" x14ac:dyDescent="0.3">
      <c r="B921" s="143" t="s">
        <v>2333</v>
      </c>
    </row>
    <row r="922" spans="2:2" x14ac:dyDescent="0.3">
      <c r="B922" s="143" t="s">
        <v>2108</v>
      </c>
    </row>
    <row r="923" spans="2:2" x14ac:dyDescent="0.3">
      <c r="B923" s="143" t="s">
        <v>2109</v>
      </c>
    </row>
    <row r="924" spans="2:2" x14ac:dyDescent="0.3">
      <c r="B924" s="143" t="s">
        <v>2110</v>
      </c>
    </row>
    <row r="925" spans="2:2" x14ac:dyDescent="0.3">
      <c r="B925" s="143" t="s">
        <v>2111</v>
      </c>
    </row>
    <row r="926" spans="2:2" x14ac:dyDescent="0.3">
      <c r="B926" s="143" t="s">
        <v>2334</v>
      </c>
    </row>
    <row r="927" spans="2:2" x14ac:dyDescent="0.3">
      <c r="B927" s="143" t="s">
        <v>2335</v>
      </c>
    </row>
    <row r="928" spans="2:2" x14ac:dyDescent="0.3">
      <c r="B928" s="143" t="s">
        <v>1740</v>
      </c>
    </row>
    <row r="929" spans="2:2" x14ac:dyDescent="0.3">
      <c r="B929" s="143" t="s">
        <v>2336</v>
      </c>
    </row>
    <row r="930" spans="2:2" x14ac:dyDescent="0.3">
      <c r="B930" s="143" t="s">
        <v>2337</v>
      </c>
    </row>
    <row r="931" spans="2:2" x14ac:dyDescent="0.3">
      <c r="B931" s="143" t="s">
        <v>2338</v>
      </c>
    </row>
    <row r="932" spans="2:2" x14ac:dyDescent="0.3">
      <c r="B932" s="143" t="s">
        <v>2339</v>
      </c>
    </row>
    <row r="933" spans="2:2" x14ac:dyDescent="0.3">
      <c r="B933" s="143" t="s">
        <v>2340</v>
      </c>
    </row>
    <row r="934" spans="2:2" x14ac:dyDescent="0.3">
      <c r="B934" s="143" t="s">
        <v>2341</v>
      </c>
    </row>
    <row r="935" spans="2:2" x14ac:dyDescent="0.3">
      <c r="B935" s="143" t="s">
        <v>2342</v>
      </c>
    </row>
    <row r="936" spans="2:2" x14ac:dyDescent="0.3">
      <c r="B936" s="143" t="s">
        <v>2343</v>
      </c>
    </row>
    <row r="937" spans="2:2" x14ac:dyDescent="0.3">
      <c r="B937" s="143" t="s">
        <v>2344</v>
      </c>
    </row>
    <row r="938" spans="2:2" x14ac:dyDescent="0.3">
      <c r="B938" s="143" t="s">
        <v>2345</v>
      </c>
    </row>
    <row r="939" spans="2:2" x14ac:dyDescent="0.3">
      <c r="B939" s="143" t="s">
        <v>2346</v>
      </c>
    </row>
    <row r="940" spans="2:2" x14ac:dyDescent="0.3">
      <c r="B940" s="143" t="s">
        <v>4699</v>
      </c>
    </row>
    <row r="941" spans="2:2" x14ac:dyDescent="0.3">
      <c r="B941" s="143" t="s">
        <v>2347</v>
      </c>
    </row>
    <row r="942" spans="2:2" x14ac:dyDescent="0.3">
      <c r="B942" s="143" t="s">
        <v>1461</v>
      </c>
    </row>
    <row r="943" spans="2:2" x14ac:dyDescent="0.3">
      <c r="B943" s="143" t="s">
        <v>1462</v>
      </c>
    </row>
    <row r="944" spans="2:2" x14ac:dyDescent="0.3">
      <c r="B944" s="143" t="s">
        <v>2580</v>
      </c>
    </row>
    <row r="945" spans="2:2" x14ac:dyDescent="0.3">
      <c r="B945" s="143" t="s">
        <v>2348</v>
      </c>
    </row>
    <row r="946" spans="2:2" x14ac:dyDescent="0.3">
      <c r="B946" s="143" t="s">
        <v>2349</v>
      </c>
    </row>
    <row r="947" spans="2:2" x14ac:dyDescent="0.3">
      <c r="B947" s="143" t="s">
        <v>2350</v>
      </c>
    </row>
    <row r="948" spans="2:2" x14ac:dyDescent="0.3">
      <c r="B948" s="143" t="s">
        <v>1753</v>
      </c>
    </row>
    <row r="949" spans="2:2" x14ac:dyDescent="0.3">
      <c r="B949" s="143" t="s">
        <v>2351</v>
      </c>
    </row>
    <row r="950" spans="2:2" x14ac:dyDescent="0.3">
      <c r="B950" s="143" t="s">
        <v>1755</v>
      </c>
    </row>
    <row r="951" spans="2:2" x14ac:dyDescent="0.3">
      <c r="B951" s="143" t="s">
        <v>2352</v>
      </c>
    </row>
    <row r="952" spans="2:2" x14ac:dyDescent="0.3">
      <c r="B952" s="143" t="s">
        <v>1827</v>
      </c>
    </row>
    <row r="953" spans="2:2" x14ac:dyDescent="0.3">
      <c r="B953" s="143" t="s">
        <v>1640</v>
      </c>
    </row>
    <row r="954" spans="2:2" x14ac:dyDescent="0.3">
      <c r="B954" s="143" t="s">
        <v>1650</v>
      </c>
    </row>
    <row r="955" spans="2:2" x14ac:dyDescent="0.3">
      <c r="B955" s="143" t="s">
        <v>2353</v>
      </c>
    </row>
    <row r="956" spans="2:2" x14ac:dyDescent="0.3">
      <c r="B956" s="143" t="s">
        <v>1714</v>
      </c>
    </row>
    <row r="957" spans="2:2" x14ac:dyDescent="0.3">
      <c r="B957" s="143" t="s">
        <v>2354</v>
      </c>
    </row>
    <row r="958" spans="2:2" x14ac:dyDescent="0.3">
      <c r="B958" s="143" t="s">
        <v>2355</v>
      </c>
    </row>
    <row r="959" spans="2:2" x14ac:dyDescent="0.3">
      <c r="B959" s="143" t="s">
        <v>1819</v>
      </c>
    </row>
    <row r="960" spans="2:2" x14ac:dyDescent="0.3">
      <c r="B960" s="143" t="s">
        <v>2356</v>
      </c>
    </row>
    <row r="961" spans="2:2" x14ac:dyDescent="0.3">
      <c r="B961" s="143" t="s">
        <v>1829</v>
      </c>
    </row>
    <row r="962" spans="2:2" x14ac:dyDescent="0.3">
      <c r="B962" s="143" t="s">
        <v>2357</v>
      </c>
    </row>
    <row r="963" spans="2:2" x14ac:dyDescent="0.3">
      <c r="B963" s="143" t="s">
        <v>2358</v>
      </c>
    </row>
    <row r="964" spans="2:2" x14ac:dyDescent="0.3">
      <c r="B964" s="143" t="s">
        <v>1708</v>
      </c>
    </row>
    <row r="965" spans="2:2" x14ac:dyDescent="0.3">
      <c r="B965" s="143" t="s">
        <v>1715</v>
      </c>
    </row>
    <row r="966" spans="2:2" x14ac:dyDescent="0.3">
      <c r="B966" s="143" t="s">
        <v>1743</v>
      </c>
    </row>
    <row r="967" spans="2:2" x14ac:dyDescent="0.3">
      <c r="B967" s="143" t="s">
        <v>2359</v>
      </c>
    </row>
    <row r="968" spans="2:2" x14ac:dyDescent="0.3">
      <c r="B968" s="143" t="s">
        <v>1820</v>
      </c>
    </row>
    <row r="969" spans="2:2" x14ac:dyDescent="0.3">
      <c r="B969" s="143" t="s">
        <v>4700</v>
      </c>
    </row>
    <row r="970" spans="2:2" x14ac:dyDescent="0.3">
      <c r="B970" s="143" t="s">
        <v>4700</v>
      </c>
    </row>
    <row r="971" spans="2:2" x14ac:dyDescent="0.3">
      <c r="B971" s="143" t="s">
        <v>4701</v>
      </c>
    </row>
    <row r="972" spans="2:2" x14ac:dyDescent="0.3">
      <c r="B972" s="143" t="s">
        <v>4701</v>
      </c>
    </row>
    <row r="973" spans="2:2" x14ac:dyDescent="0.3">
      <c r="B973" s="143" t="s">
        <v>1709</v>
      </c>
    </row>
    <row r="974" spans="2:2" x14ac:dyDescent="0.3">
      <c r="B974" s="143" t="s">
        <v>2360</v>
      </c>
    </row>
    <row r="975" spans="2:2" x14ac:dyDescent="0.3">
      <c r="B975" s="143" t="s">
        <v>3221</v>
      </c>
    </row>
    <row r="976" spans="2:2" x14ac:dyDescent="0.3">
      <c r="B976" s="143" t="s">
        <v>3232</v>
      </c>
    </row>
    <row r="977" spans="2:2" x14ac:dyDescent="0.3">
      <c r="B977" s="143" t="s">
        <v>3222</v>
      </c>
    </row>
    <row r="978" spans="2:2" x14ac:dyDescent="0.3">
      <c r="B978" s="143" t="s">
        <v>3233</v>
      </c>
    </row>
    <row r="979" spans="2:2" x14ac:dyDescent="0.3">
      <c r="B979" s="143" t="s">
        <v>3234</v>
      </c>
    </row>
    <row r="980" spans="2:2" x14ac:dyDescent="0.3">
      <c r="B980" s="143" t="s">
        <v>3211</v>
      </c>
    </row>
    <row r="981" spans="2:2" x14ac:dyDescent="0.3">
      <c r="B981" s="143" t="s">
        <v>3212</v>
      </c>
    </row>
    <row r="982" spans="2:2" x14ac:dyDescent="0.3">
      <c r="B982" s="143" t="s">
        <v>4702</v>
      </c>
    </row>
    <row r="983" spans="2:2" x14ac:dyDescent="0.3">
      <c r="B983" s="143" t="s">
        <v>3223</v>
      </c>
    </row>
    <row r="984" spans="2:2" x14ac:dyDescent="0.3">
      <c r="B984" s="143" t="s">
        <v>3235</v>
      </c>
    </row>
    <row r="985" spans="2:2" x14ac:dyDescent="0.3">
      <c r="B985" s="143" t="s">
        <v>3236</v>
      </c>
    </row>
    <row r="986" spans="2:2" x14ac:dyDescent="0.3">
      <c r="B986" s="143" t="s">
        <v>3213</v>
      </c>
    </row>
    <row r="987" spans="2:2" x14ac:dyDescent="0.3">
      <c r="B987" s="143" t="s">
        <v>4703</v>
      </c>
    </row>
    <row r="988" spans="2:2" x14ac:dyDescent="0.3">
      <c r="B988" s="143" t="s">
        <v>3224</v>
      </c>
    </row>
    <row r="989" spans="2:2" x14ac:dyDescent="0.3">
      <c r="B989" s="143" t="s">
        <v>3237</v>
      </c>
    </row>
    <row r="990" spans="2:2" x14ac:dyDescent="0.3">
      <c r="B990" s="143" t="s">
        <v>3214</v>
      </c>
    </row>
    <row r="991" spans="2:2" x14ac:dyDescent="0.3">
      <c r="B991" s="143" t="s">
        <v>3225</v>
      </c>
    </row>
    <row r="992" spans="2:2" x14ac:dyDescent="0.3">
      <c r="B992" s="143" t="s">
        <v>3215</v>
      </c>
    </row>
    <row r="993" spans="2:2" x14ac:dyDescent="0.3">
      <c r="B993" s="143" t="s">
        <v>3226</v>
      </c>
    </row>
    <row r="994" spans="2:2" x14ac:dyDescent="0.3">
      <c r="B994" s="143" t="s">
        <v>4704</v>
      </c>
    </row>
    <row r="995" spans="2:2" x14ac:dyDescent="0.3">
      <c r="B995" s="143" t="s">
        <v>3216</v>
      </c>
    </row>
    <row r="996" spans="2:2" x14ac:dyDescent="0.3">
      <c r="B996" s="143" t="s">
        <v>3227</v>
      </c>
    </row>
    <row r="997" spans="2:2" x14ac:dyDescent="0.3">
      <c r="B997" s="143" t="s">
        <v>3217</v>
      </c>
    </row>
    <row r="998" spans="2:2" x14ac:dyDescent="0.3">
      <c r="B998" s="143" t="s">
        <v>3228</v>
      </c>
    </row>
    <row r="999" spans="2:2" x14ac:dyDescent="0.3">
      <c r="B999" s="143" t="s">
        <v>3218</v>
      </c>
    </row>
    <row r="1000" spans="2:2" x14ac:dyDescent="0.3">
      <c r="B1000" s="143" t="s">
        <v>3229</v>
      </c>
    </row>
    <row r="1001" spans="2:2" x14ac:dyDescent="0.3">
      <c r="B1001" s="143" t="s">
        <v>3219</v>
      </c>
    </row>
    <row r="1002" spans="2:2" x14ac:dyDescent="0.3">
      <c r="B1002" s="143" t="s">
        <v>3230</v>
      </c>
    </row>
    <row r="1003" spans="2:2" x14ac:dyDescent="0.3">
      <c r="B1003" s="143" t="s">
        <v>3220</v>
      </c>
    </row>
    <row r="1004" spans="2:2" x14ac:dyDescent="0.3">
      <c r="B1004" s="143" t="s">
        <v>3231</v>
      </c>
    </row>
    <row r="1005" spans="2:2" x14ac:dyDescent="0.3">
      <c r="B1005" s="143" t="s">
        <v>3194</v>
      </c>
    </row>
    <row r="1006" spans="2:2" x14ac:dyDescent="0.3">
      <c r="B1006" s="143" t="s">
        <v>3205</v>
      </c>
    </row>
    <row r="1007" spans="2:2" x14ac:dyDescent="0.3">
      <c r="B1007" s="143" t="s">
        <v>3195</v>
      </c>
    </row>
    <row r="1008" spans="2:2" x14ac:dyDescent="0.3">
      <c r="B1008" s="143" t="s">
        <v>3206</v>
      </c>
    </row>
    <row r="1009" spans="2:2" x14ac:dyDescent="0.3">
      <c r="B1009" s="143" t="s">
        <v>3207</v>
      </c>
    </row>
    <row r="1010" spans="2:2" x14ac:dyDescent="0.3">
      <c r="B1010" s="143" t="s">
        <v>3184</v>
      </c>
    </row>
    <row r="1011" spans="2:2" x14ac:dyDescent="0.3">
      <c r="B1011" s="143" t="s">
        <v>3185</v>
      </c>
    </row>
    <row r="1012" spans="2:2" x14ac:dyDescent="0.3">
      <c r="B1012" s="143" t="s">
        <v>4705</v>
      </c>
    </row>
    <row r="1013" spans="2:2" x14ac:dyDescent="0.3">
      <c r="B1013" s="143" t="s">
        <v>3196</v>
      </c>
    </row>
    <row r="1014" spans="2:2" x14ac:dyDescent="0.3">
      <c r="B1014" s="143" t="s">
        <v>3208</v>
      </c>
    </row>
    <row r="1015" spans="2:2" x14ac:dyDescent="0.3">
      <c r="B1015" s="143" t="s">
        <v>3209</v>
      </c>
    </row>
    <row r="1016" spans="2:2" x14ac:dyDescent="0.3">
      <c r="B1016" s="143" t="s">
        <v>3186</v>
      </c>
    </row>
    <row r="1017" spans="2:2" x14ac:dyDescent="0.3">
      <c r="B1017" s="143" t="s">
        <v>4706</v>
      </c>
    </row>
    <row r="1018" spans="2:2" x14ac:dyDescent="0.3">
      <c r="B1018" s="143" t="s">
        <v>3197</v>
      </c>
    </row>
    <row r="1019" spans="2:2" x14ac:dyDescent="0.3">
      <c r="B1019" s="143" t="s">
        <v>3210</v>
      </c>
    </row>
    <row r="1020" spans="2:2" x14ac:dyDescent="0.3">
      <c r="B1020" s="143" t="s">
        <v>3187</v>
      </c>
    </row>
    <row r="1021" spans="2:2" x14ac:dyDescent="0.3">
      <c r="B1021" s="143" t="s">
        <v>3198</v>
      </c>
    </row>
    <row r="1022" spans="2:2" x14ac:dyDescent="0.3">
      <c r="B1022" s="143" t="s">
        <v>3188</v>
      </c>
    </row>
    <row r="1023" spans="2:2" x14ac:dyDescent="0.3">
      <c r="B1023" s="143" t="s">
        <v>3199</v>
      </c>
    </row>
    <row r="1024" spans="2:2" x14ac:dyDescent="0.3">
      <c r="B1024" s="143" t="s">
        <v>4707</v>
      </c>
    </row>
    <row r="1025" spans="2:2" x14ac:dyDescent="0.3">
      <c r="B1025" s="143" t="s">
        <v>3189</v>
      </c>
    </row>
    <row r="1026" spans="2:2" x14ac:dyDescent="0.3">
      <c r="B1026" s="143" t="s">
        <v>3200</v>
      </c>
    </row>
    <row r="1027" spans="2:2" x14ac:dyDescent="0.3">
      <c r="B1027" s="143" t="s">
        <v>3190</v>
      </c>
    </row>
    <row r="1028" spans="2:2" x14ac:dyDescent="0.3">
      <c r="B1028" s="143" t="s">
        <v>3201</v>
      </c>
    </row>
    <row r="1029" spans="2:2" x14ac:dyDescent="0.3">
      <c r="B1029" s="143" t="s">
        <v>3191</v>
      </c>
    </row>
    <row r="1030" spans="2:2" x14ac:dyDescent="0.3">
      <c r="B1030" s="143" t="s">
        <v>3202</v>
      </c>
    </row>
    <row r="1031" spans="2:2" x14ac:dyDescent="0.3">
      <c r="B1031" s="143" t="s">
        <v>3192</v>
      </c>
    </row>
    <row r="1032" spans="2:2" x14ac:dyDescent="0.3">
      <c r="B1032" s="143" t="s">
        <v>3203</v>
      </c>
    </row>
    <row r="1033" spans="2:2" x14ac:dyDescent="0.3">
      <c r="B1033" s="143" t="s">
        <v>3193</v>
      </c>
    </row>
    <row r="1034" spans="2:2" x14ac:dyDescent="0.3">
      <c r="B1034" s="143" t="s">
        <v>3204</v>
      </c>
    </row>
    <row r="1035" spans="2:2" x14ac:dyDescent="0.3">
      <c r="B1035" s="143" t="s">
        <v>88</v>
      </c>
    </row>
    <row r="1036" spans="2:2" x14ac:dyDescent="0.3">
      <c r="B1036" s="143" t="s">
        <v>89</v>
      </c>
    </row>
    <row r="1037" spans="2:2" x14ac:dyDescent="0.3">
      <c r="B1037" s="143" t="s">
        <v>90</v>
      </c>
    </row>
    <row r="1038" spans="2:2" x14ac:dyDescent="0.3">
      <c r="B1038" s="143" t="s">
        <v>91</v>
      </c>
    </row>
    <row r="1039" spans="2:2" x14ac:dyDescent="0.3">
      <c r="B1039" s="143" t="s">
        <v>92</v>
      </c>
    </row>
    <row r="1040" spans="2:2" x14ac:dyDescent="0.3">
      <c r="B1040" s="143" t="s">
        <v>93</v>
      </c>
    </row>
    <row r="1041" spans="2:2" x14ac:dyDescent="0.3">
      <c r="B1041" s="143" t="s">
        <v>94</v>
      </c>
    </row>
    <row r="1042" spans="2:2" x14ac:dyDescent="0.3">
      <c r="B1042" s="143" t="s">
        <v>2361</v>
      </c>
    </row>
    <row r="1043" spans="2:2" x14ac:dyDescent="0.3">
      <c r="B1043" s="143" t="s">
        <v>95</v>
      </c>
    </row>
    <row r="1044" spans="2:2" x14ac:dyDescent="0.3">
      <c r="B1044" s="143" t="s">
        <v>96</v>
      </c>
    </row>
    <row r="1045" spans="2:2" x14ac:dyDescent="0.3">
      <c r="B1045" s="143" t="s">
        <v>97</v>
      </c>
    </row>
    <row r="1046" spans="2:2" x14ac:dyDescent="0.3">
      <c r="B1046" s="143" t="s">
        <v>98</v>
      </c>
    </row>
    <row r="1047" spans="2:2" x14ac:dyDescent="0.3">
      <c r="B1047" s="143" t="s">
        <v>99</v>
      </c>
    </row>
    <row r="1048" spans="2:2" x14ac:dyDescent="0.3">
      <c r="B1048" s="143" t="s">
        <v>100</v>
      </c>
    </row>
    <row r="1049" spans="2:2" x14ac:dyDescent="0.3">
      <c r="B1049" s="143" t="s">
        <v>101</v>
      </c>
    </row>
    <row r="1050" spans="2:2" x14ac:dyDescent="0.3">
      <c r="B1050" s="143" t="s">
        <v>101</v>
      </c>
    </row>
    <row r="1051" spans="2:2" x14ac:dyDescent="0.3">
      <c r="B1051" s="143" t="s">
        <v>102</v>
      </c>
    </row>
    <row r="1052" spans="2:2" x14ac:dyDescent="0.3">
      <c r="B1052" s="143" t="s">
        <v>103</v>
      </c>
    </row>
    <row r="1053" spans="2:2" x14ac:dyDescent="0.3">
      <c r="B1053" s="143" t="s">
        <v>104</v>
      </c>
    </row>
    <row r="1054" spans="2:2" x14ac:dyDescent="0.3">
      <c r="B1054" s="143" t="s">
        <v>105</v>
      </c>
    </row>
    <row r="1055" spans="2:2" x14ac:dyDescent="0.3">
      <c r="B1055" s="143" t="s">
        <v>106</v>
      </c>
    </row>
    <row r="1056" spans="2:2" x14ac:dyDescent="0.3">
      <c r="B1056" s="143" t="s">
        <v>107</v>
      </c>
    </row>
    <row r="1057" spans="2:2" x14ac:dyDescent="0.3">
      <c r="B1057" s="143" t="s">
        <v>108</v>
      </c>
    </row>
    <row r="1058" spans="2:2" x14ac:dyDescent="0.3">
      <c r="B1058" s="143" t="s">
        <v>109</v>
      </c>
    </row>
    <row r="1059" spans="2:2" x14ac:dyDescent="0.3">
      <c r="B1059" s="143" t="s">
        <v>110</v>
      </c>
    </row>
    <row r="1060" spans="2:2" x14ac:dyDescent="0.3">
      <c r="B1060" s="143" t="s">
        <v>111</v>
      </c>
    </row>
    <row r="1061" spans="2:2" x14ac:dyDescent="0.3">
      <c r="B1061" s="143" t="s">
        <v>112</v>
      </c>
    </row>
    <row r="1062" spans="2:2" x14ac:dyDescent="0.3">
      <c r="B1062" s="143" t="s">
        <v>113</v>
      </c>
    </row>
    <row r="1063" spans="2:2" x14ac:dyDescent="0.3">
      <c r="B1063" s="143" t="s">
        <v>114</v>
      </c>
    </row>
    <row r="1064" spans="2:2" x14ac:dyDescent="0.3">
      <c r="B1064" s="143" t="s">
        <v>2828</v>
      </c>
    </row>
    <row r="1065" spans="2:2" x14ac:dyDescent="0.3">
      <c r="B1065" s="143" t="s">
        <v>2839</v>
      </c>
    </row>
    <row r="1066" spans="2:2" x14ac:dyDescent="0.3">
      <c r="B1066" s="143" t="s">
        <v>2829</v>
      </c>
    </row>
    <row r="1067" spans="2:2" x14ac:dyDescent="0.3">
      <c r="B1067" s="143" t="s">
        <v>2840</v>
      </c>
    </row>
    <row r="1068" spans="2:2" x14ac:dyDescent="0.3">
      <c r="B1068" s="143" t="s">
        <v>2841</v>
      </c>
    </row>
    <row r="1069" spans="2:2" x14ac:dyDescent="0.3">
      <c r="B1069" s="143" t="s">
        <v>2818</v>
      </c>
    </row>
    <row r="1070" spans="2:2" x14ac:dyDescent="0.3">
      <c r="B1070" s="143" t="s">
        <v>2819</v>
      </c>
    </row>
    <row r="1071" spans="2:2" x14ac:dyDescent="0.3">
      <c r="B1071" s="143" t="s">
        <v>4708</v>
      </c>
    </row>
    <row r="1072" spans="2:2" x14ac:dyDescent="0.3">
      <c r="B1072" s="143" t="s">
        <v>2830</v>
      </c>
    </row>
    <row r="1073" spans="2:2" x14ac:dyDescent="0.3">
      <c r="B1073" s="143" t="s">
        <v>2842</v>
      </c>
    </row>
    <row r="1074" spans="2:2" x14ac:dyDescent="0.3">
      <c r="B1074" s="143" t="s">
        <v>2843</v>
      </c>
    </row>
    <row r="1075" spans="2:2" x14ac:dyDescent="0.3">
      <c r="B1075" s="143" t="s">
        <v>2820</v>
      </c>
    </row>
    <row r="1076" spans="2:2" x14ac:dyDescent="0.3">
      <c r="B1076" s="143" t="s">
        <v>2831</v>
      </c>
    </row>
    <row r="1077" spans="2:2" x14ac:dyDescent="0.3">
      <c r="B1077" s="143" t="s">
        <v>2844</v>
      </c>
    </row>
    <row r="1078" spans="2:2" x14ac:dyDescent="0.3">
      <c r="B1078" s="143" t="s">
        <v>2821</v>
      </c>
    </row>
    <row r="1079" spans="2:2" x14ac:dyDescent="0.3">
      <c r="B1079" s="143" t="s">
        <v>2832</v>
      </c>
    </row>
    <row r="1080" spans="2:2" x14ac:dyDescent="0.3">
      <c r="B1080" s="143" t="s">
        <v>2822</v>
      </c>
    </row>
    <row r="1081" spans="2:2" x14ac:dyDescent="0.3">
      <c r="B1081" s="143" t="s">
        <v>2833</v>
      </c>
    </row>
    <row r="1082" spans="2:2" x14ac:dyDescent="0.3">
      <c r="B1082" s="143" t="s">
        <v>4709</v>
      </c>
    </row>
    <row r="1083" spans="2:2" x14ac:dyDescent="0.3">
      <c r="B1083" s="143" t="s">
        <v>2823</v>
      </c>
    </row>
    <row r="1084" spans="2:2" x14ac:dyDescent="0.3">
      <c r="B1084" s="143" t="s">
        <v>2834</v>
      </c>
    </row>
    <row r="1085" spans="2:2" x14ac:dyDescent="0.3">
      <c r="B1085" s="143" t="s">
        <v>2824</v>
      </c>
    </row>
    <row r="1086" spans="2:2" x14ac:dyDescent="0.3">
      <c r="B1086" s="143" t="s">
        <v>2835</v>
      </c>
    </row>
    <row r="1087" spans="2:2" x14ac:dyDescent="0.3">
      <c r="B1087" s="143" t="s">
        <v>2825</v>
      </c>
    </row>
    <row r="1088" spans="2:2" x14ac:dyDescent="0.3">
      <c r="B1088" s="143" t="s">
        <v>2836</v>
      </c>
    </row>
    <row r="1089" spans="2:2" x14ac:dyDescent="0.3">
      <c r="B1089" s="143" t="s">
        <v>2826</v>
      </c>
    </row>
    <row r="1090" spans="2:2" x14ac:dyDescent="0.3">
      <c r="B1090" s="143" t="s">
        <v>2837</v>
      </c>
    </row>
    <row r="1091" spans="2:2" x14ac:dyDescent="0.3">
      <c r="B1091" s="143" t="s">
        <v>2827</v>
      </c>
    </row>
    <row r="1092" spans="2:2" x14ac:dyDescent="0.3">
      <c r="B1092" s="143" t="s">
        <v>2838</v>
      </c>
    </row>
    <row r="1093" spans="2:2" x14ac:dyDescent="0.3">
      <c r="B1093" s="143" t="s">
        <v>2362</v>
      </c>
    </row>
    <row r="1094" spans="2:2" x14ac:dyDescent="0.3">
      <c r="B1094" s="143" t="s">
        <v>2363</v>
      </c>
    </row>
    <row r="1095" spans="2:2" x14ac:dyDescent="0.3">
      <c r="B1095" s="143" t="s">
        <v>2364</v>
      </c>
    </row>
    <row r="1096" spans="2:2" x14ac:dyDescent="0.3">
      <c r="B1096" s="143" t="s">
        <v>2365</v>
      </c>
    </row>
    <row r="1097" spans="2:2" x14ac:dyDescent="0.3">
      <c r="B1097" s="143" t="s">
        <v>2366</v>
      </c>
    </row>
    <row r="1098" spans="2:2" x14ac:dyDescent="0.3">
      <c r="B1098" s="143" t="s">
        <v>2367</v>
      </c>
    </row>
    <row r="1099" spans="2:2" x14ac:dyDescent="0.3">
      <c r="B1099" s="143" t="s">
        <v>2368</v>
      </c>
    </row>
    <row r="1100" spans="2:2" x14ac:dyDescent="0.3">
      <c r="B1100" s="143" t="s">
        <v>2369</v>
      </c>
    </row>
    <row r="1101" spans="2:2" x14ac:dyDescent="0.3">
      <c r="B1101" s="143" t="s">
        <v>2370</v>
      </c>
    </row>
    <row r="1102" spans="2:2" x14ac:dyDescent="0.3">
      <c r="B1102" s="143" t="s">
        <v>2371</v>
      </c>
    </row>
    <row r="1103" spans="2:2" x14ac:dyDescent="0.3">
      <c r="B1103" s="143" t="s">
        <v>2372</v>
      </c>
    </row>
    <row r="1104" spans="2:2" x14ac:dyDescent="0.3">
      <c r="B1104" s="143" t="s">
        <v>2373</v>
      </c>
    </row>
    <row r="1105" spans="2:2" x14ac:dyDescent="0.3">
      <c r="B1105" s="143" t="s">
        <v>2374</v>
      </c>
    </row>
    <row r="1106" spans="2:2" x14ac:dyDescent="0.3">
      <c r="B1106" s="143" t="s">
        <v>2375</v>
      </c>
    </row>
    <row r="1107" spans="2:2" x14ac:dyDescent="0.3">
      <c r="B1107" s="143" t="s">
        <v>2376</v>
      </c>
    </row>
    <row r="1108" spans="2:2" x14ac:dyDescent="0.3">
      <c r="B1108" s="143" t="s">
        <v>2383</v>
      </c>
    </row>
    <row r="1109" spans="2:2" x14ac:dyDescent="0.3">
      <c r="B1109" s="143" t="s">
        <v>2384</v>
      </c>
    </row>
    <row r="1110" spans="2:2" x14ac:dyDescent="0.3">
      <c r="B1110" s="143" t="s">
        <v>2385</v>
      </c>
    </row>
    <row r="1111" spans="2:2" x14ac:dyDescent="0.3">
      <c r="B1111" s="143" t="s">
        <v>2386</v>
      </c>
    </row>
    <row r="1112" spans="2:2" x14ac:dyDescent="0.3">
      <c r="B1112" s="143" t="s">
        <v>2387</v>
      </c>
    </row>
    <row r="1113" spans="2:2" x14ac:dyDescent="0.3">
      <c r="B1113" s="143" t="s">
        <v>2388</v>
      </c>
    </row>
    <row r="1114" spans="2:2" x14ac:dyDescent="0.3">
      <c r="B1114" s="143" t="s">
        <v>2389</v>
      </c>
    </row>
    <row r="1115" spans="2:2" x14ac:dyDescent="0.3">
      <c r="B1115" s="143" t="s">
        <v>2390</v>
      </c>
    </row>
    <row r="1116" spans="2:2" x14ac:dyDescent="0.3">
      <c r="B1116" s="143" t="s">
        <v>4710</v>
      </c>
    </row>
    <row r="1117" spans="2:2" x14ac:dyDescent="0.3">
      <c r="B1117" s="143" t="s">
        <v>4711</v>
      </c>
    </row>
    <row r="1118" spans="2:2" x14ac:dyDescent="0.3">
      <c r="B1118" s="143" t="s">
        <v>4712</v>
      </c>
    </row>
    <row r="1119" spans="2:2" x14ac:dyDescent="0.3">
      <c r="B1119" s="143" t="s">
        <v>4713</v>
      </c>
    </row>
    <row r="1120" spans="2:2" x14ac:dyDescent="0.3">
      <c r="B1120" s="143" t="s">
        <v>4714</v>
      </c>
    </row>
    <row r="1121" spans="2:2" x14ac:dyDescent="0.3">
      <c r="B1121" s="143" t="s">
        <v>4715</v>
      </c>
    </row>
    <row r="1122" spans="2:2" x14ac:dyDescent="0.3">
      <c r="B1122" s="143" t="s">
        <v>4716</v>
      </c>
    </row>
    <row r="1123" spans="2:2" x14ac:dyDescent="0.3">
      <c r="B1123" s="143" t="s">
        <v>4717</v>
      </c>
    </row>
    <row r="1124" spans="2:2" x14ac:dyDescent="0.3">
      <c r="B1124" s="143" t="s">
        <v>4718</v>
      </c>
    </row>
    <row r="1125" spans="2:2" x14ac:dyDescent="0.3">
      <c r="B1125" s="143" t="s">
        <v>4719</v>
      </c>
    </row>
    <row r="1126" spans="2:2" x14ac:dyDescent="0.3">
      <c r="B1126" s="143" t="s">
        <v>4720</v>
      </c>
    </row>
    <row r="1127" spans="2:2" x14ac:dyDescent="0.3">
      <c r="B1127" s="143" t="s">
        <v>4721</v>
      </c>
    </row>
    <row r="1128" spans="2:2" x14ac:dyDescent="0.3">
      <c r="B1128" s="143" t="s">
        <v>4722</v>
      </c>
    </row>
    <row r="1129" spans="2:2" x14ac:dyDescent="0.3">
      <c r="B1129" s="143" t="s">
        <v>4723</v>
      </c>
    </row>
    <row r="1130" spans="2:2" x14ac:dyDescent="0.3">
      <c r="B1130" s="143" t="s">
        <v>4724</v>
      </c>
    </row>
    <row r="1131" spans="2:2" x14ac:dyDescent="0.3">
      <c r="B1131" s="143" t="s">
        <v>4725</v>
      </c>
    </row>
    <row r="1132" spans="2:2" x14ac:dyDescent="0.3">
      <c r="B1132" s="143" t="s">
        <v>4726</v>
      </c>
    </row>
    <row r="1133" spans="2:2" x14ac:dyDescent="0.3">
      <c r="B1133" s="143" t="s">
        <v>4727</v>
      </c>
    </row>
    <row r="1134" spans="2:2" x14ac:dyDescent="0.3">
      <c r="B1134" s="143" t="s">
        <v>4728</v>
      </c>
    </row>
    <row r="1135" spans="2:2" x14ac:dyDescent="0.3">
      <c r="B1135" s="143" t="s">
        <v>4729</v>
      </c>
    </row>
    <row r="1136" spans="2:2" x14ac:dyDescent="0.3">
      <c r="B1136" s="143" t="s">
        <v>4730</v>
      </c>
    </row>
    <row r="1137" spans="2:2" x14ac:dyDescent="0.3">
      <c r="B1137" s="143" t="s">
        <v>4731</v>
      </c>
    </row>
    <row r="1138" spans="2:2" x14ac:dyDescent="0.3">
      <c r="B1138" s="143" t="s">
        <v>4732</v>
      </c>
    </row>
    <row r="1139" spans="2:2" x14ac:dyDescent="0.3">
      <c r="B1139" s="143" t="s">
        <v>4733</v>
      </c>
    </row>
    <row r="1140" spans="2:2" x14ac:dyDescent="0.3">
      <c r="B1140" s="143" t="s">
        <v>4734</v>
      </c>
    </row>
    <row r="1141" spans="2:2" x14ac:dyDescent="0.3">
      <c r="B1141" s="143" t="s">
        <v>4735</v>
      </c>
    </row>
    <row r="1142" spans="2:2" x14ac:dyDescent="0.3">
      <c r="B1142" s="143" t="s">
        <v>4736</v>
      </c>
    </row>
    <row r="1143" spans="2:2" x14ac:dyDescent="0.3">
      <c r="B1143" s="143" t="s">
        <v>4737</v>
      </c>
    </row>
    <row r="1144" spans="2:2" x14ac:dyDescent="0.3">
      <c r="B1144" s="143" t="s">
        <v>4738</v>
      </c>
    </row>
    <row r="1145" spans="2:2" x14ac:dyDescent="0.3">
      <c r="B1145" s="143" t="s">
        <v>4739</v>
      </c>
    </row>
    <row r="1146" spans="2:2" x14ac:dyDescent="0.3">
      <c r="B1146" s="143" t="s">
        <v>4740</v>
      </c>
    </row>
    <row r="1147" spans="2:2" x14ac:dyDescent="0.3">
      <c r="B1147" s="143" t="s">
        <v>4741</v>
      </c>
    </row>
    <row r="1148" spans="2:2" x14ac:dyDescent="0.3">
      <c r="B1148" s="143" t="s">
        <v>4742</v>
      </c>
    </row>
    <row r="1149" spans="2:2" x14ac:dyDescent="0.3">
      <c r="B1149" s="143" t="s">
        <v>4743</v>
      </c>
    </row>
    <row r="1150" spans="2:2" x14ac:dyDescent="0.3">
      <c r="B1150" s="143" t="s">
        <v>4744</v>
      </c>
    </row>
    <row r="1151" spans="2:2" x14ac:dyDescent="0.3">
      <c r="B1151" s="143" t="s">
        <v>4745</v>
      </c>
    </row>
    <row r="1152" spans="2:2" x14ac:dyDescent="0.3">
      <c r="B1152" s="143" t="s">
        <v>4746</v>
      </c>
    </row>
    <row r="1153" spans="2:2" x14ac:dyDescent="0.3">
      <c r="B1153" s="143" t="s">
        <v>4747</v>
      </c>
    </row>
    <row r="1154" spans="2:2" x14ac:dyDescent="0.3">
      <c r="B1154" s="143" t="s">
        <v>4748</v>
      </c>
    </row>
    <row r="1155" spans="2:2" x14ac:dyDescent="0.3">
      <c r="B1155" s="143" t="s">
        <v>4749</v>
      </c>
    </row>
    <row r="1156" spans="2:2" x14ac:dyDescent="0.3">
      <c r="B1156" s="143" t="s">
        <v>4750</v>
      </c>
    </row>
    <row r="1157" spans="2:2" x14ac:dyDescent="0.3">
      <c r="B1157" s="143" t="s">
        <v>4751</v>
      </c>
    </row>
    <row r="1158" spans="2:2" x14ac:dyDescent="0.3">
      <c r="B1158" s="143" t="s">
        <v>4752</v>
      </c>
    </row>
    <row r="1159" spans="2:2" x14ac:dyDescent="0.3">
      <c r="B1159" s="143" t="s">
        <v>4753</v>
      </c>
    </row>
    <row r="1160" spans="2:2" x14ac:dyDescent="0.3">
      <c r="B1160" s="143" t="s">
        <v>4754</v>
      </c>
    </row>
    <row r="1161" spans="2:2" x14ac:dyDescent="0.3">
      <c r="B1161" s="143" t="s">
        <v>4755</v>
      </c>
    </row>
    <row r="1162" spans="2:2" x14ac:dyDescent="0.3">
      <c r="B1162" s="143" t="s">
        <v>4756</v>
      </c>
    </row>
    <row r="1163" spans="2:2" x14ac:dyDescent="0.3">
      <c r="B1163" s="143" t="s">
        <v>4757</v>
      </c>
    </row>
    <row r="1164" spans="2:2" x14ac:dyDescent="0.3">
      <c r="B1164" s="143" t="s">
        <v>4758</v>
      </c>
    </row>
    <row r="1165" spans="2:2" x14ac:dyDescent="0.3">
      <c r="B1165" s="143" t="s">
        <v>4759</v>
      </c>
    </row>
    <row r="1166" spans="2:2" x14ac:dyDescent="0.3">
      <c r="B1166" s="143" t="s">
        <v>4760</v>
      </c>
    </row>
    <row r="1167" spans="2:2" x14ac:dyDescent="0.3">
      <c r="B1167" s="143" t="s">
        <v>4761</v>
      </c>
    </row>
    <row r="1168" spans="2:2" x14ac:dyDescent="0.3">
      <c r="B1168" s="143" t="s">
        <v>4762</v>
      </c>
    </row>
    <row r="1169" spans="2:2" x14ac:dyDescent="0.3">
      <c r="B1169" s="143" t="s">
        <v>4763</v>
      </c>
    </row>
    <row r="1170" spans="2:2" x14ac:dyDescent="0.3">
      <c r="B1170" s="143" t="s">
        <v>4764</v>
      </c>
    </row>
    <row r="1171" spans="2:2" x14ac:dyDescent="0.3">
      <c r="B1171" s="143" t="s">
        <v>4765</v>
      </c>
    </row>
    <row r="1172" spans="2:2" x14ac:dyDescent="0.3">
      <c r="B1172" s="143" t="s">
        <v>4766</v>
      </c>
    </row>
    <row r="1173" spans="2:2" x14ac:dyDescent="0.3">
      <c r="B1173" s="143" t="s">
        <v>4767</v>
      </c>
    </row>
    <row r="1174" spans="2:2" x14ac:dyDescent="0.3">
      <c r="B1174" s="143" t="s">
        <v>4768</v>
      </c>
    </row>
    <row r="1175" spans="2:2" x14ac:dyDescent="0.3">
      <c r="B1175" s="143" t="s">
        <v>4769</v>
      </c>
    </row>
    <row r="1176" spans="2:2" x14ac:dyDescent="0.3">
      <c r="B1176" s="143" t="s">
        <v>4770</v>
      </c>
    </row>
    <row r="1177" spans="2:2" x14ac:dyDescent="0.3">
      <c r="B1177" s="143" t="s">
        <v>4771</v>
      </c>
    </row>
    <row r="1178" spans="2:2" x14ac:dyDescent="0.3">
      <c r="B1178" s="143" t="s">
        <v>4772</v>
      </c>
    </row>
    <row r="1179" spans="2:2" x14ac:dyDescent="0.3">
      <c r="B1179" s="143" t="s">
        <v>4773</v>
      </c>
    </row>
    <row r="1180" spans="2:2" x14ac:dyDescent="0.3">
      <c r="B1180" s="143" t="s">
        <v>4774</v>
      </c>
    </row>
    <row r="1181" spans="2:2" x14ac:dyDescent="0.3">
      <c r="B1181" s="143" t="s">
        <v>4775</v>
      </c>
    </row>
    <row r="1182" spans="2:2" x14ac:dyDescent="0.3">
      <c r="B1182" s="143" t="s">
        <v>4776</v>
      </c>
    </row>
    <row r="1183" spans="2:2" x14ac:dyDescent="0.3">
      <c r="B1183" s="143" t="s">
        <v>4777</v>
      </c>
    </row>
    <row r="1184" spans="2:2" x14ac:dyDescent="0.3">
      <c r="B1184" s="143" t="s">
        <v>4778</v>
      </c>
    </row>
    <row r="1185" spans="2:2" x14ac:dyDescent="0.3">
      <c r="B1185" s="143" t="s">
        <v>4779</v>
      </c>
    </row>
    <row r="1186" spans="2:2" x14ac:dyDescent="0.3">
      <c r="B1186" s="143" t="s">
        <v>4780</v>
      </c>
    </row>
    <row r="1187" spans="2:2" x14ac:dyDescent="0.3">
      <c r="B1187" s="143" t="s">
        <v>4781</v>
      </c>
    </row>
    <row r="1188" spans="2:2" x14ac:dyDescent="0.3">
      <c r="B1188" s="143" t="s">
        <v>4782</v>
      </c>
    </row>
    <row r="1189" spans="2:2" x14ac:dyDescent="0.3">
      <c r="B1189" s="143" t="s">
        <v>4783</v>
      </c>
    </row>
    <row r="1190" spans="2:2" x14ac:dyDescent="0.3">
      <c r="B1190" s="143" t="s">
        <v>4784</v>
      </c>
    </row>
    <row r="1191" spans="2:2" x14ac:dyDescent="0.3">
      <c r="B1191" s="143" t="s">
        <v>4785</v>
      </c>
    </row>
    <row r="1192" spans="2:2" x14ac:dyDescent="0.3">
      <c r="B1192" s="143" t="s">
        <v>4786</v>
      </c>
    </row>
    <row r="1193" spans="2:2" x14ac:dyDescent="0.3">
      <c r="B1193" s="143" t="s">
        <v>4787</v>
      </c>
    </row>
    <row r="1194" spans="2:2" x14ac:dyDescent="0.3">
      <c r="B1194" s="143" t="s">
        <v>4788</v>
      </c>
    </row>
    <row r="1195" spans="2:2" x14ac:dyDescent="0.3">
      <c r="B1195" s="143" t="s">
        <v>4789</v>
      </c>
    </row>
    <row r="1196" spans="2:2" x14ac:dyDescent="0.3">
      <c r="B1196" s="143" t="s">
        <v>4790</v>
      </c>
    </row>
    <row r="1197" spans="2:2" x14ac:dyDescent="0.3">
      <c r="B1197" s="143" t="s">
        <v>4791</v>
      </c>
    </row>
    <row r="1198" spans="2:2" x14ac:dyDescent="0.3">
      <c r="B1198" s="143" t="s">
        <v>4792</v>
      </c>
    </row>
    <row r="1199" spans="2:2" x14ac:dyDescent="0.3">
      <c r="B1199" s="143" t="s">
        <v>4793</v>
      </c>
    </row>
    <row r="1200" spans="2:2" x14ac:dyDescent="0.3">
      <c r="B1200" s="143" t="s">
        <v>4794</v>
      </c>
    </row>
    <row r="1201" spans="2:5" x14ac:dyDescent="0.3">
      <c r="B1201" s="143" t="s">
        <v>4795</v>
      </c>
    </row>
    <row r="1202" spans="2:5" x14ac:dyDescent="0.3">
      <c r="B1202" s="143" t="s">
        <v>4796</v>
      </c>
    </row>
    <row r="1203" spans="2:5" x14ac:dyDescent="0.3">
      <c r="B1203" s="143" t="s">
        <v>4797</v>
      </c>
    </row>
    <row r="1204" spans="2:5" x14ac:dyDescent="0.3">
      <c r="B1204" s="143" t="s">
        <v>4798</v>
      </c>
    </row>
    <row r="1205" spans="2:5" x14ac:dyDescent="0.3">
      <c r="B1205" s="143" t="s">
        <v>4799</v>
      </c>
    </row>
    <row r="1206" spans="2:5" x14ac:dyDescent="0.3">
      <c r="B1206" s="143" t="s">
        <v>4800</v>
      </c>
    </row>
    <row r="1207" spans="2:5" x14ac:dyDescent="0.3">
      <c r="B1207" s="143" t="s">
        <v>4801</v>
      </c>
    </row>
    <row r="1208" spans="2:5" x14ac:dyDescent="0.3">
      <c r="B1208" s="143" t="s">
        <v>4802</v>
      </c>
    </row>
    <row r="1209" spans="2:5" x14ac:dyDescent="0.3">
      <c r="B1209" s="143" t="s">
        <v>4803</v>
      </c>
    </row>
    <row r="1210" spans="2:5" x14ac:dyDescent="0.3">
      <c r="B1210" s="143" t="s">
        <v>4804</v>
      </c>
    </row>
    <row r="1211" spans="2:5" x14ac:dyDescent="0.3">
      <c r="B1211" s="143" t="s">
        <v>4805</v>
      </c>
    </row>
    <row r="1212" spans="2:5" x14ac:dyDescent="0.3">
      <c r="B1212" s="143" t="s">
        <v>4806</v>
      </c>
      <c r="E1212" s="95" t="s">
        <v>1479</v>
      </c>
    </row>
    <row r="1213" spans="2:5" x14ac:dyDescent="0.3">
      <c r="B1213" s="96" t="s">
        <v>4807</v>
      </c>
      <c r="C1213" s="45" t="s">
        <v>1914</v>
      </c>
      <c r="E1213" s="95" t="s">
        <v>1465</v>
      </c>
    </row>
    <row r="1214" spans="2:5" x14ac:dyDescent="0.3">
      <c r="B1214" s="96" t="s">
        <v>4808</v>
      </c>
      <c r="C1214" s="45" t="s">
        <v>1914</v>
      </c>
      <c r="E1214" s="95" t="s">
        <v>1466</v>
      </c>
    </row>
    <row r="1215" spans="2:5" x14ac:dyDescent="0.3">
      <c r="B1215" s="95" t="s">
        <v>4809</v>
      </c>
      <c r="C1215" s="45" t="s">
        <v>1914</v>
      </c>
      <c r="E1215" s="95" t="s">
        <v>1467</v>
      </c>
    </row>
    <row r="1216" spans="2:5" x14ac:dyDescent="0.3">
      <c r="B1216" s="96" t="s">
        <v>4810</v>
      </c>
      <c r="C1216" s="45" t="s">
        <v>1914</v>
      </c>
      <c r="E1216" s="95" t="s">
        <v>1468</v>
      </c>
    </row>
    <row r="1217" spans="2:5" x14ac:dyDescent="0.3">
      <c r="B1217" s="96" t="s">
        <v>4811</v>
      </c>
      <c r="C1217" s="45" t="s">
        <v>1914</v>
      </c>
      <c r="E1217" s="95" t="s">
        <v>1469</v>
      </c>
    </row>
    <row r="1218" spans="2:5" x14ac:dyDescent="0.3">
      <c r="B1218" s="95" t="s">
        <v>4812</v>
      </c>
      <c r="C1218" s="45" t="s">
        <v>1914</v>
      </c>
      <c r="E1218" s="95" t="s">
        <v>1470</v>
      </c>
    </row>
    <row r="1219" spans="2:5" x14ac:dyDescent="0.3">
      <c r="B1219" s="96" t="s">
        <v>4813</v>
      </c>
      <c r="C1219" s="45" t="s">
        <v>1914</v>
      </c>
      <c r="E1219" s="95" t="s">
        <v>1471</v>
      </c>
    </row>
    <row r="1220" spans="2:5" x14ac:dyDescent="0.3">
      <c r="B1220" s="96" t="s">
        <v>4814</v>
      </c>
      <c r="C1220" s="45" t="s">
        <v>1914</v>
      </c>
      <c r="E1220" s="95" t="s">
        <v>1472</v>
      </c>
    </row>
    <row r="1221" spans="2:5" x14ac:dyDescent="0.3">
      <c r="B1221" s="95" t="s">
        <v>4815</v>
      </c>
      <c r="C1221" s="45" t="s">
        <v>1914</v>
      </c>
      <c r="E1221" s="95" t="s">
        <v>1477</v>
      </c>
    </row>
    <row r="1222" spans="2:5" x14ac:dyDescent="0.3">
      <c r="B1222" s="96" t="s">
        <v>4816</v>
      </c>
      <c r="C1222" s="45" t="s">
        <v>1915</v>
      </c>
      <c r="E1222" s="95" t="s">
        <v>1473</v>
      </c>
    </row>
    <row r="1223" spans="2:5" x14ac:dyDescent="0.3">
      <c r="B1223" s="96" t="s">
        <v>4817</v>
      </c>
      <c r="C1223" s="45" t="s">
        <v>1914</v>
      </c>
      <c r="E1223" s="95" t="s">
        <v>1474</v>
      </c>
    </row>
    <row r="1224" spans="2:5" x14ac:dyDescent="0.3">
      <c r="B1224" s="96" t="s">
        <v>4818</v>
      </c>
      <c r="C1224" s="45" t="s">
        <v>1914</v>
      </c>
      <c r="E1224" s="95" t="s">
        <v>1475</v>
      </c>
    </row>
    <row r="1225" spans="2:5" x14ac:dyDescent="0.3">
      <c r="B1225" s="96" t="s">
        <v>4819</v>
      </c>
      <c r="C1225" s="45" t="s">
        <v>1916</v>
      </c>
      <c r="E1225" s="95" t="s">
        <v>1476</v>
      </c>
    </row>
    <row r="1226" spans="2:5" x14ac:dyDescent="0.3">
      <c r="B1226" s="95" t="s">
        <v>4820</v>
      </c>
      <c r="C1226" s="45" t="s">
        <v>1916</v>
      </c>
      <c r="E1226" s="95" t="s">
        <v>1478</v>
      </c>
    </row>
    <row r="1227" spans="2:5" x14ac:dyDescent="0.3">
      <c r="B1227" s="95" t="s">
        <v>4821</v>
      </c>
      <c r="C1227" s="45" t="s">
        <v>1916</v>
      </c>
      <c r="E1227" s="95" t="s">
        <v>1482</v>
      </c>
    </row>
    <row r="1228" spans="2:5" x14ac:dyDescent="0.3">
      <c r="B1228" s="95" t="s">
        <v>4822</v>
      </c>
      <c r="C1228" s="45" t="s">
        <v>1914</v>
      </c>
      <c r="E1228" s="95" t="s">
        <v>1598</v>
      </c>
    </row>
    <row r="1229" spans="2:5" x14ac:dyDescent="0.3">
      <c r="B1229" s="96" t="s">
        <v>4823</v>
      </c>
      <c r="C1229" s="45" t="s">
        <v>1914</v>
      </c>
      <c r="E1229" s="95" t="s">
        <v>1599</v>
      </c>
    </row>
    <row r="1230" spans="2:5" x14ac:dyDescent="0.3">
      <c r="B1230" s="95" t="s">
        <v>4824</v>
      </c>
      <c r="C1230" s="45" t="s">
        <v>1916</v>
      </c>
      <c r="E1230" s="95" t="s">
        <v>1600</v>
      </c>
    </row>
    <row r="1231" spans="2:5" x14ac:dyDescent="0.3">
      <c r="B1231" s="95" t="s">
        <v>4825</v>
      </c>
      <c r="C1231" s="45" t="s">
        <v>1916</v>
      </c>
      <c r="E1231" s="95" t="s">
        <v>1601</v>
      </c>
    </row>
    <row r="1232" spans="2:5" x14ac:dyDescent="0.3">
      <c r="B1232" s="96" t="s">
        <v>4826</v>
      </c>
      <c r="C1232" s="45" t="s">
        <v>1914</v>
      </c>
      <c r="E1232" s="95" t="s">
        <v>1602</v>
      </c>
    </row>
    <row r="1233" spans="2:5" x14ac:dyDescent="0.3">
      <c r="B1233" s="95" t="s">
        <v>4827</v>
      </c>
      <c r="C1233" s="45" t="s">
        <v>1914</v>
      </c>
      <c r="E1233" s="95" t="s">
        <v>1603</v>
      </c>
    </row>
    <row r="1234" spans="2:5" x14ac:dyDescent="0.3">
      <c r="B1234" s="95" t="s">
        <v>4828</v>
      </c>
      <c r="C1234" s="45" t="s">
        <v>1914</v>
      </c>
      <c r="E1234" s="95" t="s">
        <v>1604</v>
      </c>
    </row>
    <row r="1235" spans="2:5" x14ac:dyDescent="0.3">
      <c r="B1235" s="96" t="s">
        <v>4829</v>
      </c>
      <c r="C1235" s="45" t="s">
        <v>1914</v>
      </c>
      <c r="E1235" s="95" t="s">
        <v>1605</v>
      </c>
    </row>
    <row r="1236" spans="2:5" x14ac:dyDescent="0.3">
      <c r="B1236" s="96" t="s">
        <v>4830</v>
      </c>
      <c r="C1236" s="45" t="s">
        <v>1914</v>
      </c>
      <c r="E1236" s="95" t="s">
        <v>1606</v>
      </c>
    </row>
    <row r="1237" spans="2:5" x14ac:dyDescent="0.3">
      <c r="B1237" s="95" t="s">
        <v>4831</v>
      </c>
      <c r="C1237" s="45" t="s">
        <v>1914</v>
      </c>
      <c r="E1237" s="95" t="s">
        <v>1607</v>
      </c>
    </row>
    <row r="1238" spans="2:5" x14ac:dyDescent="0.3">
      <c r="B1238" s="96" t="s">
        <v>4832</v>
      </c>
      <c r="C1238" s="45" t="s">
        <v>1914</v>
      </c>
      <c r="E1238" s="95" t="s">
        <v>1608</v>
      </c>
    </row>
    <row r="1239" spans="2:5" x14ac:dyDescent="0.3">
      <c r="B1239" s="96" t="s">
        <v>4833</v>
      </c>
      <c r="C1239" s="45" t="s">
        <v>1914</v>
      </c>
      <c r="E1239" s="95" t="s">
        <v>1609</v>
      </c>
    </row>
    <row r="1240" spans="2:5" x14ac:dyDescent="0.3">
      <c r="B1240" s="95" t="s">
        <v>4834</v>
      </c>
      <c r="C1240" s="45" t="s">
        <v>1914</v>
      </c>
      <c r="E1240" s="95" t="s">
        <v>1610</v>
      </c>
    </row>
    <row r="1241" spans="2:5" x14ac:dyDescent="0.3">
      <c r="B1241" s="95" t="s">
        <v>4835</v>
      </c>
      <c r="C1241" s="45" t="s">
        <v>1917</v>
      </c>
      <c r="E1241" s="95" t="s">
        <v>1611</v>
      </c>
    </row>
    <row r="1242" spans="2:5" x14ac:dyDescent="0.3">
      <c r="B1242" s="96" t="s">
        <v>4836</v>
      </c>
      <c r="C1242" s="45" t="s">
        <v>1914</v>
      </c>
      <c r="E1242" s="95" t="s">
        <v>1612</v>
      </c>
    </row>
    <row r="1243" spans="2:5" x14ac:dyDescent="0.3">
      <c r="B1243" s="96" t="s">
        <v>4837</v>
      </c>
      <c r="C1243" s="45" t="s">
        <v>1914</v>
      </c>
      <c r="E1243" s="95" t="s">
        <v>1613</v>
      </c>
    </row>
    <row r="1244" spans="2:5" x14ac:dyDescent="0.3">
      <c r="B1244" s="96" t="s">
        <v>4838</v>
      </c>
      <c r="C1244" s="45" t="s">
        <v>1914</v>
      </c>
      <c r="E1244" s="95" t="s">
        <v>1614</v>
      </c>
    </row>
    <row r="1245" spans="2:5" x14ac:dyDescent="0.3">
      <c r="B1245" s="95" t="s">
        <v>4839</v>
      </c>
      <c r="C1245" s="45" t="s">
        <v>1914</v>
      </c>
      <c r="E1245" s="95" t="s">
        <v>1615</v>
      </c>
    </row>
    <row r="1246" spans="2:5" x14ac:dyDescent="0.3">
      <c r="B1246" s="96" t="s">
        <v>4840</v>
      </c>
      <c r="C1246" s="45" t="s">
        <v>1914</v>
      </c>
      <c r="E1246" s="95" t="s">
        <v>1616</v>
      </c>
    </row>
    <row r="1247" spans="2:5" x14ac:dyDescent="0.3">
      <c r="B1247" s="96" t="s">
        <v>4841</v>
      </c>
      <c r="C1247" s="45" t="s">
        <v>1916</v>
      </c>
      <c r="E1247" s="95" t="s">
        <v>1617</v>
      </c>
    </row>
    <row r="1248" spans="2:5" x14ac:dyDescent="0.3">
      <c r="B1248" s="96" t="s">
        <v>4842</v>
      </c>
      <c r="C1248" s="45" t="s">
        <v>1916</v>
      </c>
      <c r="E1248" s="95" t="s">
        <v>1619</v>
      </c>
    </row>
    <row r="1249" spans="2:5" x14ac:dyDescent="0.3">
      <c r="B1249" s="84" t="s">
        <v>4843</v>
      </c>
      <c r="C1249" s="45" t="s">
        <v>1918</v>
      </c>
      <c r="E1249" s="95" t="s">
        <v>1620</v>
      </c>
    </row>
    <row r="1250" spans="2:5" x14ac:dyDescent="0.3">
      <c r="B1250" s="84" t="s">
        <v>4844</v>
      </c>
      <c r="C1250" s="45" t="s">
        <v>1918</v>
      </c>
      <c r="E1250" s="95" t="s">
        <v>1621</v>
      </c>
    </row>
    <row r="1251" spans="2:5" x14ac:dyDescent="0.3">
      <c r="B1251" s="84" t="s">
        <v>4845</v>
      </c>
      <c r="C1251" s="45" t="s">
        <v>1918</v>
      </c>
      <c r="E1251" s="95" t="s">
        <v>1622</v>
      </c>
    </row>
    <row r="1252" spans="2:5" x14ac:dyDescent="0.3">
      <c r="B1252" s="96" t="s">
        <v>4846</v>
      </c>
      <c r="C1252" s="45" t="s">
        <v>1916</v>
      </c>
      <c r="E1252" s="95" t="s">
        <v>1623</v>
      </c>
    </row>
    <row r="1253" spans="2:5" x14ac:dyDescent="0.3">
      <c r="B1253" s="96" t="s">
        <v>4847</v>
      </c>
      <c r="C1253" s="45" t="s">
        <v>1916</v>
      </c>
      <c r="E1253" s="95" t="s">
        <v>1624</v>
      </c>
    </row>
    <row r="1254" spans="2:5" x14ac:dyDescent="0.3">
      <c r="B1254" s="95" t="s">
        <v>4848</v>
      </c>
      <c r="C1254" s="45" t="s">
        <v>1916</v>
      </c>
      <c r="E1254" s="95" t="s">
        <v>1625</v>
      </c>
    </row>
    <row r="1255" spans="2:5" x14ac:dyDescent="0.3">
      <c r="B1255" s="96" t="s">
        <v>4849</v>
      </c>
      <c r="C1255" s="45" t="s">
        <v>1916</v>
      </c>
      <c r="E1255" s="95" t="s">
        <v>1626</v>
      </c>
    </row>
    <row r="1256" spans="2:5" x14ac:dyDescent="0.3">
      <c r="B1256" s="84" t="s">
        <v>4850</v>
      </c>
      <c r="C1256" s="45" t="s">
        <v>1919</v>
      </c>
      <c r="E1256" s="95" t="s">
        <v>1627</v>
      </c>
    </row>
    <row r="1257" spans="2:5" x14ac:dyDescent="0.3">
      <c r="B1257" s="84" t="s">
        <v>4851</v>
      </c>
      <c r="C1257" s="45" t="s">
        <v>1928</v>
      </c>
      <c r="E1257" s="95" t="s">
        <v>1618</v>
      </c>
    </row>
    <row r="1258" spans="2:5" x14ac:dyDescent="0.3">
      <c r="B1258" s="84" t="s">
        <v>4852</v>
      </c>
      <c r="C1258" s="45" t="s">
        <v>1918</v>
      </c>
      <c r="E1258" s="95" t="s">
        <v>226</v>
      </c>
    </row>
    <row r="1259" spans="2:5" x14ac:dyDescent="0.3">
      <c r="B1259" s="84" t="s">
        <v>4853</v>
      </c>
      <c r="C1259" s="45" t="s">
        <v>1918</v>
      </c>
      <c r="E1259" s="95" t="s">
        <v>1924</v>
      </c>
    </row>
    <row r="1260" spans="2:5" x14ac:dyDescent="0.3">
      <c r="B1260" s="84" t="s">
        <v>4854</v>
      </c>
      <c r="C1260" s="45" t="s">
        <v>1918</v>
      </c>
      <c r="E1260" s="95" t="s">
        <v>1927</v>
      </c>
    </row>
    <row r="1261" spans="2:5" x14ac:dyDescent="0.3">
      <c r="B1261" s="84" t="s">
        <v>4855</v>
      </c>
      <c r="C1261" s="45" t="s">
        <v>1918</v>
      </c>
      <c r="E1261" s="95" t="s">
        <v>1930</v>
      </c>
    </row>
    <row r="1262" spans="2:5" x14ac:dyDescent="0.3">
      <c r="B1262" s="84" t="s">
        <v>4856</v>
      </c>
      <c r="C1262" s="45" t="s">
        <v>1918</v>
      </c>
      <c r="E1262" s="95" t="s">
        <v>1931</v>
      </c>
    </row>
    <row r="1263" spans="2:5" x14ac:dyDescent="0.3">
      <c r="B1263" s="84" t="s">
        <v>4857</v>
      </c>
      <c r="C1263" s="45" t="s">
        <v>1918</v>
      </c>
      <c r="E1263" s="95" t="s">
        <v>1932</v>
      </c>
    </row>
    <row r="1264" spans="2:5" x14ac:dyDescent="0.3">
      <c r="B1264" s="84" t="s">
        <v>4858</v>
      </c>
      <c r="C1264" s="45" t="s">
        <v>1918</v>
      </c>
      <c r="E1264" s="95" t="s">
        <v>1933</v>
      </c>
    </row>
    <row r="1265" spans="2:5" x14ac:dyDescent="0.3">
      <c r="B1265" s="84" t="s">
        <v>4859</v>
      </c>
      <c r="C1265" s="45" t="s">
        <v>1918</v>
      </c>
      <c r="E1265" s="96" t="s">
        <v>1930</v>
      </c>
    </row>
    <row r="1266" spans="2:5" x14ac:dyDescent="0.3">
      <c r="B1266" s="84" t="s">
        <v>4860</v>
      </c>
      <c r="C1266" s="45" t="s">
        <v>1918</v>
      </c>
      <c r="E1266" s="96" t="s">
        <v>1931</v>
      </c>
    </row>
    <row r="1267" spans="2:5" x14ac:dyDescent="0.3">
      <c r="B1267" s="84" t="s">
        <v>4861</v>
      </c>
      <c r="C1267" s="45" t="s">
        <v>1923</v>
      </c>
      <c r="E1267" s="96" t="s">
        <v>1932</v>
      </c>
    </row>
    <row r="1268" spans="2:5" x14ac:dyDescent="0.3">
      <c r="B1268" s="84" t="s">
        <v>4862</v>
      </c>
      <c r="C1268" s="45" t="s">
        <v>1923</v>
      </c>
      <c r="E1268" s="95" t="s">
        <v>2632</v>
      </c>
    </row>
    <row r="1269" spans="2:5" x14ac:dyDescent="0.3">
      <c r="B1269" s="84" t="s">
        <v>4863</v>
      </c>
      <c r="C1269" s="45" t="s">
        <v>1920</v>
      </c>
      <c r="E1269" s="95" t="s">
        <v>2010</v>
      </c>
    </row>
    <row r="1270" spans="2:5" x14ac:dyDescent="0.3">
      <c r="B1270" s="84" t="s">
        <v>4864</v>
      </c>
      <c r="C1270" s="45" t="s">
        <v>1920</v>
      </c>
      <c r="E1270" s="95" t="s">
        <v>2011</v>
      </c>
    </row>
    <row r="1271" spans="2:5" x14ac:dyDescent="0.3">
      <c r="B1271" s="84" t="s">
        <v>4865</v>
      </c>
      <c r="C1271" s="45" t="s">
        <v>1922</v>
      </c>
      <c r="E1271" s="95" t="s">
        <v>2012</v>
      </c>
    </row>
    <row r="1272" spans="2:5" x14ac:dyDescent="0.3">
      <c r="B1272" s="84" t="s">
        <v>4866</v>
      </c>
      <c r="C1272" s="45" t="s">
        <v>1919</v>
      </c>
      <c r="E1272" s="95" t="s">
        <v>2013</v>
      </c>
    </row>
    <row r="1273" spans="2:5" x14ac:dyDescent="0.3">
      <c r="B1273" s="84" t="s">
        <v>4867</v>
      </c>
      <c r="C1273" s="45" t="s">
        <v>1920</v>
      </c>
      <c r="E1273" s="95" t="s">
        <v>2014</v>
      </c>
    </row>
    <row r="1274" spans="2:5" x14ac:dyDescent="0.3">
      <c r="B1274" s="84" t="s">
        <v>4868</v>
      </c>
      <c r="C1274" s="45" t="s">
        <v>1922</v>
      </c>
      <c r="E1274" s="95" t="s">
        <v>2015</v>
      </c>
    </row>
    <row r="1275" spans="2:5" x14ac:dyDescent="0.3">
      <c r="B1275" s="84" t="s">
        <v>4869</v>
      </c>
      <c r="C1275" s="45" t="s">
        <v>1921</v>
      </c>
      <c r="E1275" s="95" t="s">
        <v>2016</v>
      </c>
    </row>
    <row r="1276" spans="2:5" x14ac:dyDescent="0.3">
      <c r="B1276" s="84" t="s">
        <v>4870</v>
      </c>
      <c r="C1276" s="45" t="s">
        <v>1918</v>
      </c>
      <c r="E1276" s="95" t="s">
        <v>2017</v>
      </c>
    </row>
    <row r="1277" spans="2:5" x14ac:dyDescent="0.3">
      <c r="B1277" s="84" t="s">
        <v>4871</v>
      </c>
      <c r="C1277" s="45" t="s">
        <v>1922</v>
      </c>
      <c r="E1277" s="95" t="s">
        <v>2018</v>
      </c>
    </row>
    <row r="1278" spans="2:5" x14ac:dyDescent="0.3">
      <c r="B1278" s="84" t="s">
        <v>4872</v>
      </c>
      <c r="C1278" s="45" t="s">
        <v>1921</v>
      </c>
      <c r="E1278" s="95" t="s">
        <v>2019</v>
      </c>
    </row>
    <row r="1279" spans="2:5" x14ac:dyDescent="0.3">
      <c r="B1279" s="84" t="s">
        <v>4873</v>
      </c>
      <c r="C1279" s="45" t="s">
        <v>1918</v>
      </c>
      <c r="E1279" s="95" t="s">
        <v>2020</v>
      </c>
    </row>
    <row r="1280" spans="2:5" x14ac:dyDescent="0.3">
      <c r="B1280" s="84" t="s">
        <v>4874</v>
      </c>
      <c r="C1280" s="45" t="s">
        <v>1919</v>
      </c>
      <c r="E1280" s="95" t="s">
        <v>2021</v>
      </c>
    </row>
    <row r="1281" spans="2:5" x14ac:dyDescent="0.3">
      <c r="B1281" s="84" t="s">
        <v>4875</v>
      </c>
      <c r="C1281" s="45" t="s">
        <v>1922</v>
      </c>
      <c r="E1281" s="95" t="s">
        <v>2022</v>
      </c>
    </row>
    <row r="1282" spans="2:5" x14ac:dyDescent="0.3">
      <c r="B1282" s="84" t="s">
        <v>4876</v>
      </c>
      <c r="C1282" s="45" t="s">
        <v>1921</v>
      </c>
      <c r="E1282" s="95" t="s">
        <v>2023</v>
      </c>
    </row>
    <row r="1283" spans="2:5" x14ac:dyDescent="0.3">
      <c r="B1283" s="84" t="s">
        <v>4877</v>
      </c>
      <c r="C1283" s="45" t="s">
        <v>1918</v>
      </c>
      <c r="E1283" s="95" t="s">
        <v>2024</v>
      </c>
    </row>
    <row r="1284" spans="2:5" x14ac:dyDescent="0.3">
      <c r="B1284" s="84" t="s">
        <v>4878</v>
      </c>
      <c r="C1284" s="45" t="s">
        <v>1922</v>
      </c>
      <c r="E1284" s="95" t="s">
        <v>2025</v>
      </c>
    </row>
    <row r="1285" spans="2:5" x14ac:dyDescent="0.3">
      <c r="B1285" s="84" t="s">
        <v>4879</v>
      </c>
      <c r="C1285" s="45" t="s">
        <v>1921</v>
      </c>
      <c r="E1285" s="95" t="s">
        <v>2026</v>
      </c>
    </row>
    <row r="1286" spans="2:5" x14ac:dyDescent="0.3">
      <c r="B1286" s="84" t="s">
        <v>4880</v>
      </c>
      <c r="C1286" s="45" t="s">
        <v>1918</v>
      </c>
      <c r="E1286" s="95" t="s">
        <v>2027</v>
      </c>
    </row>
    <row r="1287" spans="2:5" x14ac:dyDescent="0.3">
      <c r="B1287" s="84" t="s">
        <v>4881</v>
      </c>
      <c r="C1287" s="45" t="s">
        <v>1919</v>
      </c>
      <c r="E1287" s="95" t="s">
        <v>2028</v>
      </c>
    </row>
    <row r="1288" spans="2:5" x14ac:dyDescent="0.3">
      <c r="B1288" s="84" t="s">
        <v>4882</v>
      </c>
      <c r="C1288" s="45" t="s">
        <v>1922</v>
      </c>
      <c r="E1288" s="95" t="s">
        <v>2029</v>
      </c>
    </row>
    <row r="1289" spans="2:5" x14ac:dyDescent="0.3">
      <c r="B1289" s="84" t="s">
        <v>4883</v>
      </c>
      <c r="C1289" s="45" t="s">
        <v>1921</v>
      </c>
      <c r="E1289" s="95" t="s">
        <v>2030</v>
      </c>
    </row>
    <row r="1290" spans="2:5" x14ac:dyDescent="0.3">
      <c r="B1290" s="84" t="s">
        <v>4884</v>
      </c>
      <c r="C1290" s="45" t="s">
        <v>1918</v>
      </c>
      <c r="E1290" s="95" t="s">
        <v>2031</v>
      </c>
    </row>
    <row r="1291" spans="2:5" x14ac:dyDescent="0.3">
      <c r="B1291" s="84" t="s">
        <v>4885</v>
      </c>
      <c r="C1291" s="45" t="s">
        <v>1921</v>
      </c>
      <c r="E1291" s="95" t="s">
        <v>2032</v>
      </c>
    </row>
    <row r="1292" spans="2:5" x14ac:dyDescent="0.3">
      <c r="B1292" s="84" t="s">
        <v>4886</v>
      </c>
      <c r="C1292" s="45" t="s">
        <v>2629</v>
      </c>
      <c r="E1292" s="95" t="s">
        <v>2033</v>
      </c>
    </row>
    <row r="1293" spans="2:5" x14ac:dyDescent="0.3">
      <c r="B1293" s="84" t="s">
        <v>4887</v>
      </c>
      <c r="C1293" s="45" t="s">
        <v>1922</v>
      </c>
      <c r="E1293" s="95" t="s">
        <v>2034</v>
      </c>
    </row>
    <row r="1294" spans="2:5" x14ac:dyDescent="0.3">
      <c r="B1294" s="84" t="s">
        <v>4888</v>
      </c>
      <c r="C1294" s="45" t="s">
        <v>1922</v>
      </c>
      <c r="E1294" s="95" t="s">
        <v>2035</v>
      </c>
    </row>
    <row r="1295" spans="2:5" x14ac:dyDescent="0.3">
      <c r="B1295" s="84" t="s">
        <v>4889</v>
      </c>
      <c r="C1295" s="45" t="s">
        <v>1922</v>
      </c>
      <c r="E1295" s="95" t="s">
        <v>2036</v>
      </c>
    </row>
    <row r="1296" spans="2:5" x14ac:dyDescent="0.3">
      <c r="B1296" s="84" t="s">
        <v>4890</v>
      </c>
      <c r="C1296" s="45" t="s">
        <v>1922</v>
      </c>
      <c r="E1296" s="95" t="s">
        <v>2037</v>
      </c>
    </row>
    <row r="1297" spans="2:5" x14ac:dyDescent="0.3">
      <c r="B1297" s="84" t="s">
        <v>4891</v>
      </c>
      <c r="C1297" s="45" t="s">
        <v>1922</v>
      </c>
      <c r="E1297" s="95" t="s">
        <v>2038</v>
      </c>
    </row>
    <row r="1298" spans="2:5" x14ac:dyDescent="0.3">
      <c r="B1298" s="84" t="s">
        <v>4892</v>
      </c>
      <c r="C1298" s="45" t="s">
        <v>1922</v>
      </c>
      <c r="E1298" s="95" t="s">
        <v>2039</v>
      </c>
    </row>
    <row r="1299" spans="2:5" x14ac:dyDescent="0.3">
      <c r="B1299" s="84" t="s">
        <v>4893</v>
      </c>
      <c r="C1299" s="45" t="s">
        <v>1922</v>
      </c>
      <c r="E1299" s="95" t="s">
        <v>2040</v>
      </c>
    </row>
    <row r="1300" spans="2:5" x14ac:dyDescent="0.3">
      <c r="B1300" s="84" t="s">
        <v>4894</v>
      </c>
      <c r="C1300" s="45" t="s">
        <v>1922</v>
      </c>
      <c r="E1300" s="95" t="s">
        <v>2041</v>
      </c>
    </row>
    <row r="1301" spans="2:5" x14ac:dyDescent="0.3">
      <c r="B1301" s="84" t="s">
        <v>4895</v>
      </c>
      <c r="C1301" s="45" t="s">
        <v>1921</v>
      </c>
      <c r="E1301" s="95" t="s">
        <v>2042</v>
      </c>
    </row>
    <row r="1302" spans="2:5" x14ac:dyDescent="0.3">
      <c r="B1302" s="84" t="s">
        <v>4896</v>
      </c>
      <c r="C1302" s="45" t="s">
        <v>1922</v>
      </c>
      <c r="E1302" s="95" t="s">
        <v>2043</v>
      </c>
    </row>
    <row r="1303" spans="2:5" x14ac:dyDescent="0.3">
      <c r="B1303" s="84" t="s">
        <v>4897</v>
      </c>
      <c r="C1303" s="45" t="s">
        <v>2628</v>
      </c>
      <c r="E1303" s="95" t="s">
        <v>2044</v>
      </c>
    </row>
    <row r="1304" spans="2:5" x14ac:dyDescent="0.3">
      <c r="B1304" s="84" t="s">
        <v>4898</v>
      </c>
      <c r="C1304" s="45" t="s">
        <v>1922</v>
      </c>
      <c r="E1304" s="95" t="s">
        <v>2045</v>
      </c>
    </row>
    <row r="1305" spans="2:5" x14ac:dyDescent="0.3">
      <c r="B1305" s="84" t="s">
        <v>4899</v>
      </c>
      <c r="C1305" s="45" t="s">
        <v>1916</v>
      </c>
      <c r="E1305" s="95" t="s">
        <v>2046</v>
      </c>
    </row>
    <row r="1306" spans="2:5" x14ac:dyDescent="0.3">
      <c r="B1306" s="84" t="s">
        <v>4900</v>
      </c>
      <c r="C1306" s="45" t="s">
        <v>1916</v>
      </c>
      <c r="E1306" s="95" t="s">
        <v>2047</v>
      </c>
    </row>
    <row r="1307" spans="2:5" x14ac:dyDescent="0.3">
      <c r="B1307" s="84" t="s">
        <v>4901</v>
      </c>
      <c r="C1307" s="45" t="s">
        <v>1916</v>
      </c>
      <c r="E1307" s="95" t="s">
        <v>2048</v>
      </c>
    </row>
    <row r="1308" spans="2:5" x14ac:dyDescent="0.3">
      <c r="B1308" s="84" t="s">
        <v>4902</v>
      </c>
      <c r="C1308" s="45" t="s">
        <v>1922</v>
      </c>
      <c r="E1308" s="95" t="s">
        <v>2049</v>
      </c>
    </row>
    <row r="1309" spans="2:5" x14ac:dyDescent="0.3">
      <c r="B1309" s="95" t="s">
        <v>4903</v>
      </c>
      <c r="C1309" s="45" t="s">
        <v>2630</v>
      </c>
      <c r="E1309" s="95" t="s">
        <v>2050</v>
      </c>
    </row>
    <row r="1310" spans="2:5" x14ac:dyDescent="0.3">
      <c r="B1310" s="95" t="s">
        <v>4904</v>
      </c>
      <c r="C1310" s="45" t="s">
        <v>2630</v>
      </c>
      <c r="E1310" s="95" t="s">
        <v>2051</v>
      </c>
    </row>
    <row r="1311" spans="2:5" x14ac:dyDescent="0.3">
      <c r="B1311" s="95" t="s">
        <v>4905</v>
      </c>
      <c r="C1311" s="45" t="s">
        <v>2630</v>
      </c>
      <c r="E1311" s="95" t="s">
        <v>2052</v>
      </c>
    </row>
    <row r="1312" spans="2:5" x14ac:dyDescent="0.3">
      <c r="B1312" s="95" t="s">
        <v>4906</v>
      </c>
      <c r="C1312" s="45" t="s">
        <v>2630</v>
      </c>
      <c r="E1312" s="95" t="s">
        <v>2053</v>
      </c>
    </row>
    <row r="1313" spans="2:5" x14ac:dyDescent="0.3">
      <c r="B1313" s="95" t="s">
        <v>4907</v>
      </c>
      <c r="C1313" s="45" t="s">
        <v>2630</v>
      </c>
      <c r="E1313" s="95" t="s">
        <v>2054</v>
      </c>
    </row>
    <row r="1314" spans="2:5" x14ac:dyDescent="0.3">
      <c r="B1314" s="95" t="s">
        <v>4908</v>
      </c>
      <c r="C1314" s="45" t="s">
        <v>2630</v>
      </c>
      <c r="E1314" s="95" t="s">
        <v>2055</v>
      </c>
    </row>
    <row r="1315" spans="2:5" x14ac:dyDescent="0.3">
      <c r="B1315" s="95" t="s">
        <v>4909</v>
      </c>
      <c r="C1315" s="45" t="s">
        <v>2630</v>
      </c>
      <c r="E1315" s="95" t="s">
        <v>2056</v>
      </c>
    </row>
    <row r="1316" spans="2:5" x14ac:dyDescent="0.3">
      <c r="B1316" s="95" t="s">
        <v>4910</v>
      </c>
      <c r="C1316" s="45" t="s">
        <v>2630</v>
      </c>
      <c r="E1316" s="95" t="s">
        <v>2057</v>
      </c>
    </row>
    <row r="1317" spans="2:5" x14ac:dyDescent="0.3">
      <c r="B1317" s="95" t="s">
        <v>4911</v>
      </c>
      <c r="C1317" s="45" t="s">
        <v>2630</v>
      </c>
      <c r="E1317" s="95" t="s">
        <v>2058</v>
      </c>
    </row>
    <row r="1318" spans="2:5" x14ac:dyDescent="0.3">
      <c r="B1318" s="95" t="s">
        <v>4912</v>
      </c>
      <c r="C1318" s="45" t="s">
        <v>2630</v>
      </c>
      <c r="E1318" s="95" t="s">
        <v>2059</v>
      </c>
    </row>
    <row r="1319" spans="2:5" x14ac:dyDescent="0.3">
      <c r="B1319" s="95" t="s">
        <v>4913</v>
      </c>
      <c r="C1319" s="45" t="s">
        <v>2630</v>
      </c>
      <c r="E1319" s="95" t="s">
        <v>2060</v>
      </c>
    </row>
    <row r="1320" spans="2:5" x14ac:dyDescent="0.3">
      <c r="B1320" s="95" t="s">
        <v>4914</v>
      </c>
      <c r="C1320" s="45" t="s">
        <v>2630</v>
      </c>
      <c r="E1320" s="95" t="s">
        <v>2061</v>
      </c>
    </row>
    <row r="1321" spans="2:5" x14ac:dyDescent="0.3">
      <c r="B1321" s="95" t="s">
        <v>4915</v>
      </c>
      <c r="C1321" s="45" t="s">
        <v>2630</v>
      </c>
      <c r="E1321" s="95" t="s">
        <v>2062</v>
      </c>
    </row>
    <row r="1322" spans="2:5" x14ac:dyDescent="0.3">
      <c r="B1322" s="95" t="s">
        <v>4916</v>
      </c>
      <c r="C1322" s="45" t="s">
        <v>2630</v>
      </c>
      <c r="E1322" s="95" t="s">
        <v>2063</v>
      </c>
    </row>
    <row r="1323" spans="2:5" x14ac:dyDescent="0.3">
      <c r="B1323" s="95" t="s">
        <v>4917</v>
      </c>
      <c r="C1323" s="45" t="s">
        <v>2630</v>
      </c>
      <c r="E1323" s="95" t="s">
        <v>2064</v>
      </c>
    </row>
    <row r="1324" spans="2:5" x14ac:dyDescent="0.3">
      <c r="B1324" s="95" t="s">
        <v>4918</v>
      </c>
      <c r="C1324" s="45" t="s">
        <v>2630</v>
      </c>
      <c r="E1324" s="95" t="s">
        <v>2065</v>
      </c>
    </row>
    <row r="1325" spans="2:5" x14ac:dyDescent="0.3">
      <c r="B1325" s="95" t="s">
        <v>4919</v>
      </c>
      <c r="C1325" s="45" t="s">
        <v>2630</v>
      </c>
      <c r="E1325" s="95" t="s">
        <v>2066</v>
      </c>
    </row>
    <row r="1326" spans="2:5" x14ac:dyDescent="0.3">
      <c r="B1326" s="95" t="s">
        <v>4920</v>
      </c>
      <c r="C1326" s="45" t="s">
        <v>2630</v>
      </c>
      <c r="E1326" s="95" t="s">
        <v>2067</v>
      </c>
    </row>
    <row r="1327" spans="2:5" x14ac:dyDescent="0.3">
      <c r="B1327" s="95" t="s">
        <v>4921</v>
      </c>
      <c r="C1327" s="45" t="s">
        <v>2630</v>
      </c>
      <c r="E1327" s="95" t="s">
        <v>2068</v>
      </c>
    </row>
    <row r="1328" spans="2:5" x14ac:dyDescent="0.3">
      <c r="B1328" s="95" t="s">
        <v>4922</v>
      </c>
      <c r="C1328" s="45" t="s">
        <v>2630</v>
      </c>
      <c r="E1328" s="95" t="s">
        <v>2069</v>
      </c>
    </row>
    <row r="1329" spans="2:5" x14ac:dyDescent="0.3">
      <c r="B1329" s="95" t="s">
        <v>4923</v>
      </c>
      <c r="C1329" s="45" t="s">
        <v>2630</v>
      </c>
      <c r="E1329" s="95" t="s">
        <v>2070</v>
      </c>
    </row>
    <row r="1330" spans="2:5" x14ac:dyDescent="0.3">
      <c r="B1330" s="95" t="s">
        <v>4924</v>
      </c>
      <c r="C1330" s="45" t="s">
        <v>2630</v>
      </c>
      <c r="E1330" s="95" t="s">
        <v>2071</v>
      </c>
    </row>
    <row r="1331" spans="2:5" x14ac:dyDescent="0.3">
      <c r="B1331" s="95" t="s">
        <v>4925</v>
      </c>
      <c r="C1331" s="45" t="s">
        <v>2630</v>
      </c>
      <c r="E1331" s="95" t="s">
        <v>2072</v>
      </c>
    </row>
    <row r="1332" spans="2:5" x14ac:dyDescent="0.3">
      <c r="B1332" s="95" t="s">
        <v>4926</v>
      </c>
      <c r="C1332" s="45" t="s">
        <v>2630</v>
      </c>
      <c r="E1332" s="95" t="s">
        <v>2073</v>
      </c>
    </row>
    <row r="1333" spans="2:5" x14ac:dyDescent="0.3">
      <c r="B1333" s="95" t="s">
        <v>4927</v>
      </c>
      <c r="C1333" s="45" t="s">
        <v>2630</v>
      </c>
      <c r="E1333" s="95" t="s">
        <v>2074</v>
      </c>
    </row>
    <row r="1334" spans="2:5" x14ac:dyDescent="0.3">
      <c r="B1334" s="95" t="s">
        <v>4928</v>
      </c>
      <c r="C1334" s="45" t="s">
        <v>2630</v>
      </c>
      <c r="E1334" s="95" t="s">
        <v>2075</v>
      </c>
    </row>
    <row r="1335" spans="2:5" x14ac:dyDescent="0.3">
      <c r="B1335" s="95" t="s">
        <v>4929</v>
      </c>
      <c r="C1335" s="45" t="s">
        <v>2630</v>
      </c>
      <c r="E1335" s="95" t="s">
        <v>2076</v>
      </c>
    </row>
    <row r="1336" spans="2:5" x14ac:dyDescent="0.3">
      <c r="B1336" s="95" t="s">
        <v>4930</v>
      </c>
      <c r="C1336" s="45" t="s">
        <v>2630</v>
      </c>
      <c r="E1336" s="95" t="s">
        <v>2077</v>
      </c>
    </row>
    <row r="1337" spans="2:5" x14ac:dyDescent="0.3">
      <c r="B1337" s="95" t="s">
        <v>4931</v>
      </c>
      <c r="C1337" s="45" t="s">
        <v>2630</v>
      </c>
      <c r="E1337" s="95" t="s">
        <v>2078</v>
      </c>
    </row>
    <row r="1338" spans="2:5" x14ac:dyDescent="0.3">
      <c r="B1338" s="95" t="s">
        <v>4932</v>
      </c>
      <c r="C1338" s="45" t="s">
        <v>2630</v>
      </c>
      <c r="E1338" s="95" t="s">
        <v>2079</v>
      </c>
    </row>
    <row r="1339" spans="2:5" x14ac:dyDescent="0.3">
      <c r="B1339" s="95" t="s">
        <v>4933</v>
      </c>
      <c r="C1339" s="45" t="s">
        <v>2630</v>
      </c>
      <c r="E1339" s="95" t="s">
        <v>2080</v>
      </c>
    </row>
    <row r="1340" spans="2:5" x14ac:dyDescent="0.3">
      <c r="B1340" s="95" t="s">
        <v>4934</v>
      </c>
      <c r="C1340" s="45" t="s">
        <v>2630</v>
      </c>
      <c r="E1340" s="95" t="s">
        <v>2081</v>
      </c>
    </row>
    <row r="1341" spans="2:5" x14ac:dyDescent="0.3">
      <c r="B1341" s="95" t="s">
        <v>4935</v>
      </c>
      <c r="C1341" s="45" t="s">
        <v>2630</v>
      </c>
      <c r="E1341" s="95" t="s">
        <v>2633</v>
      </c>
    </row>
    <row r="1342" spans="2:5" x14ac:dyDescent="0.3">
      <c r="B1342" s="95" t="s">
        <v>4936</v>
      </c>
      <c r="C1342" s="45" t="s">
        <v>2630</v>
      </c>
      <c r="E1342" s="95" t="s">
        <v>1934</v>
      </c>
    </row>
    <row r="1343" spans="2:5" x14ac:dyDescent="0.3">
      <c r="B1343" s="95" t="s">
        <v>4937</v>
      </c>
      <c r="C1343" s="45" t="s">
        <v>2630</v>
      </c>
      <c r="E1343" s="95" t="s">
        <v>1935</v>
      </c>
    </row>
    <row r="1344" spans="2:5" x14ac:dyDescent="0.3">
      <c r="B1344" s="95" t="s">
        <v>4938</v>
      </c>
      <c r="C1344" s="45" t="s">
        <v>2630</v>
      </c>
      <c r="E1344" s="95" t="s">
        <v>1936</v>
      </c>
    </row>
    <row r="1345" spans="2:5" x14ac:dyDescent="0.3">
      <c r="B1345" s="95" t="s">
        <v>4939</v>
      </c>
      <c r="C1345" s="45" t="s">
        <v>2630</v>
      </c>
      <c r="E1345" s="95" t="s">
        <v>1882</v>
      </c>
    </row>
    <row r="1346" spans="2:5" x14ac:dyDescent="0.3">
      <c r="B1346" s="95" t="s">
        <v>4940</v>
      </c>
      <c r="C1346" s="45" t="s">
        <v>2630</v>
      </c>
      <c r="E1346" s="95" t="s">
        <v>1937</v>
      </c>
    </row>
    <row r="1347" spans="2:5" x14ac:dyDescent="0.3">
      <c r="B1347" s="95" t="s">
        <v>4941</v>
      </c>
      <c r="C1347" s="45" t="s">
        <v>2630</v>
      </c>
      <c r="E1347" s="95" t="s">
        <v>1837</v>
      </c>
    </row>
    <row r="1348" spans="2:5" x14ac:dyDescent="0.3">
      <c r="B1348" s="95" t="s">
        <v>4942</v>
      </c>
      <c r="C1348" s="45" t="s">
        <v>2630</v>
      </c>
      <c r="E1348" s="95" t="s">
        <v>1938</v>
      </c>
    </row>
    <row r="1349" spans="2:5" x14ac:dyDescent="0.3">
      <c r="B1349" s="95" t="s">
        <v>4943</v>
      </c>
      <c r="C1349" s="45" t="s">
        <v>2630</v>
      </c>
      <c r="E1349" s="95" t="s">
        <v>1939</v>
      </c>
    </row>
    <row r="1350" spans="2:5" x14ac:dyDescent="0.3">
      <c r="B1350" s="95" t="s">
        <v>4944</v>
      </c>
      <c r="C1350" s="45" t="s">
        <v>2630</v>
      </c>
      <c r="E1350" s="95" t="s">
        <v>1940</v>
      </c>
    </row>
    <row r="1351" spans="2:5" x14ac:dyDescent="0.3">
      <c r="B1351" s="95" t="s">
        <v>4945</v>
      </c>
      <c r="C1351" s="45" t="s">
        <v>2630</v>
      </c>
      <c r="E1351" s="95" t="s">
        <v>1941</v>
      </c>
    </row>
    <row r="1352" spans="2:5" x14ac:dyDescent="0.3">
      <c r="B1352" s="95" t="s">
        <v>4946</v>
      </c>
      <c r="C1352" s="45" t="s">
        <v>2630</v>
      </c>
      <c r="E1352" s="95" t="s">
        <v>1942</v>
      </c>
    </row>
    <row r="1353" spans="2:5" x14ac:dyDescent="0.3">
      <c r="B1353" s="95" t="s">
        <v>4947</v>
      </c>
      <c r="C1353" s="45" t="s">
        <v>2630</v>
      </c>
      <c r="E1353" s="95" t="s">
        <v>1943</v>
      </c>
    </row>
    <row r="1354" spans="2:5" x14ac:dyDescent="0.3">
      <c r="B1354" s="95" t="s">
        <v>4948</v>
      </c>
      <c r="C1354" s="45" t="s">
        <v>2630</v>
      </c>
      <c r="E1354" s="95" t="s">
        <v>1944</v>
      </c>
    </row>
    <row r="1355" spans="2:5" x14ac:dyDescent="0.3">
      <c r="B1355" s="95" t="s">
        <v>4949</v>
      </c>
      <c r="C1355" s="45" t="s">
        <v>2630</v>
      </c>
      <c r="E1355" s="95" t="s">
        <v>1945</v>
      </c>
    </row>
    <row r="1356" spans="2:5" x14ac:dyDescent="0.3">
      <c r="B1356" s="95" t="s">
        <v>4950</v>
      </c>
      <c r="C1356" s="45" t="s">
        <v>2630</v>
      </c>
      <c r="E1356" s="95" t="s">
        <v>1946</v>
      </c>
    </row>
    <row r="1357" spans="2:5" x14ac:dyDescent="0.3">
      <c r="B1357" s="95" t="s">
        <v>4951</v>
      </c>
      <c r="C1357" s="45" t="s">
        <v>2630</v>
      </c>
      <c r="E1357" s="95" t="s">
        <v>1947</v>
      </c>
    </row>
    <row r="1358" spans="2:5" x14ac:dyDescent="0.3">
      <c r="B1358" s="95" t="s">
        <v>4952</v>
      </c>
      <c r="C1358" s="45" t="s">
        <v>2630</v>
      </c>
      <c r="E1358" s="95" t="s">
        <v>1948</v>
      </c>
    </row>
    <row r="1359" spans="2:5" x14ac:dyDescent="0.3">
      <c r="B1359" s="95" t="s">
        <v>4953</v>
      </c>
      <c r="C1359" s="45" t="s">
        <v>2630</v>
      </c>
      <c r="E1359" s="95" t="s">
        <v>1949</v>
      </c>
    </row>
    <row r="1360" spans="2:5" x14ac:dyDescent="0.3">
      <c r="B1360" s="95" t="s">
        <v>4954</v>
      </c>
      <c r="C1360" s="45" t="s">
        <v>2630</v>
      </c>
      <c r="E1360" s="95" t="s">
        <v>1950</v>
      </c>
    </row>
    <row r="1361" spans="2:5" x14ac:dyDescent="0.3">
      <c r="B1361" s="95" t="s">
        <v>4955</v>
      </c>
      <c r="C1361" s="45" t="s">
        <v>2630</v>
      </c>
      <c r="E1361" s="95" t="s">
        <v>1839</v>
      </c>
    </row>
    <row r="1362" spans="2:5" x14ac:dyDescent="0.3">
      <c r="B1362" s="95" t="s">
        <v>4956</v>
      </c>
      <c r="C1362" s="45" t="s">
        <v>2630</v>
      </c>
      <c r="E1362" s="95" t="s">
        <v>1840</v>
      </c>
    </row>
    <row r="1363" spans="2:5" x14ac:dyDescent="0.3">
      <c r="B1363" s="95" t="s">
        <v>4957</v>
      </c>
      <c r="C1363" s="45" t="s">
        <v>2630</v>
      </c>
      <c r="E1363" s="95" t="s">
        <v>1841</v>
      </c>
    </row>
    <row r="1364" spans="2:5" x14ac:dyDescent="0.3">
      <c r="B1364" s="95" t="s">
        <v>4958</v>
      </c>
      <c r="C1364" s="45" t="s">
        <v>2630</v>
      </c>
      <c r="E1364" s="95" t="s">
        <v>1951</v>
      </c>
    </row>
    <row r="1365" spans="2:5" x14ac:dyDescent="0.3">
      <c r="B1365" s="95" t="s">
        <v>4959</v>
      </c>
      <c r="C1365" s="45" t="s">
        <v>2630</v>
      </c>
      <c r="E1365" s="95" t="s">
        <v>1880</v>
      </c>
    </row>
    <row r="1366" spans="2:5" x14ac:dyDescent="0.3">
      <c r="B1366" s="95" t="s">
        <v>4960</v>
      </c>
      <c r="C1366" s="45" t="s">
        <v>2630</v>
      </c>
      <c r="E1366" s="95" t="s">
        <v>1952</v>
      </c>
    </row>
    <row r="1367" spans="2:5" x14ac:dyDescent="0.3">
      <c r="B1367" s="95" t="s">
        <v>4961</v>
      </c>
      <c r="C1367" s="45" t="s">
        <v>2630</v>
      </c>
      <c r="E1367" s="95" t="s">
        <v>1953</v>
      </c>
    </row>
    <row r="1368" spans="2:5" x14ac:dyDescent="0.3">
      <c r="B1368" s="95" t="s">
        <v>4962</v>
      </c>
      <c r="C1368" s="45" t="s">
        <v>2630</v>
      </c>
      <c r="E1368" s="95" t="s">
        <v>1954</v>
      </c>
    </row>
    <row r="1369" spans="2:5" x14ac:dyDescent="0.3">
      <c r="B1369" s="95" t="s">
        <v>4963</v>
      </c>
      <c r="C1369" s="45" t="s">
        <v>2630</v>
      </c>
      <c r="E1369" s="95" t="s">
        <v>1838</v>
      </c>
    </row>
    <row r="1370" spans="2:5" x14ac:dyDescent="0.3">
      <c r="B1370" s="95" t="s">
        <v>4964</v>
      </c>
      <c r="C1370" s="45" t="s">
        <v>2630</v>
      </c>
      <c r="E1370" s="95" t="s">
        <v>1955</v>
      </c>
    </row>
    <row r="1371" spans="2:5" x14ac:dyDescent="0.3">
      <c r="B1371" s="95" t="s">
        <v>4965</v>
      </c>
      <c r="C1371" s="45" t="s">
        <v>2630</v>
      </c>
      <c r="E1371" s="95" t="s">
        <v>1956</v>
      </c>
    </row>
    <row r="1372" spans="2:5" x14ac:dyDescent="0.3">
      <c r="B1372" s="95" t="s">
        <v>4966</v>
      </c>
      <c r="C1372" s="45" t="s">
        <v>2630</v>
      </c>
      <c r="E1372" s="95" t="s">
        <v>1835</v>
      </c>
    </row>
    <row r="1373" spans="2:5" x14ac:dyDescent="0.3">
      <c r="B1373" s="95" t="s">
        <v>4967</v>
      </c>
      <c r="C1373" s="45" t="s">
        <v>2630</v>
      </c>
      <c r="E1373" s="95" t="s">
        <v>1836</v>
      </c>
    </row>
    <row r="1374" spans="2:5" x14ac:dyDescent="0.3">
      <c r="B1374" s="95" t="s">
        <v>4968</v>
      </c>
      <c r="C1374" s="45" t="s">
        <v>2630</v>
      </c>
      <c r="E1374" s="95" t="s">
        <v>1879</v>
      </c>
    </row>
    <row r="1375" spans="2:5" x14ac:dyDescent="0.3">
      <c r="B1375" s="95" t="s">
        <v>4969</v>
      </c>
      <c r="C1375" s="45" t="s">
        <v>2630</v>
      </c>
      <c r="E1375" s="95" t="s">
        <v>1957</v>
      </c>
    </row>
    <row r="1376" spans="2:5" x14ac:dyDescent="0.3">
      <c r="B1376" s="95" t="s">
        <v>4970</v>
      </c>
      <c r="C1376" s="45" t="s">
        <v>2630</v>
      </c>
      <c r="E1376" s="95" t="s">
        <v>1958</v>
      </c>
    </row>
    <row r="1377" spans="2:5" x14ac:dyDescent="0.3">
      <c r="B1377" s="95" t="s">
        <v>4971</v>
      </c>
      <c r="C1377" s="45" t="s">
        <v>2630</v>
      </c>
      <c r="E1377" s="95" t="s">
        <v>1959</v>
      </c>
    </row>
    <row r="1378" spans="2:5" x14ac:dyDescent="0.3">
      <c r="B1378" s="95" t="s">
        <v>4972</v>
      </c>
      <c r="C1378" s="45" t="s">
        <v>2630</v>
      </c>
      <c r="E1378" s="95" t="s">
        <v>1960</v>
      </c>
    </row>
    <row r="1379" spans="2:5" x14ac:dyDescent="0.3">
      <c r="B1379" s="95" t="s">
        <v>4973</v>
      </c>
      <c r="C1379" s="45" t="s">
        <v>2630</v>
      </c>
      <c r="E1379" s="95" t="s">
        <v>1961</v>
      </c>
    </row>
    <row r="1380" spans="2:5" x14ac:dyDescent="0.3">
      <c r="B1380" s="95" t="s">
        <v>4974</v>
      </c>
      <c r="C1380" s="45" t="s">
        <v>2630</v>
      </c>
      <c r="E1380" s="95" t="s">
        <v>1962</v>
      </c>
    </row>
    <row r="1381" spans="2:5" x14ac:dyDescent="0.3">
      <c r="B1381" s="95" t="s">
        <v>4975</v>
      </c>
      <c r="C1381" s="45" t="s">
        <v>2630</v>
      </c>
      <c r="E1381" s="95" t="s">
        <v>1963</v>
      </c>
    </row>
    <row r="1382" spans="2:5" x14ac:dyDescent="0.3">
      <c r="B1382" s="95" t="s">
        <v>4976</v>
      </c>
      <c r="C1382" s="45" t="s">
        <v>2630</v>
      </c>
      <c r="E1382" s="95" t="s">
        <v>1964</v>
      </c>
    </row>
    <row r="1383" spans="2:5" x14ac:dyDescent="0.3">
      <c r="B1383" s="95" t="s">
        <v>4977</v>
      </c>
      <c r="C1383" s="45" t="s">
        <v>2630</v>
      </c>
      <c r="E1383" s="95" t="s">
        <v>1965</v>
      </c>
    </row>
    <row r="1384" spans="2:5" x14ac:dyDescent="0.3">
      <c r="B1384" s="95" t="s">
        <v>4978</v>
      </c>
      <c r="C1384" s="45" t="s">
        <v>2630</v>
      </c>
      <c r="E1384" s="95" t="s">
        <v>1966</v>
      </c>
    </row>
    <row r="1385" spans="2:5" x14ac:dyDescent="0.3">
      <c r="B1385" s="95" t="s">
        <v>4979</v>
      </c>
      <c r="C1385" s="45" t="s">
        <v>2630</v>
      </c>
      <c r="E1385" s="95" t="s">
        <v>1967</v>
      </c>
    </row>
    <row r="1386" spans="2:5" x14ac:dyDescent="0.3">
      <c r="B1386" s="95" t="s">
        <v>4980</v>
      </c>
      <c r="C1386" s="45" t="s">
        <v>2630</v>
      </c>
      <c r="E1386" s="95" t="s">
        <v>1968</v>
      </c>
    </row>
    <row r="1387" spans="2:5" x14ac:dyDescent="0.3">
      <c r="B1387" s="95" t="s">
        <v>4981</v>
      </c>
      <c r="C1387" s="45" t="s">
        <v>2630</v>
      </c>
      <c r="E1387" s="95" t="s">
        <v>1969</v>
      </c>
    </row>
    <row r="1388" spans="2:5" x14ac:dyDescent="0.3">
      <c r="B1388" s="95" t="s">
        <v>4982</v>
      </c>
      <c r="C1388" s="45" t="s">
        <v>2630</v>
      </c>
      <c r="E1388" s="95" t="s">
        <v>1970</v>
      </c>
    </row>
    <row r="1389" spans="2:5" x14ac:dyDescent="0.3">
      <c r="B1389" s="95" t="s">
        <v>4983</v>
      </c>
      <c r="C1389" s="45" t="s">
        <v>2630</v>
      </c>
      <c r="E1389" s="95" t="s">
        <v>1971</v>
      </c>
    </row>
    <row r="1390" spans="2:5" x14ac:dyDescent="0.3">
      <c r="B1390" s="95" t="s">
        <v>4984</v>
      </c>
      <c r="C1390" s="45" t="s">
        <v>2630</v>
      </c>
      <c r="E1390" s="95" t="s">
        <v>1972</v>
      </c>
    </row>
    <row r="1391" spans="2:5" x14ac:dyDescent="0.3">
      <c r="B1391" s="95" t="s">
        <v>4985</v>
      </c>
      <c r="C1391" s="45" t="s">
        <v>2630</v>
      </c>
      <c r="E1391" s="95" t="s">
        <v>1973</v>
      </c>
    </row>
    <row r="1392" spans="2:5" x14ac:dyDescent="0.3">
      <c r="B1392" s="95" t="s">
        <v>4986</v>
      </c>
      <c r="C1392" s="45" t="s">
        <v>2630</v>
      </c>
      <c r="E1392" s="95" t="s">
        <v>1974</v>
      </c>
    </row>
    <row r="1393" spans="2:5" x14ac:dyDescent="0.3">
      <c r="B1393" s="95" t="s">
        <v>4987</v>
      </c>
      <c r="C1393" s="45" t="s">
        <v>1916</v>
      </c>
      <c r="E1393" s="95" t="s">
        <v>1975</v>
      </c>
    </row>
    <row r="1394" spans="2:5" x14ac:dyDescent="0.3">
      <c r="B1394" s="84" t="s">
        <v>4988</v>
      </c>
      <c r="C1394" s="45" t="s">
        <v>1922</v>
      </c>
      <c r="E1394" s="95" t="s">
        <v>1976</v>
      </c>
    </row>
    <row r="1395" spans="2:5" x14ac:dyDescent="0.3">
      <c r="B1395" s="84" t="s">
        <v>4989</v>
      </c>
      <c r="C1395" s="45" t="s">
        <v>1926</v>
      </c>
      <c r="E1395" s="95" t="s">
        <v>1977</v>
      </c>
    </row>
    <row r="1396" spans="2:5" x14ac:dyDescent="0.3">
      <c r="B1396" s="84" t="s">
        <v>4990</v>
      </c>
      <c r="C1396" s="45" t="s">
        <v>1926</v>
      </c>
      <c r="E1396" s="95" t="s">
        <v>1978</v>
      </c>
    </row>
    <row r="1397" spans="2:5" x14ac:dyDescent="0.3">
      <c r="B1397" s="84" t="s">
        <v>4991</v>
      </c>
      <c r="C1397" s="45" t="s">
        <v>1926</v>
      </c>
      <c r="E1397" s="95" t="s">
        <v>1979</v>
      </c>
    </row>
    <row r="1398" spans="2:5" x14ac:dyDescent="0.3">
      <c r="B1398" s="84" t="s">
        <v>4992</v>
      </c>
      <c r="C1398" s="45" t="s">
        <v>2082</v>
      </c>
      <c r="E1398" s="95" t="s">
        <v>1980</v>
      </c>
    </row>
    <row r="1399" spans="2:5" x14ac:dyDescent="0.3">
      <c r="B1399" s="95" t="s">
        <v>4993</v>
      </c>
      <c r="C1399" s="45" t="s">
        <v>1916</v>
      </c>
      <c r="E1399" s="95" t="s">
        <v>1981</v>
      </c>
    </row>
    <row r="1400" spans="2:5" x14ac:dyDescent="0.3">
      <c r="B1400" s="84" t="s">
        <v>4994</v>
      </c>
      <c r="C1400" s="45" t="s">
        <v>2083</v>
      </c>
      <c r="E1400" s="95" t="s">
        <v>1982</v>
      </c>
    </row>
    <row r="1401" spans="2:5" x14ac:dyDescent="0.3">
      <c r="B1401" s="84" t="s">
        <v>4995</v>
      </c>
      <c r="C1401" s="45" t="s">
        <v>1918</v>
      </c>
      <c r="E1401" s="95" t="s">
        <v>1983</v>
      </c>
    </row>
    <row r="1402" spans="2:5" x14ac:dyDescent="0.3">
      <c r="B1402" s="95" t="s">
        <v>4996</v>
      </c>
      <c r="C1402" s="45" t="s">
        <v>1916</v>
      </c>
      <c r="E1402" s="95" t="s">
        <v>1984</v>
      </c>
    </row>
    <row r="1403" spans="2:5" x14ac:dyDescent="0.3">
      <c r="B1403" s="84" t="s">
        <v>4997</v>
      </c>
      <c r="C1403" s="45" t="s">
        <v>2084</v>
      </c>
      <c r="E1403" s="95" t="s">
        <v>1985</v>
      </c>
    </row>
    <row r="1404" spans="2:5" x14ac:dyDescent="0.3">
      <c r="B1404" s="84" t="s">
        <v>4998</v>
      </c>
      <c r="C1404" s="45" t="s">
        <v>2085</v>
      </c>
      <c r="E1404" s="95" t="s">
        <v>1986</v>
      </c>
    </row>
    <row r="1405" spans="2:5" x14ac:dyDescent="0.3">
      <c r="B1405" s="84" t="s">
        <v>4999</v>
      </c>
      <c r="C1405" s="45" t="s">
        <v>1919</v>
      </c>
      <c r="E1405" s="95" t="s">
        <v>1987</v>
      </c>
    </row>
    <row r="1406" spans="2:5" x14ac:dyDescent="0.3">
      <c r="B1406" s="84" t="s">
        <v>5000</v>
      </c>
      <c r="C1406" s="45" t="s">
        <v>1928</v>
      </c>
      <c r="E1406" s="95" t="s">
        <v>1988</v>
      </c>
    </row>
    <row r="1407" spans="2:5" x14ac:dyDescent="0.3">
      <c r="B1407" s="84" t="s">
        <v>5001</v>
      </c>
      <c r="C1407" s="45" t="s">
        <v>1920</v>
      </c>
      <c r="E1407" s="95" t="s">
        <v>1989</v>
      </c>
    </row>
    <row r="1408" spans="2:5" x14ac:dyDescent="0.3">
      <c r="B1408" s="84" t="s">
        <v>5002</v>
      </c>
      <c r="C1408" s="45" t="s">
        <v>2086</v>
      </c>
      <c r="E1408" s="95" t="s">
        <v>1842</v>
      </c>
    </row>
    <row r="1409" spans="2:5" x14ac:dyDescent="0.3">
      <c r="B1409" s="84" t="s">
        <v>5003</v>
      </c>
      <c r="C1409" s="45" t="s">
        <v>2087</v>
      </c>
      <c r="E1409" s="95" t="s">
        <v>1843</v>
      </c>
    </row>
    <row r="1410" spans="2:5" x14ac:dyDescent="0.3">
      <c r="B1410" s="84" t="s">
        <v>5004</v>
      </c>
      <c r="C1410" s="45" t="s">
        <v>2088</v>
      </c>
      <c r="E1410" s="95" t="s">
        <v>1844</v>
      </c>
    </row>
    <row r="1411" spans="2:5" x14ac:dyDescent="0.3">
      <c r="B1411" s="84" t="s">
        <v>5005</v>
      </c>
      <c r="C1411" s="45" t="s">
        <v>2089</v>
      </c>
      <c r="E1411" s="95" t="s">
        <v>1845</v>
      </c>
    </row>
    <row r="1412" spans="2:5" x14ac:dyDescent="0.3">
      <c r="B1412" s="84" t="s">
        <v>5006</v>
      </c>
      <c r="C1412" s="45" t="s">
        <v>2090</v>
      </c>
      <c r="E1412" s="95" t="s">
        <v>1846</v>
      </c>
    </row>
    <row r="1413" spans="2:5" x14ac:dyDescent="0.3">
      <c r="B1413" s="84" t="s">
        <v>5007</v>
      </c>
      <c r="C1413" s="45" t="s">
        <v>2091</v>
      </c>
      <c r="E1413" s="95" t="s">
        <v>1847</v>
      </c>
    </row>
    <row r="1414" spans="2:5" x14ac:dyDescent="0.3">
      <c r="B1414" s="84" t="s">
        <v>5008</v>
      </c>
      <c r="C1414" s="45" t="s">
        <v>2092</v>
      </c>
      <c r="E1414" s="95" t="s">
        <v>1848</v>
      </c>
    </row>
    <row r="1415" spans="2:5" x14ac:dyDescent="0.3">
      <c r="B1415" s="95" t="s">
        <v>5009</v>
      </c>
      <c r="C1415" s="45" t="s">
        <v>1916</v>
      </c>
      <c r="E1415" s="95" t="s">
        <v>1849</v>
      </c>
    </row>
    <row r="1416" spans="2:5" x14ac:dyDescent="0.3">
      <c r="B1416" s="95" t="s">
        <v>5010</v>
      </c>
      <c r="C1416" s="45" t="s">
        <v>1916</v>
      </c>
      <c r="E1416" s="95" t="s">
        <v>1850</v>
      </c>
    </row>
    <row r="1417" spans="2:5" x14ac:dyDescent="0.3">
      <c r="B1417" s="84" t="s">
        <v>5011</v>
      </c>
      <c r="C1417" s="45" t="s">
        <v>1918</v>
      </c>
      <c r="E1417" s="95" t="s">
        <v>1851</v>
      </c>
    </row>
    <row r="1418" spans="2:5" x14ac:dyDescent="0.3">
      <c r="B1418" s="84" t="s">
        <v>5012</v>
      </c>
      <c r="C1418" s="45" t="s">
        <v>1922</v>
      </c>
      <c r="E1418" s="95" t="s">
        <v>1852</v>
      </c>
    </row>
    <row r="1419" spans="2:5" x14ac:dyDescent="0.3">
      <c r="B1419" s="84" t="s">
        <v>5013</v>
      </c>
      <c r="C1419" s="45" t="s">
        <v>1922</v>
      </c>
      <c r="E1419" s="95" t="s">
        <v>1853</v>
      </c>
    </row>
    <row r="1420" spans="2:5" x14ac:dyDescent="0.3">
      <c r="B1420" s="95" t="s">
        <v>5014</v>
      </c>
      <c r="C1420" s="45" t="s">
        <v>1916</v>
      </c>
      <c r="E1420" s="95" t="s">
        <v>1854</v>
      </c>
    </row>
    <row r="1421" spans="2:5" x14ac:dyDescent="0.3">
      <c r="B1421" s="84" t="s">
        <v>5015</v>
      </c>
      <c r="C1421" s="45" t="s">
        <v>1922</v>
      </c>
      <c r="E1421" s="95" t="s">
        <v>1855</v>
      </c>
    </row>
    <row r="1422" spans="2:5" x14ac:dyDescent="0.3">
      <c r="B1422" s="84" t="s">
        <v>5016</v>
      </c>
      <c r="C1422" s="45" t="s">
        <v>1918</v>
      </c>
      <c r="E1422" s="95" t="s">
        <v>1856</v>
      </c>
    </row>
    <row r="1423" spans="2:5" x14ac:dyDescent="0.3">
      <c r="B1423" s="84" t="s">
        <v>5017</v>
      </c>
      <c r="C1423" s="45" t="s">
        <v>1922</v>
      </c>
      <c r="E1423" s="95" t="s">
        <v>1857</v>
      </c>
    </row>
    <row r="1424" spans="2:5" x14ac:dyDescent="0.3">
      <c r="B1424" s="84" t="s">
        <v>5018</v>
      </c>
      <c r="C1424" s="45" t="s">
        <v>1922</v>
      </c>
      <c r="E1424" s="95" t="s">
        <v>1858</v>
      </c>
    </row>
    <row r="1425" spans="2:5" x14ac:dyDescent="0.3">
      <c r="B1425" s="84" t="s">
        <v>5019</v>
      </c>
      <c r="C1425" s="45" t="s">
        <v>1922</v>
      </c>
      <c r="E1425" s="95" t="s">
        <v>1859</v>
      </c>
    </row>
    <row r="1426" spans="2:5" x14ac:dyDescent="0.3">
      <c r="B1426" s="84" t="s">
        <v>5020</v>
      </c>
      <c r="C1426" s="45" t="s">
        <v>1921</v>
      </c>
      <c r="E1426" s="95" t="s">
        <v>1860</v>
      </c>
    </row>
    <row r="1427" spans="2:5" x14ac:dyDescent="0.3">
      <c r="B1427" s="84" t="s">
        <v>5021</v>
      </c>
      <c r="C1427" s="45" t="s">
        <v>1922</v>
      </c>
      <c r="E1427" s="95" t="s">
        <v>1861</v>
      </c>
    </row>
    <row r="1428" spans="2:5" x14ac:dyDescent="0.3">
      <c r="B1428" s="84" t="s">
        <v>5022</v>
      </c>
      <c r="C1428" s="45" t="s">
        <v>1922</v>
      </c>
      <c r="E1428" s="95" t="s">
        <v>1862</v>
      </c>
    </row>
    <row r="1429" spans="2:5" x14ac:dyDescent="0.3">
      <c r="B1429" s="84" t="s">
        <v>5023</v>
      </c>
      <c r="C1429" s="45" t="s">
        <v>1922</v>
      </c>
      <c r="E1429" s="95" t="s">
        <v>1863</v>
      </c>
    </row>
    <row r="1430" spans="2:5" x14ac:dyDescent="0.3">
      <c r="B1430" s="84" t="s">
        <v>5024</v>
      </c>
      <c r="C1430" s="45" t="s">
        <v>1922</v>
      </c>
      <c r="E1430" s="95" t="s">
        <v>1864</v>
      </c>
    </row>
    <row r="1431" spans="2:5" x14ac:dyDescent="0.3">
      <c r="B1431" s="84" t="s">
        <v>5025</v>
      </c>
      <c r="C1431" s="45" t="s">
        <v>1922</v>
      </c>
      <c r="E1431" s="95" t="s">
        <v>1865</v>
      </c>
    </row>
    <row r="1432" spans="2:5" x14ac:dyDescent="0.3">
      <c r="B1432" s="84" t="s">
        <v>5026</v>
      </c>
      <c r="C1432" s="45" t="s">
        <v>2084</v>
      </c>
      <c r="E1432" s="95" t="s">
        <v>1990</v>
      </c>
    </row>
    <row r="1433" spans="2:5" x14ac:dyDescent="0.3">
      <c r="B1433" s="84" t="s">
        <v>5027</v>
      </c>
      <c r="C1433" s="45" t="s">
        <v>2085</v>
      </c>
      <c r="E1433" s="95" t="s">
        <v>1991</v>
      </c>
    </row>
    <row r="1434" spans="2:5" x14ac:dyDescent="0.3">
      <c r="B1434" s="84" t="s">
        <v>5028</v>
      </c>
      <c r="C1434" s="45" t="s">
        <v>1928</v>
      </c>
      <c r="E1434" s="95" t="s">
        <v>1992</v>
      </c>
    </row>
    <row r="1435" spans="2:5" x14ac:dyDescent="0.3">
      <c r="B1435" s="84" t="s">
        <v>5029</v>
      </c>
      <c r="C1435" s="45" t="s">
        <v>2086</v>
      </c>
      <c r="E1435" s="95" t="s">
        <v>1993</v>
      </c>
    </row>
    <row r="1436" spans="2:5" x14ac:dyDescent="0.3">
      <c r="B1436" s="84" t="s">
        <v>5030</v>
      </c>
      <c r="C1436" s="45" t="s">
        <v>2087</v>
      </c>
      <c r="E1436" s="95" t="s">
        <v>1994</v>
      </c>
    </row>
    <row r="1437" spans="2:5" x14ac:dyDescent="0.3">
      <c r="B1437" s="84" t="s">
        <v>5031</v>
      </c>
      <c r="C1437" s="45" t="s">
        <v>2088</v>
      </c>
      <c r="E1437" s="95" t="s">
        <v>1995</v>
      </c>
    </row>
    <row r="1438" spans="2:5" x14ac:dyDescent="0.3">
      <c r="B1438" s="84" t="s">
        <v>5032</v>
      </c>
      <c r="C1438" s="45" t="s">
        <v>2089</v>
      </c>
      <c r="E1438" s="95" t="s">
        <v>1996</v>
      </c>
    </row>
    <row r="1439" spans="2:5" x14ac:dyDescent="0.3">
      <c r="B1439" s="84" t="s">
        <v>5033</v>
      </c>
      <c r="C1439" s="45" t="s">
        <v>2090</v>
      </c>
      <c r="E1439" s="95" t="s">
        <v>1997</v>
      </c>
    </row>
    <row r="1440" spans="2:5" x14ac:dyDescent="0.3">
      <c r="B1440" s="84" t="s">
        <v>5034</v>
      </c>
      <c r="C1440" s="45" t="s">
        <v>2091</v>
      </c>
      <c r="E1440" s="95" t="s">
        <v>1998</v>
      </c>
    </row>
    <row r="1441" spans="2:5" x14ac:dyDescent="0.3">
      <c r="B1441" s="84" t="s">
        <v>5035</v>
      </c>
      <c r="C1441" s="45" t="s">
        <v>2092</v>
      </c>
      <c r="E1441" s="95" t="s">
        <v>1999</v>
      </c>
    </row>
    <row r="1442" spans="2:5" x14ac:dyDescent="0.3">
      <c r="B1442" s="84" t="s">
        <v>5036</v>
      </c>
      <c r="C1442" s="45" t="s">
        <v>2084</v>
      </c>
      <c r="E1442" s="95" t="s">
        <v>2000</v>
      </c>
    </row>
    <row r="1443" spans="2:5" x14ac:dyDescent="0.3">
      <c r="B1443" s="84" t="s">
        <v>5037</v>
      </c>
      <c r="C1443" s="45" t="s">
        <v>2085</v>
      </c>
      <c r="E1443" s="95" t="s">
        <v>2001</v>
      </c>
    </row>
    <row r="1444" spans="2:5" x14ac:dyDescent="0.3">
      <c r="B1444" s="84" t="s">
        <v>5038</v>
      </c>
      <c r="C1444" s="45" t="s">
        <v>1928</v>
      </c>
      <c r="E1444" s="95" t="s">
        <v>1866</v>
      </c>
    </row>
    <row r="1445" spans="2:5" x14ac:dyDescent="0.3">
      <c r="B1445" s="84" t="s">
        <v>5039</v>
      </c>
      <c r="C1445" s="45" t="s">
        <v>1920</v>
      </c>
      <c r="E1445" s="95" t="s">
        <v>1867</v>
      </c>
    </row>
    <row r="1446" spans="2:5" x14ac:dyDescent="0.3">
      <c r="B1446" s="84" t="s">
        <v>5040</v>
      </c>
      <c r="C1446" s="45" t="s">
        <v>2086</v>
      </c>
      <c r="E1446" s="95" t="s">
        <v>1868</v>
      </c>
    </row>
    <row r="1447" spans="2:5" x14ac:dyDescent="0.3">
      <c r="B1447" s="84" t="s">
        <v>5041</v>
      </c>
      <c r="C1447" s="45" t="s">
        <v>2087</v>
      </c>
      <c r="E1447" s="95" t="s">
        <v>1869</v>
      </c>
    </row>
    <row r="1448" spans="2:5" x14ac:dyDescent="0.3">
      <c r="B1448" s="84" t="s">
        <v>5042</v>
      </c>
      <c r="C1448" s="45" t="s">
        <v>2088</v>
      </c>
      <c r="E1448" s="95" t="s">
        <v>1870</v>
      </c>
    </row>
    <row r="1449" spans="2:5" x14ac:dyDescent="0.3">
      <c r="B1449" s="84" t="s">
        <v>5043</v>
      </c>
      <c r="C1449" s="45" t="s">
        <v>2089</v>
      </c>
      <c r="E1449" s="95" t="s">
        <v>1871</v>
      </c>
    </row>
    <row r="1450" spans="2:5" x14ac:dyDescent="0.3">
      <c r="B1450" s="84" t="s">
        <v>5044</v>
      </c>
      <c r="C1450" s="45" t="s">
        <v>2090</v>
      </c>
      <c r="E1450" s="95" t="s">
        <v>1872</v>
      </c>
    </row>
    <row r="1451" spans="2:5" x14ac:dyDescent="0.3">
      <c r="B1451" s="84" t="s">
        <v>5045</v>
      </c>
      <c r="C1451" s="45" t="s">
        <v>2091</v>
      </c>
      <c r="E1451" s="95" t="s">
        <v>1873</v>
      </c>
    </row>
    <row r="1452" spans="2:5" x14ac:dyDescent="0.3">
      <c r="B1452" s="84" t="s">
        <v>5046</v>
      </c>
      <c r="C1452" s="45" t="s">
        <v>2092</v>
      </c>
      <c r="E1452" s="95" t="s">
        <v>1874</v>
      </c>
    </row>
    <row r="1453" spans="2:5" x14ac:dyDescent="0.3">
      <c r="B1453" s="84" t="s">
        <v>5047</v>
      </c>
      <c r="C1453" s="45" t="s">
        <v>2084</v>
      </c>
      <c r="E1453" s="95" t="s">
        <v>1875</v>
      </c>
    </row>
    <row r="1454" spans="2:5" x14ac:dyDescent="0.3">
      <c r="B1454" s="84" t="s">
        <v>5048</v>
      </c>
      <c r="C1454" s="45" t="s">
        <v>2085</v>
      </c>
      <c r="E1454" s="95" t="s">
        <v>1876</v>
      </c>
    </row>
    <row r="1455" spans="2:5" x14ac:dyDescent="0.3">
      <c r="B1455" s="84" t="s">
        <v>5049</v>
      </c>
      <c r="C1455" s="45" t="s">
        <v>1928</v>
      </c>
      <c r="E1455" s="95" t="s">
        <v>1877</v>
      </c>
    </row>
    <row r="1456" spans="2:5" x14ac:dyDescent="0.3">
      <c r="B1456" s="84" t="s">
        <v>5050</v>
      </c>
      <c r="C1456" s="45" t="s">
        <v>1920</v>
      </c>
      <c r="E1456" s="95" t="s">
        <v>1878</v>
      </c>
    </row>
    <row r="1457" spans="2:5" x14ac:dyDescent="0.3">
      <c r="B1457" s="84" t="s">
        <v>5051</v>
      </c>
      <c r="C1457" s="45" t="s">
        <v>2086</v>
      </c>
      <c r="E1457" s="95" t="s">
        <v>2002</v>
      </c>
    </row>
    <row r="1458" spans="2:5" x14ac:dyDescent="0.3">
      <c r="B1458" s="84" t="s">
        <v>5052</v>
      </c>
      <c r="C1458" s="45" t="s">
        <v>2087</v>
      </c>
      <c r="E1458" s="95" t="s">
        <v>2003</v>
      </c>
    </row>
    <row r="1459" spans="2:5" x14ac:dyDescent="0.3">
      <c r="B1459" s="84" t="s">
        <v>5053</v>
      </c>
      <c r="C1459" s="45" t="s">
        <v>2088</v>
      </c>
      <c r="E1459" s="95" t="s">
        <v>2004</v>
      </c>
    </row>
    <row r="1460" spans="2:5" x14ac:dyDescent="0.3">
      <c r="B1460" s="84" t="s">
        <v>5054</v>
      </c>
      <c r="C1460" s="45" t="s">
        <v>2089</v>
      </c>
      <c r="E1460" s="95" t="s">
        <v>2617</v>
      </c>
    </row>
    <row r="1461" spans="2:5" x14ac:dyDescent="0.3">
      <c r="B1461" s="84" t="s">
        <v>5055</v>
      </c>
      <c r="C1461" s="45" t="s">
        <v>2090</v>
      </c>
      <c r="E1461" s="95" t="s">
        <v>2618</v>
      </c>
    </row>
    <row r="1462" spans="2:5" x14ac:dyDescent="0.3">
      <c r="B1462" s="84" t="s">
        <v>5056</v>
      </c>
      <c r="C1462" s="45" t="s">
        <v>2091</v>
      </c>
      <c r="E1462" s="95" t="s">
        <v>2619</v>
      </c>
    </row>
    <row r="1463" spans="2:5" x14ac:dyDescent="0.3">
      <c r="B1463" s="84" t="s">
        <v>5057</v>
      </c>
      <c r="C1463" s="45" t="s">
        <v>2092</v>
      </c>
      <c r="E1463" s="95" t="s">
        <v>2614</v>
      </c>
    </row>
    <row r="1464" spans="2:5" x14ac:dyDescent="0.3">
      <c r="B1464" s="84" t="s">
        <v>5058</v>
      </c>
      <c r="C1464" s="45" t="s">
        <v>1922</v>
      </c>
      <c r="E1464" s="95" t="s">
        <v>2615</v>
      </c>
    </row>
    <row r="1465" spans="2:5" x14ac:dyDescent="0.3">
      <c r="B1465" s="84" t="s">
        <v>5059</v>
      </c>
      <c r="C1465" s="45" t="s">
        <v>1922</v>
      </c>
      <c r="E1465" s="95" t="s">
        <v>2616</v>
      </c>
    </row>
    <row r="1466" spans="2:5" x14ac:dyDescent="0.3">
      <c r="B1466" s="84" t="s">
        <v>5060</v>
      </c>
      <c r="C1466" s="45" t="s">
        <v>1922</v>
      </c>
      <c r="E1466" s="95" t="s">
        <v>2620</v>
      </c>
    </row>
    <row r="1467" spans="2:5" x14ac:dyDescent="0.3">
      <c r="B1467" s="84" t="s">
        <v>5061</v>
      </c>
      <c r="C1467" s="45" t="s">
        <v>1922</v>
      </c>
      <c r="E1467" s="95" t="s">
        <v>2621</v>
      </c>
    </row>
    <row r="1468" spans="2:5" x14ac:dyDescent="0.3">
      <c r="B1468" s="84" t="s">
        <v>5062</v>
      </c>
      <c r="C1468" s="45" t="s">
        <v>1922</v>
      </c>
      <c r="E1468" s="95" t="s">
        <v>2622</v>
      </c>
    </row>
    <row r="1469" spans="2:5" x14ac:dyDescent="0.3">
      <c r="B1469" s="84" t="s">
        <v>5063</v>
      </c>
      <c r="C1469" s="45" t="s">
        <v>1922</v>
      </c>
      <c r="E1469" s="95" t="s">
        <v>2623</v>
      </c>
    </row>
    <row r="1470" spans="2:5" x14ac:dyDescent="0.3">
      <c r="B1470" s="84" t="s">
        <v>5064</v>
      </c>
      <c r="C1470" s="45" t="s">
        <v>1922</v>
      </c>
      <c r="E1470" s="95" t="s">
        <v>2624</v>
      </c>
    </row>
    <row r="1471" spans="2:5" x14ac:dyDescent="0.3">
      <c r="B1471" s="84" t="s">
        <v>5065</v>
      </c>
      <c r="C1471" s="45" t="s">
        <v>1922</v>
      </c>
      <c r="E1471" s="95" t="s">
        <v>2625</v>
      </c>
    </row>
    <row r="1472" spans="2:5" x14ac:dyDescent="0.3">
      <c r="B1472" s="84" t="s">
        <v>5066</v>
      </c>
      <c r="C1472" s="45" t="s">
        <v>1922</v>
      </c>
      <c r="E1472" s="95" t="s">
        <v>2626</v>
      </c>
    </row>
    <row r="1473" spans="2:5" x14ac:dyDescent="0.3">
      <c r="B1473" s="84" t="s">
        <v>5067</v>
      </c>
      <c r="C1473" s="45" t="s">
        <v>1922</v>
      </c>
      <c r="E1473" s="95" t="s">
        <v>2627</v>
      </c>
    </row>
    <row r="1474" spans="2:5" x14ac:dyDescent="0.3">
      <c r="B1474" s="84" t="s">
        <v>5068</v>
      </c>
      <c r="C1474" s="45" t="s">
        <v>1922</v>
      </c>
      <c r="E1474" s="95" t="s">
        <v>2005</v>
      </c>
    </row>
    <row r="1475" spans="2:5" x14ac:dyDescent="0.3">
      <c r="B1475" s="84" t="s">
        <v>5069</v>
      </c>
      <c r="C1475" s="45" t="s">
        <v>1922</v>
      </c>
      <c r="E1475" s="95" t="s">
        <v>1884</v>
      </c>
    </row>
    <row r="1476" spans="2:5" x14ac:dyDescent="0.3">
      <c r="B1476" s="84" t="s">
        <v>5070</v>
      </c>
      <c r="C1476" s="45" t="s">
        <v>1922</v>
      </c>
      <c r="E1476" s="95" t="s">
        <v>1885</v>
      </c>
    </row>
    <row r="1477" spans="2:5" x14ac:dyDescent="0.3">
      <c r="B1477" s="84" t="s">
        <v>5071</v>
      </c>
      <c r="C1477" s="45" t="s">
        <v>1922</v>
      </c>
      <c r="E1477" s="95" t="s">
        <v>2006</v>
      </c>
    </row>
    <row r="1478" spans="2:5" x14ac:dyDescent="0.3">
      <c r="B1478" s="84" t="s">
        <v>5072</v>
      </c>
      <c r="C1478" s="45" t="s">
        <v>1922</v>
      </c>
      <c r="E1478" s="95" t="s">
        <v>1886</v>
      </c>
    </row>
    <row r="1479" spans="2:5" x14ac:dyDescent="0.3">
      <c r="B1479" s="84" t="s">
        <v>5073</v>
      </c>
      <c r="C1479" s="45" t="s">
        <v>1922</v>
      </c>
      <c r="E1479" s="95" t="s">
        <v>2007</v>
      </c>
    </row>
    <row r="1480" spans="2:5" x14ac:dyDescent="0.3">
      <c r="B1480" s="84" t="s">
        <v>5074</v>
      </c>
      <c r="C1480" s="45" t="s">
        <v>1922</v>
      </c>
      <c r="E1480" s="95" t="s">
        <v>2008</v>
      </c>
    </row>
    <row r="1481" spans="2:5" x14ac:dyDescent="0.3">
      <c r="B1481" s="84" t="s">
        <v>5075</v>
      </c>
      <c r="C1481" s="45" t="s">
        <v>1922</v>
      </c>
      <c r="E1481" s="95" t="s">
        <v>2009</v>
      </c>
    </row>
    <row r="1482" spans="2:5" x14ac:dyDescent="0.3">
      <c r="B1482" s="84" t="s">
        <v>5076</v>
      </c>
      <c r="C1482" s="45" t="s">
        <v>1922</v>
      </c>
    </row>
    <row r="1483" spans="2:5" x14ac:dyDescent="0.3">
      <c r="B1483" s="84" t="s">
        <v>5077</v>
      </c>
      <c r="C1483" s="45" t="s">
        <v>1922</v>
      </c>
    </row>
    <row r="1484" spans="2:5" x14ac:dyDescent="0.3">
      <c r="B1484" s="84" t="s">
        <v>5078</v>
      </c>
      <c r="C1484" s="45" t="s">
        <v>1922</v>
      </c>
    </row>
    <row r="1485" spans="2:5" x14ac:dyDescent="0.3">
      <c r="B1485" s="84" t="s">
        <v>5079</v>
      </c>
      <c r="C1485" s="45" t="s">
        <v>1922</v>
      </c>
    </row>
    <row r="1486" spans="2:5" x14ac:dyDescent="0.3">
      <c r="B1486" s="84" t="s">
        <v>5080</v>
      </c>
      <c r="C1486" s="45" t="s">
        <v>1922</v>
      </c>
    </row>
    <row r="1487" spans="2:5" x14ac:dyDescent="0.3">
      <c r="B1487" s="84" t="s">
        <v>5081</v>
      </c>
      <c r="C1487" s="45" t="s">
        <v>1922</v>
      </c>
    </row>
    <row r="1488" spans="2:5" x14ac:dyDescent="0.3">
      <c r="B1488" s="84" t="s">
        <v>5082</v>
      </c>
      <c r="C1488" s="45" t="s">
        <v>1922</v>
      </c>
    </row>
    <row r="1489" spans="2:3" x14ac:dyDescent="0.3">
      <c r="B1489" s="84" t="s">
        <v>5083</v>
      </c>
      <c r="C1489" s="45" t="s">
        <v>2084</v>
      </c>
    </row>
    <row r="1490" spans="2:3" x14ac:dyDescent="0.3">
      <c r="B1490" s="84" t="s">
        <v>5084</v>
      </c>
      <c r="C1490" s="45" t="s">
        <v>2085</v>
      </c>
    </row>
    <row r="1491" spans="2:3" x14ac:dyDescent="0.3">
      <c r="B1491" s="84" t="s">
        <v>5085</v>
      </c>
      <c r="C1491" s="45" t="s">
        <v>1919</v>
      </c>
    </row>
    <row r="1492" spans="2:3" x14ac:dyDescent="0.3">
      <c r="B1492" s="84" t="s">
        <v>5086</v>
      </c>
      <c r="C1492" s="45" t="s">
        <v>1928</v>
      </c>
    </row>
    <row r="1493" spans="2:3" x14ac:dyDescent="0.3">
      <c r="B1493" s="84" t="s">
        <v>5087</v>
      </c>
      <c r="C1493" s="45" t="s">
        <v>1920</v>
      </c>
    </row>
    <row r="1494" spans="2:3" x14ac:dyDescent="0.3">
      <c r="B1494" s="84" t="s">
        <v>5088</v>
      </c>
      <c r="C1494" s="45" t="s">
        <v>2086</v>
      </c>
    </row>
    <row r="1495" spans="2:3" x14ac:dyDescent="0.3">
      <c r="B1495" s="84" t="s">
        <v>5089</v>
      </c>
      <c r="C1495" s="45" t="s">
        <v>2087</v>
      </c>
    </row>
    <row r="1496" spans="2:3" x14ac:dyDescent="0.3">
      <c r="B1496" s="84" t="s">
        <v>5090</v>
      </c>
      <c r="C1496" s="45" t="s">
        <v>2088</v>
      </c>
    </row>
    <row r="1497" spans="2:3" x14ac:dyDescent="0.3">
      <c r="B1497" s="84" t="s">
        <v>5091</v>
      </c>
      <c r="C1497" s="45" t="s">
        <v>2089</v>
      </c>
    </row>
    <row r="1498" spans="2:3" x14ac:dyDescent="0.3">
      <c r="B1498" s="84" t="s">
        <v>5092</v>
      </c>
      <c r="C1498" s="45" t="s">
        <v>2090</v>
      </c>
    </row>
    <row r="1499" spans="2:3" x14ac:dyDescent="0.3">
      <c r="B1499" s="84" t="s">
        <v>5093</v>
      </c>
      <c r="C1499" s="45" t="s">
        <v>2091</v>
      </c>
    </row>
    <row r="1500" spans="2:3" x14ac:dyDescent="0.3">
      <c r="B1500" s="84" t="s">
        <v>5094</v>
      </c>
      <c r="C1500" s="45" t="s">
        <v>2092</v>
      </c>
    </row>
    <row r="1501" spans="2:3" x14ac:dyDescent="0.3">
      <c r="B1501" s="84" t="s">
        <v>5095</v>
      </c>
      <c r="C1501" s="45" t="s">
        <v>1922</v>
      </c>
    </row>
    <row r="1502" spans="2:3" x14ac:dyDescent="0.3">
      <c r="B1502" s="84" t="s">
        <v>5096</v>
      </c>
      <c r="C1502" s="45" t="s">
        <v>1918</v>
      </c>
    </row>
    <row r="1503" spans="2:3" x14ac:dyDescent="0.3">
      <c r="B1503" s="84" t="s">
        <v>5097</v>
      </c>
      <c r="C1503" s="45" t="s">
        <v>1918</v>
      </c>
    </row>
    <row r="1504" spans="2:3" x14ac:dyDescent="0.3">
      <c r="B1504" s="95" t="s">
        <v>5098</v>
      </c>
      <c r="C1504" s="45" t="s">
        <v>1916</v>
      </c>
    </row>
    <row r="1505" spans="2:3" x14ac:dyDescent="0.3">
      <c r="B1505" s="95" t="s">
        <v>5099</v>
      </c>
      <c r="C1505" s="45" t="s">
        <v>1918</v>
      </c>
    </row>
    <row r="1506" spans="2:3" x14ac:dyDescent="0.3">
      <c r="B1506" s="95" t="s">
        <v>5100</v>
      </c>
      <c r="C1506" s="45" t="s">
        <v>1918</v>
      </c>
    </row>
    <row r="1507" spans="2:3" x14ac:dyDescent="0.3">
      <c r="B1507" s="95" t="s">
        <v>5101</v>
      </c>
      <c r="C1507" s="45" t="s">
        <v>1918</v>
      </c>
    </row>
    <row r="1508" spans="2:3" x14ac:dyDescent="0.3">
      <c r="B1508" s="95" t="s">
        <v>5102</v>
      </c>
      <c r="C1508" s="45" t="s">
        <v>1918</v>
      </c>
    </row>
    <row r="1509" spans="2:3" x14ac:dyDescent="0.3">
      <c r="B1509" s="95" t="s">
        <v>5103</v>
      </c>
      <c r="C1509" s="45" t="s">
        <v>1918</v>
      </c>
    </row>
    <row r="1510" spans="2:3" x14ac:dyDescent="0.3">
      <c r="B1510" s="95" t="s">
        <v>5104</v>
      </c>
      <c r="C1510" s="45" t="s">
        <v>1918</v>
      </c>
    </row>
    <row r="1511" spans="2:3" x14ac:dyDescent="0.3">
      <c r="B1511" s="95" t="s">
        <v>5105</v>
      </c>
      <c r="C1511" s="45" t="s">
        <v>1918</v>
      </c>
    </row>
    <row r="1512" spans="2:3" x14ac:dyDescent="0.3">
      <c r="B1512" s="95" t="s">
        <v>5106</v>
      </c>
      <c r="C1512" s="45" t="s">
        <v>1918</v>
      </c>
    </row>
    <row r="1513" spans="2:3" x14ac:dyDescent="0.3">
      <c r="B1513" s="95" t="s">
        <v>5107</v>
      </c>
      <c r="C1513" s="45" t="s">
        <v>1918</v>
      </c>
    </row>
    <row r="1514" spans="2:3" x14ac:dyDescent="0.3">
      <c r="B1514" s="84" t="s">
        <v>5108</v>
      </c>
      <c r="C1514" s="45" t="s">
        <v>1918</v>
      </c>
    </row>
    <row r="1515" spans="2:3" x14ac:dyDescent="0.3">
      <c r="B1515" s="84" t="s">
        <v>5109</v>
      </c>
      <c r="C1515" s="45"/>
    </row>
    <row r="1516" spans="2:3" x14ac:dyDescent="0.3">
      <c r="B1516" s="84" t="s">
        <v>5110</v>
      </c>
      <c r="C1516" s="45"/>
    </row>
    <row r="1517" spans="2:3" x14ac:dyDescent="0.3">
      <c r="B1517" s="84" t="s">
        <v>5111</v>
      </c>
      <c r="C1517" s="45"/>
    </row>
    <row r="1518" spans="2:3" x14ac:dyDescent="0.3">
      <c r="B1518" s="84" t="s">
        <v>5112</v>
      </c>
      <c r="C1518" s="45"/>
    </row>
    <row r="1519" spans="2:3" x14ac:dyDescent="0.3">
      <c r="B1519" s="84" t="s">
        <v>5113</v>
      </c>
      <c r="C1519" s="45"/>
    </row>
    <row r="1520" spans="2:3" x14ac:dyDescent="0.3">
      <c r="B1520" s="84" t="s">
        <v>5114</v>
      </c>
      <c r="C1520" s="45"/>
    </row>
    <row r="1521" spans="2:3" x14ac:dyDescent="0.3">
      <c r="B1521" s="84" t="s">
        <v>5115</v>
      </c>
      <c r="C1521" s="45"/>
    </row>
    <row r="1522" spans="2:3" x14ac:dyDescent="0.3">
      <c r="B1522" s="84" t="s">
        <v>5116</v>
      </c>
      <c r="C1522" s="45"/>
    </row>
    <row r="1523" spans="2:3" x14ac:dyDescent="0.3">
      <c r="B1523" s="84" t="s">
        <v>5117</v>
      </c>
      <c r="C1523" s="45"/>
    </row>
    <row r="1524" spans="2:3" x14ac:dyDescent="0.3">
      <c r="B1524" s="84" t="s">
        <v>5118</v>
      </c>
      <c r="C1524" s="45"/>
    </row>
    <row r="1525" spans="2:3" x14ac:dyDescent="0.3">
      <c r="B1525" s="84" t="s">
        <v>5119</v>
      </c>
      <c r="C1525" s="45"/>
    </row>
    <row r="1526" spans="2:3" x14ac:dyDescent="0.3">
      <c r="B1526" s="84" t="s">
        <v>5120</v>
      </c>
      <c r="C1526" s="45"/>
    </row>
    <row r="1527" spans="2:3" x14ac:dyDescent="0.3">
      <c r="B1527" s="84" t="s">
        <v>5121</v>
      </c>
      <c r="C1527" s="45"/>
    </row>
    <row r="1528" spans="2:3" x14ac:dyDescent="0.3">
      <c r="B1528" s="84" t="s">
        <v>5122</v>
      </c>
      <c r="C1528" s="45"/>
    </row>
    <row r="1529" spans="2:3" x14ac:dyDescent="0.3">
      <c r="B1529" s="84" t="s">
        <v>5123</v>
      </c>
      <c r="C1529" s="45"/>
    </row>
    <row r="1530" spans="2:3" x14ac:dyDescent="0.3">
      <c r="B1530" s="84" t="s">
        <v>5124</v>
      </c>
      <c r="C1530" s="45"/>
    </row>
    <row r="1531" spans="2:3" x14ac:dyDescent="0.3">
      <c r="B1531" s="84" t="s">
        <v>5125</v>
      </c>
      <c r="C1531" s="45"/>
    </row>
    <row r="1532" spans="2:3" x14ac:dyDescent="0.3">
      <c r="B1532" s="84" t="s">
        <v>5126</v>
      </c>
      <c r="C1532" s="45"/>
    </row>
    <row r="1533" spans="2:3" x14ac:dyDescent="0.3">
      <c r="B1533" s="84" t="s">
        <v>5127</v>
      </c>
      <c r="C1533" s="45"/>
    </row>
    <row r="1534" spans="2:3" x14ac:dyDescent="0.3">
      <c r="B1534" s="84" t="s">
        <v>5128</v>
      </c>
      <c r="C1534" s="45"/>
    </row>
    <row r="1535" spans="2:3" x14ac:dyDescent="0.3">
      <c r="B1535" s="84" t="s">
        <v>5129</v>
      </c>
      <c r="C1535" s="45"/>
    </row>
    <row r="1536" spans="2:3" x14ac:dyDescent="0.3">
      <c r="B1536" s="84" t="s">
        <v>5130</v>
      </c>
      <c r="C1536" s="45"/>
    </row>
    <row r="1537" spans="2:3" x14ac:dyDescent="0.3">
      <c r="B1537" s="84" t="s">
        <v>5131</v>
      </c>
      <c r="C1537" s="45"/>
    </row>
    <row r="1538" spans="2:3" x14ac:dyDescent="0.3">
      <c r="B1538" s="84" t="s">
        <v>5132</v>
      </c>
      <c r="C1538" s="45"/>
    </row>
    <row r="1539" spans="2:3" x14ac:dyDescent="0.3">
      <c r="B1539" s="84" t="s">
        <v>5133</v>
      </c>
      <c r="C1539" s="45"/>
    </row>
    <row r="1540" spans="2:3" x14ac:dyDescent="0.3">
      <c r="B1540" s="84" t="s">
        <v>5134</v>
      </c>
      <c r="C1540" s="45"/>
    </row>
    <row r="1541" spans="2:3" x14ac:dyDescent="0.3">
      <c r="B1541" s="84" t="s">
        <v>5135</v>
      </c>
      <c r="C1541" s="45"/>
    </row>
    <row r="1542" spans="2:3" x14ac:dyDescent="0.3">
      <c r="B1542" s="84" t="s">
        <v>5136</v>
      </c>
      <c r="C1542" s="45"/>
    </row>
    <row r="1543" spans="2:3" x14ac:dyDescent="0.3">
      <c r="B1543" s="84" t="s">
        <v>5137</v>
      </c>
      <c r="C1543" s="45"/>
    </row>
    <row r="1544" spans="2:3" x14ac:dyDescent="0.3">
      <c r="B1544" s="84" t="s">
        <v>5138</v>
      </c>
      <c r="C1544" s="45"/>
    </row>
    <row r="1545" spans="2:3" x14ac:dyDescent="0.3">
      <c r="B1545" s="84" t="s">
        <v>5139</v>
      </c>
      <c r="C1545" s="45"/>
    </row>
    <row r="1546" spans="2:3" x14ac:dyDescent="0.3">
      <c r="B1546" s="84" t="s">
        <v>5140</v>
      </c>
      <c r="C1546" s="45"/>
    </row>
    <row r="1547" spans="2:3" x14ac:dyDescent="0.3">
      <c r="B1547" s="84" t="s">
        <v>5141</v>
      </c>
      <c r="C1547" s="45"/>
    </row>
    <row r="1548" spans="2:3" x14ac:dyDescent="0.3">
      <c r="B1548" s="84" t="s">
        <v>5142</v>
      </c>
      <c r="C1548" s="45"/>
    </row>
    <row r="1549" spans="2:3" x14ac:dyDescent="0.3">
      <c r="B1549" s="84" t="s">
        <v>5143</v>
      </c>
      <c r="C1549" s="45"/>
    </row>
    <row r="1550" spans="2:3" x14ac:dyDescent="0.3">
      <c r="B1550" s="84" t="s">
        <v>5144</v>
      </c>
      <c r="C1550" s="45"/>
    </row>
    <row r="1551" spans="2:3" x14ac:dyDescent="0.3">
      <c r="B1551" s="84" t="s">
        <v>5145</v>
      </c>
      <c r="C1551" s="45"/>
    </row>
    <row r="1552" spans="2:3" x14ac:dyDescent="0.3">
      <c r="B1552" s="84" t="s">
        <v>5146</v>
      </c>
      <c r="C1552" s="45"/>
    </row>
    <row r="1553" spans="2:3" x14ac:dyDescent="0.3">
      <c r="B1553" s="84" t="s">
        <v>5147</v>
      </c>
      <c r="C1553" s="45"/>
    </row>
    <row r="1554" spans="2:3" x14ac:dyDescent="0.3">
      <c r="B1554" s="84" t="s">
        <v>5148</v>
      </c>
      <c r="C1554" s="45"/>
    </row>
    <row r="1555" spans="2:3" x14ac:dyDescent="0.3">
      <c r="B1555" s="84" t="s">
        <v>5149</v>
      </c>
      <c r="C1555" s="45"/>
    </row>
    <row r="1556" spans="2:3" x14ac:dyDescent="0.3">
      <c r="B1556" s="84" t="s">
        <v>5150</v>
      </c>
      <c r="C1556" s="45"/>
    </row>
    <row r="1557" spans="2:3" x14ac:dyDescent="0.3">
      <c r="B1557" s="84" t="s">
        <v>5151</v>
      </c>
      <c r="C1557" s="45"/>
    </row>
    <row r="1558" spans="2:3" x14ac:dyDescent="0.3">
      <c r="B1558" s="84" t="s">
        <v>5152</v>
      </c>
      <c r="C1558" s="45"/>
    </row>
    <row r="1559" spans="2:3" x14ac:dyDescent="0.3">
      <c r="B1559" s="84" t="s">
        <v>5153</v>
      </c>
      <c r="C1559" s="45"/>
    </row>
    <row r="1560" spans="2:3" x14ac:dyDescent="0.3">
      <c r="B1560" s="84" t="s">
        <v>5154</v>
      </c>
      <c r="C1560" s="45"/>
    </row>
    <row r="1561" spans="2:3" x14ac:dyDescent="0.3">
      <c r="B1561" s="84" t="s">
        <v>5155</v>
      </c>
      <c r="C1561" s="45"/>
    </row>
    <row r="1562" spans="2:3" x14ac:dyDescent="0.3">
      <c r="B1562" s="84" t="s">
        <v>5156</v>
      </c>
      <c r="C1562" s="45"/>
    </row>
    <row r="1563" spans="2:3" x14ac:dyDescent="0.3">
      <c r="B1563" s="84" t="s">
        <v>5157</v>
      </c>
      <c r="C1563" s="45"/>
    </row>
    <row r="1564" spans="2:3" x14ac:dyDescent="0.3">
      <c r="B1564" s="84" t="s">
        <v>5158</v>
      </c>
      <c r="C1564" s="45"/>
    </row>
    <row r="1565" spans="2:3" x14ac:dyDescent="0.3">
      <c r="B1565" s="84" t="s">
        <v>5159</v>
      </c>
      <c r="C1565" s="45"/>
    </row>
    <row r="1566" spans="2:3" x14ac:dyDescent="0.3">
      <c r="B1566" s="84" t="s">
        <v>5160</v>
      </c>
      <c r="C1566" s="45"/>
    </row>
    <row r="1567" spans="2:3" x14ac:dyDescent="0.3">
      <c r="B1567" s="84" t="s">
        <v>5161</v>
      </c>
      <c r="C1567" s="45"/>
    </row>
    <row r="1568" spans="2:3" x14ac:dyDescent="0.3">
      <c r="B1568" s="84" t="s">
        <v>5162</v>
      </c>
      <c r="C1568" s="45"/>
    </row>
    <row r="1569" spans="2:3" x14ac:dyDescent="0.3">
      <c r="B1569" s="84" t="s">
        <v>5163</v>
      </c>
      <c r="C1569" s="45"/>
    </row>
    <row r="1570" spans="2:3" x14ac:dyDescent="0.3">
      <c r="B1570" s="84" t="s">
        <v>5164</v>
      </c>
      <c r="C1570" s="45"/>
    </row>
    <row r="1571" spans="2:3" x14ac:dyDescent="0.3">
      <c r="B1571" s="84" t="s">
        <v>5165</v>
      </c>
      <c r="C1571" s="45"/>
    </row>
    <row r="1572" spans="2:3" x14ac:dyDescent="0.3">
      <c r="B1572" s="84" t="s">
        <v>5166</v>
      </c>
      <c r="C1572" s="45"/>
    </row>
    <row r="1573" spans="2:3" x14ac:dyDescent="0.3">
      <c r="B1573" s="84" t="s">
        <v>5167</v>
      </c>
      <c r="C1573" s="45"/>
    </row>
    <row r="1574" spans="2:3" x14ac:dyDescent="0.3">
      <c r="B1574" s="84" t="s">
        <v>5168</v>
      </c>
      <c r="C1574" s="45"/>
    </row>
    <row r="1575" spans="2:3" x14ac:dyDescent="0.3">
      <c r="B1575" s="84" t="s">
        <v>5169</v>
      </c>
      <c r="C1575" s="45"/>
    </row>
    <row r="1576" spans="2:3" x14ac:dyDescent="0.3">
      <c r="B1576" s="84" t="s">
        <v>5170</v>
      </c>
      <c r="C1576" s="45"/>
    </row>
    <row r="1577" spans="2:3" x14ac:dyDescent="0.3">
      <c r="B1577" s="84" t="s">
        <v>5171</v>
      </c>
      <c r="C1577" s="45"/>
    </row>
    <row r="1578" spans="2:3" x14ac:dyDescent="0.3">
      <c r="B1578" s="84" t="s">
        <v>5172</v>
      </c>
      <c r="C1578" s="45"/>
    </row>
    <row r="1579" spans="2:3" x14ac:dyDescent="0.3">
      <c r="B1579" s="84" t="s">
        <v>5173</v>
      </c>
      <c r="C1579" s="45"/>
    </row>
    <row r="1580" spans="2:3" x14ac:dyDescent="0.3">
      <c r="B1580" s="84" t="s">
        <v>5174</v>
      </c>
      <c r="C1580" s="45"/>
    </row>
    <row r="1581" spans="2:3" x14ac:dyDescent="0.3">
      <c r="B1581" s="84" t="s">
        <v>5175</v>
      </c>
      <c r="C1581" s="45"/>
    </row>
    <row r="1582" spans="2:3" x14ac:dyDescent="0.3">
      <c r="B1582" s="84" t="s">
        <v>5176</v>
      </c>
      <c r="C1582" s="45"/>
    </row>
    <row r="1583" spans="2:3" x14ac:dyDescent="0.3">
      <c r="B1583" s="84" t="s">
        <v>5177</v>
      </c>
      <c r="C1583" s="45"/>
    </row>
    <row r="1584" spans="2:3" x14ac:dyDescent="0.3">
      <c r="B1584" s="84" t="s">
        <v>5178</v>
      </c>
      <c r="C1584" s="45"/>
    </row>
    <row r="1585" spans="2:3" x14ac:dyDescent="0.3">
      <c r="B1585" s="84" t="s">
        <v>5179</v>
      </c>
      <c r="C1585" s="45"/>
    </row>
    <row r="1586" spans="2:3" x14ac:dyDescent="0.3">
      <c r="B1586" s="84" t="s">
        <v>5180</v>
      </c>
      <c r="C1586" s="45"/>
    </row>
    <row r="1587" spans="2:3" x14ac:dyDescent="0.3">
      <c r="B1587" s="84" t="s">
        <v>5181</v>
      </c>
      <c r="C1587" s="45"/>
    </row>
    <row r="1588" spans="2:3" x14ac:dyDescent="0.3">
      <c r="B1588" s="84" t="s">
        <v>5182</v>
      </c>
      <c r="C1588" s="45"/>
    </row>
    <row r="1589" spans="2:3" x14ac:dyDescent="0.3">
      <c r="B1589" s="84" t="s">
        <v>5183</v>
      </c>
      <c r="C1589" s="45"/>
    </row>
    <row r="1590" spans="2:3" x14ac:dyDescent="0.3">
      <c r="B1590" s="84" t="s">
        <v>5184</v>
      </c>
      <c r="C1590" s="45"/>
    </row>
    <row r="1591" spans="2:3" x14ac:dyDescent="0.3">
      <c r="B1591" s="84" t="s">
        <v>5185</v>
      </c>
      <c r="C1591" s="45"/>
    </row>
    <row r="1592" spans="2:3" x14ac:dyDescent="0.3">
      <c r="B1592" s="84" t="s">
        <v>5186</v>
      </c>
      <c r="C1592" s="45"/>
    </row>
    <row r="1593" spans="2:3" x14ac:dyDescent="0.3">
      <c r="B1593" s="84" t="s">
        <v>5187</v>
      </c>
      <c r="C1593" s="45"/>
    </row>
    <row r="1594" spans="2:3" x14ac:dyDescent="0.3">
      <c r="B1594" s="84" t="s">
        <v>5188</v>
      </c>
      <c r="C1594" s="45"/>
    </row>
    <row r="1595" spans="2:3" x14ac:dyDescent="0.3">
      <c r="B1595" s="84" t="s">
        <v>5189</v>
      </c>
      <c r="C1595" s="45"/>
    </row>
    <row r="1596" spans="2:3" x14ac:dyDescent="0.3">
      <c r="B1596" s="84" t="s">
        <v>5190</v>
      </c>
      <c r="C1596" s="45"/>
    </row>
    <row r="1597" spans="2:3" x14ac:dyDescent="0.3">
      <c r="B1597" s="84" t="s">
        <v>5191</v>
      </c>
      <c r="C1597" s="45"/>
    </row>
    <row r="1598" spans="2:3" x14ac:dyDescent="0.3">
      <c r="B1598" s="84" t="s">
        <v>5192</v>
      </c>
      <c r="C1598" s="45"/>
    </row>
    <row r="1599" spans="2:3" x14ac:dyDescent="0.3">
      <c r="B1599" s="84" t="s">
        <v>5193</v>
      </c>
      <c r="C1599" s="45"/>
    </row>
    <row r="1600" spans="2:3" x14ac:dyDescent="0.3">
      <c r="B1600" s="84" t="s">
        <v>5194</v>
      </c>
      <c r="C1600" s="45"/>
    </row>
    <row r="1601" spans="2:3" x14ac:dyDescent="0.3">
      <c r="B1601" s="84" t="s">
        <v>5195</v>
      </c>
      <c r="C1601" s="45"/>
    </row>
    <row r="1602" spans="2:3" x14ac:dyDescent="0.3">
      <c r="B1602" s="84" t="s">
        <v>5196</v>
      </c>
      <c r="C1602" s="45"/>
    </row>
    <row r="1603" spans="2:3" x14ac:dyDescent="0.3">
      <c r="B1603" s="84" t="s">
        <v>5197</v>
      </c>
      <c r="C1603" s="45"/>
    </row>
    <row r="1604" spans="2:3" x14ac:dyDescent="0.3">
      <c r="B1604" s="84" t="s">
        <v>5198</v>
      </c>
      <c r="C1604" s="45"/>
    </row>
    <row r="1605" spans="2:3" x14ac:dyDescent="0.3">
      <c r="B1605" s="84" t="s">
        <v>5199</v>
      </c>
      <c r="C1605" s="45"/>
    </row>
    <row r="1606" spans="2:3" x14ac:dyDescent="0.3">
      <c r="B1606" s="84" t="s">
        <v>5200</v>
      </c>
      <c r="C1606" s="45"/>
    </row>
    <row r="1607" spans="2:3" x14ac:dyDescent="0.3">
      <c r="B1607" s="84" t="s">
        <v>5201</v>
      </c>
      <c r="C1607" s="45"/>
    </row>
    <row r="1608" spans="2:3" x14ac:dyDescent="0.3">
      <c r="B1608" s="84" t="s">
        <v>5202</v>
      </c>
      <c r="C1608" s="45"/>
    </row>
    <row r="1609" spans="2:3" x14ac:dyDescent="0.3">
      <c r="B1609" s="84" t="s">
        <v>5203</v>
      </c>
      <c r="C1609" s="45"/>
    </row>
    <row r="1610" spans="2:3" x14ac:dyDescent="0.3">
      <c r="B1610" s="84" t="s">
        <v>5204</v>
      </c>
      <c r="C1610" s="45"/>
    </row>
    <row r="1611" spans="2:3" x14ac:dyDescent="0.3">
      <c r="B1611" s="84" t="s">
        <v>5205</v>
      </c>
      <c r="C1611" s="45"/>
    </row>
    <row r="1612" spans="2:3" x14ac:dyDescent="0.3">
      <c r="B1612" s="84" t="s">
        <v>5206</v>
      </c>
      <c r="C1612" s="45"/>
    </row>
    <row r="1613" spans="2:3" x14ac:dyDescent="0.3">
      <c r="B1613" s="84" t="s">
        <v>5207</v>
      </c>
      <c r="C1613" s="45"/>
    </row>
    <row r="1614" spans="2:3" x14ac:dyDescent="0.3">
      <c r="B1614" s="84" t="s">
        <v>5208</v>
      </c>
      <c r="C1614" s="45"/>
    </row>
    <row r="1615" spans="2:3" x14ac:dyDescent="0.3">
      <c r="B1615" s="84" t="s">
        <v>5209</v>
      </c>
      <c r="C1615" s="45"/>
    </row>
    <row r="1616" spans="2:3" x14ac:dyDescent="0.3">
      <c r="B1616" s="84" t="s">
        <v>5210</v>
      </c>
      <c r="C1616" s="45"/>
    </row>
    <row r="1617" spans="2:3" x14ac:dyDescent="0.3">
      <c r="B1617" s="84" t="s">
        <v>5211</v>
      </c>
      <c r="C1617" s="45"/>
    </row>
    <row r="1618" spans="2:3" x14ac:dyDescent="0.3">
      <c r="B1618" s="84" t="s">
        <v>5212</v>
      </c>
      <c r="C1618" s="45"/>
    </row>
    <row r="1619" spans="2:3" x14ac:dyDescent="0.3">
      <c r="B1619" s="84" t="s">
        <v>5213</v>
      </c>
      <c r="C1619" s="45"/>
    </row>
    <row r="1620" spans="2:3" x14ac:dyDescent="0.3">
      <c r="B1620" s="84" t="s">
        <v>5214</v>
      </c>
      <c r="C1620" s="45"/>
    </row>
    <row r="1621" spans="2:3" x14ac:dyDescent="0.3">
      <c r="B1621" s="84" t="s">
        <v>5215</v>
      </c>
      <c r="C1621" s="45"/>
    </row>
    <row r="1622" spans="2:3" x14ac:dyDescent="0.3">
      <c r="B1622" s="84" t="s">
        <v>5216</v>
      </c>
      <c r="C1622" s="45"/>
    </row>
    <row r="1623" spans="2:3" x14ac:dyDescent="0.3">
      <c r="B1623" s="84" t="s">
        <v>5217</v>
      </c>
    </row>
    <row r="1624" spans="2:3" x14ac:dyDescent="0.3">
      <c r="B1624" s="84" t="s">
        <v>5218</v>
      </c>
    </row>
    <row r="1625" spans="2:3" x14ac:dyDescent="0.3">
      <c r="B1625" s="84" t="s">
        <v>5219</v>
      </c>
    </row>
    <row r="1626" spans="2:3" x14ac:dyDescent="0.3">
      <c r="B1626" s="84" t="s">
        <v>5220</v>
      </c>
    </row>
    <row r="1627" spans="2:3" x14ac:dyDescent="0.3">
      <c r="B1627" s="84" t="s">
        <v>5221</v>
      </c>
    </row>
    <row r="1628" spans="2:3" x14ac:dyDescent="0.3">
      <c r="B1628" s="84" t="s">
        <v>5222</v>
      </c>
    </row>
    <row r="1629" spans="2:3" x14ac:dyDescent="0.3">
      <c r="B1629" s="84" t="s">
        <v>5223</v>
      </c>
    </row>
    <row r="1630" spans="2:3" x14ac:dyDescent="0.3">
      <c r="B1630" s="84" t="s">
        <v>5224</v>
      </c>
    </row>
    <row r="1631" spans="2:3" x14ac:dyDescent="0.3">
      <c r="B1631" s="84" t="s">
        <v>5225</v>
      </c>
    </row>
    <row r="1632" spans="2:3" x14ac:dyDescent="0.3">
      <c r="B1632" s="84" t="s">
        <v>5226</v>
      </c>
    </row>
    <row r="1633" spans="2:2" x14ac:dyDescent="0.3">
      <c r="B1633" s="84" t="s">
        <v>5227</v>
      </c>
    </row>
    <row r="1634" spans="2:2" x14ac:dyDescent="0.3">
      <c r="B1634" s="84" t="s">
        <v>5228</v>
      </c>
    </row>
    <row r="1635" spans="2:2" x14ac:dyDescent="0.3">
      <c r="B1635" s="84" t="s">
        <v>5229</v>
      </c>
    </row>
    <row r="1636" spans="2:2" x14ac:dyDescent="0.3">
      <c r="B1636" s="84" t="s">
        <v>5230</v>
      </c>
    </row>
    <row r="1637" spans="2:2" x14ac:dyDescent="0.3">
      <c r="B1637" s="84" t="s">
        <v>5231</v>
      </c>
    </row>
    <row r="1638" spans="2:2" x14ac:dyDescent="0.3">
      <c r="B1638" s="84" t="s">
        <v>5232</v>
      </c>
    </row>
    <row r="1639" spans="2:2" x14ac:dyDescent="0.3">
      <c r="B1639" s="84" t="s">
        <v>5233</v>
      </c>
    </row>
    <row r="1640" spans="2:2" x14ac:dyDescent="0.3">
      <c r="B1640" s="84" t="s">
        <v>5234</v>
      </c>
    </row>
    <row r="1641" spans="2:2" x14ac:dyDescent="0.3">
      <c r="B1641" s="84" t="s">
        <v>5235</v>
      </c>
    </row>
    <row r="1642" spans="2:2" x14ac:dyDescent="0.3">
      <c r="B1642" s="84" t="s">
        <v>5236</v>
      </c>
    </row>
    <row r="1643" spans="2:2" x14ac:dyDescent="0.3">
      <c r="B1643" s="84" t="s">
        <v>5237</v>
      </c>
    </row>
    <row r="1644" spans="2:2" x14ac:dyDescent="0.3">
      <c r="B1644" s="84" t="s">
        <v>5238</v>
      </c>
    </row>
    <row r="1645" spans="2:2" x14ac:dyDescent="0.3">
      <c r="B1645" s="84" t="s">
        <v>5239</v>
      </c>
    </row>
    <row r="1646" spans="2:2" x14ac:dyDescent="0.3">
      <c r="B1646" s="84" t="s">
        <v>1938</v>
      </c>
    </row>
    <row r="1647" spans="2:2" x14ac:dyDescent="0.3">
      <c r="B1647" s="84" t="s">
        <v>5240</v>
      </c>
    </row>
    <row r="1648" spans="2:2" x14ac:dyDescent="0.3">
      <c r="B1648" s="84" t="s">
        <v>5241</v>
      </c>
    </row>
    <row r="1649" spans="2:2" x14ac:dyDescent="0.3">
      <c r="B1649" s="84" t="s">
        <v>5242</v>
      </c>
    </row>
    <row r="1650" spans="2:2" x14ac:dyDescent="0.3">
      <c r="B1650" s="84" t="s">
        <v>5243</v>
      </c>
    </row>
    <row r="1651" spans="2:2" x14ac:dyDescent="0.3">
      <c r="B1651" s="84" t="s">
        <v>5244</v>
      </c>
    </row>
    <row r="1652" spans="2:2" x14ac:dyDescent="0.3">
      <c r="B1652" s="84" t="s">
        <v>5245</v>
      </c>
    </row>
    <row r="1653" spans="2:2" x14ac:dyDescent="0.3">
      <c r="B1653" s="84" t="s">
        <v>5246</v>
      </c>
    </row>
    <row r="1654" spans="2:2" x14ac:dyDescent="0.3">
      <c r="B1654" s="84" t="s">
        <v>5247</v>
      </c>
    </row>
    <row r="1655" spans="2:2" x14ac:dyDescent="0.3">
      <c r="B1655" s="84" t="s">
        <v>5248</v>
      </c>
    </row>
    <row r="1656" spans="2:2" x14ac:dyDescent="0.3">
      <c r="B1656" s="84" t="s">
        <v>5249</v>
      </c>
    </row>
    <row r="1657" spans="2:2" x14ac:dyDescent="0.3">
      <c r="B1657" s="84" t="s">
        <v>5250</v>
      </c>
    </row>
    <row r="1658" spans="2:2" x14ac:dyDescent="0.3">
      <c r="B1658" s="84" t="s">
        <v>5251</v>
      </c>
    </row>
    <row r="1659" spans="2:2" x14ac:dyDescent="0.3">
      <c r="B1659" s="84" t="s">
        <v>5252</v>
      </c>
    </row>
    <row r="1660" spans="2:2" x14ac:dyDescent="0.3">
      <c r="B1660" s="84" t="s">
        <v>5253</v>
      </c>
    </row>
    <row r="1661" spans="2:2" x14ac:dyDescent="0.3">
      <c r="B1661" s="84" t="s">
        <v>5254</v>
      </c>
    </row>
    <row r="1662" spans="2:2" x14ac:dyDescent="0.3">
      <c r="B1662" s="84" t="s">
        <v>5255</v>
      </c>
    </row>
    <row r="1663" spans="2:2" x14ac:dyDescent="0.3">
      <c r="B1663" s="84" t="s">
        <v>5256</v>
      </c>
    </row>
    <row r="1664" spans="2:2" x14ac:dyDescent="0.3">
      <c r="B1664" s="84" t="s">
        <v>5257</v>
      </c>
    </row>
    <row r="1665" spans="2:2" x14ac:dyDescent="0.3">
      <c r="B1665" s="84" t="s">
        <v>5258</v>
      </c>
    </row>
    <row r="1666" spans="2:2" x14ac:dyDescent="0.3">
      <c r="B1666" s="84" t="s">
        <v>5259</v>
      </c>
    </row>
    <row r="1667" spans="2:2" x14ac:dyDescent="0.3">
      <c r="B1667" s="84" t="s">
        <v>5260</v>
      </c>
    </row>
    <row r="1668" spans="2:2" x14ac:dyDescent="0.3">
      <c r="B1668" s="84" t="s">
        <v>5261</v>
      </c>
    </row>
    <row r="1669" spans="2:2" x14ac:dyDescent="0.3">
      <c r="B1669" s="84" t="s">
        <v>5262</v>
      </c>
    </row>
    <row r="1670" spans="2:2" x14ac:dyDescent="0.3">
      <c r="B1670" s="84" t="s">
        <v>5263</v>
      </c>
    </row>
    <row r="1671" spans="2:2" x14ac:dyDescent="0.3">
      <c r="B1671" s="84" t="s">
        <v>5264</v>
      </c>
    </row>
    <row r="1672" spans="2:2" x14ac:dyDescent="0.3">
      <c r="B1672" s="84" t="s">
        <v>5265</v>
      </c>
    </row>
    <row r="1673" spans="2:2" x14ac:dyDescent="0.3">
      <c r="B1673" s="84" t="s">
        <v>5266</v>
      </c>
    </row>
    <row r="1674" spans="2:2" x14ac:dyDescent="0.3">
      <c r="B1674" s="84" t="s">
        <v>5267</v>
      </c>
    </row>
    <row r="1675" spans="2:2" x14ac:dyDescent="0.3">
      <c r="B1675" s="84" t="s">
        <v>5268</v>
      </c>
    </row>
    <row r="1676" spans="2:2" x14ac:dyDescent="0.3">
      <c r="B1676" s="84" t="s">
        <v>5269</v>
      </c>
    </row>
    <row r="1677" spans="2:2" x14ac:dyDescent="0.3">
      <c r="B1677" s="84" t="s">
        <v>5270</v>
      </c>
    </row>
    <row r="1678" spans="2:2" x14ac:dyDescent="0.3">
      <c r="B1678" s="84" t="s">
        <v>5271</v>
      </c>
    </row>
    <row r="1679" spans="2:2" x14ac:dyDescent="0.3">
      <c r="B1679" s="84" t="s">
        <v>5272</v>
      </c>
    </row>
    <row r="1680" spans="2:2" x14ac:dyDescent="0.3">
      <c r="B1680" s="84" t="s">
        <v>5273</v>
      </c>
    </row>
    <row r="1681" spans="2:2" x14ac:dyDescent="0.3">
      <c r="B1681" s="84" t="s">
        <v>5274</v>
      </c>
    </row>
    <row r="1682" spans="2:2" x14ac:dyDescent="0.3">
      <c r="B1682" s="84" t="s">
        <v>5275</v>
      </c>
    </row>
    <row r="1683" spans="2:2" x14ac:dyDescent="0.3">
      <c r="B1683" s="84" t="s">
        <v>5276</v>
      </c>
    </row>
    <row r="1684" spans="2:2" x14ac:dyDescent="0.3">
      <c r="B1684" s="84" t="s">
        <v>5277</v>
      </c>
    </row>
    <row r="1685" spans="2:2" x14ac:dyDescent="0.3">
      <c r="B1685" s="84" t="s">
        <v>5278</v>
      </c>
    </row>
    <row r="1686" spans="2:2" x14ac:dyDescent="0.3">
      <c r="B1686" s="84" t="s">
        <v>5279</v>
      </c>
    </row>
    <row r="1687" spans="2:2" x14ac:dyDescent="0.3">
      <c r="B1687" s="84" t="s">
        <v>5280</v>
      </c>
    </row>
    <row r="1688" spans="2:2" x14ac:dyDescent="0.3">
      <c r="B1688" s="84" t="s">
        <v>5281</v>
      </c>
    </row>
    <row r="1689" spans="2:2" x14ac:dyDescent="0.3">
      <c r="B1689" s="84" t="s">
        <v>5282</v>
      </c>
    </row>
    <row r="1690" spans="2:2" x14ac:dyDescent="0.3">
      <c r="B1690" s="84" t="s">
        <v>5283</v>
      </c>
    </row>
    <row r="1691" spans="2:2" x14ac:dyDescent="0.3">
      <c r="B1691" s="84" t="s">
        <v>5284</v>
      </c>
    </row>
    <row r="1692" spans="2:2" x14ac:dyDescent="0.3">
      <c r="B1692" s="84" t="s">
        <v>5285</v>
      </c>
    </row>
    <row r="1693" spans="2:2" x14ac:dyDescent="0.3">
      <c r="B1693" s="84" t="s">
        <v>5286</v>
      </c>
    </row>
    <row r="1694" spans="2:2" x14ac:dyDescent="0.3">
      <c r="B1694" s="84" t="s">
        <v>5287</v>
      </c>
    </row>
    <row r="1695" spans="2:2" x14ac:dyDescent="0.3">
      <c r="B1695" s="84" t="s">
        <v>5288</v>
      </c>
    </row>
    <row r="1696" spans="2:2" x14ac:dyDescent="0.3">
      <c r="B1696" s="84" t="s">
        <v>5289</v>
      </c>
    </row>
    <row r="1697" spans="2:2" x14ac:dyDescent="0.3">
      <c r="B1697" s="84" t="s">
        <v>5290</v>
      </c>
    </row>
    <row r="1698" spans="2:2" x14ac:dyDescent="0.3">
      <c r="B1698" s="84" t="s">
        <v>5291</v>
      </c>
    </row>
    <row r="1699" spans="2:2" x14ac:dyDescent="0.3">
      <c r="B1699" s="84" t="s">
        <v>5292</v>
      </c>
    </row>
    <row r="1700" spans="2:2" x14ac:dyDescent="0.3">
      <c r="B1700" s="84" t="s">
        <v>5293</v>
      </c>
    </row>
    <row r="1701" spans="2:2" x14ac:dyDescent="0.3">
      <c r="B1701" s="84" t="s">
        <v>5294</v>
      </c>
    </row>
    <row r="1702" spans="2:2" x14ac:dyDescent="0.3">
      <c r="B1702" s="84" t="s">
        <v>5295</v>
      </c>
    </row>
    <row r="1703" spans="2:2" x14ac:dyDescent="0.3">
      <c r="B1703" s="84" t="s">
        <v>5296</v>
      </c>
    </row>
    <row r="1704" spans="2:2" x14ac:dyDescent="0.3">
      <c r="B1704" s="84" t="s">
        <v>5297</v>
      </c>
    </row>
    <row r="1705" spans="2:2" x14ac:dyDescent="0.3">
      <c r="B1705" s="84" t="s">
        <v>5298</v>
      </c>
    </row>
    <row r="1706" spans="2:2" x14ac:dyDescent="0.3">
      <c r="B1706" s="84" t="s">
        <v>5299</v>
      </c>
    </row>
    <row r="1707" spans="2:2" x14ac:dyDescent="0.3">
      <c r="B1707" s="84" t="s">
        <v>5300</v>
      </c>
    </row>
    <row r="1708" spans="2:2" x14ac:dyDescent="0.3">
      <c r="B1708" s="84" t="s">
        <v>5301</v>
      </c>
    </row>
    <row r="1709" spans="2:2" x14ac:dyDescent="0.3">
      <c r="B1709" s="84" t="s">
        <v>5302</v>
      </c>
    </row>
    <row r="1710" spans="2:2" x14ac:dyDescent="0.3">
      <c r="B1710" s="84" t="s">
        <v>5303</v>
      </c>
    </row>
    <row r="1711" spans="2:2" x14ac:dyDescent="0.3">
      <c r="B1711" s="84" t="s">
        <v>5304</v>
      </c>
    </row>
    <row r="1712" spans="2:2" x14ac:dyDescent="0.3">
      <c r="B1712" s="84" t="s">
        <v>5305</v>
      </c>
    </row>
    <row r="1713" spans="2:2" x14ac:dyDescent="0.3">
      <c r="B1713" s="84" t="s">
        <v>5306</v>
      </c>
    </row>
    <row r="1714" spans="2:2" x14ac:dyDescent="0.3">
      <c r="B1714" s="84" t="s">
        <v>5307</v>
      </c>
    </row>
    <row r="1715" spans="2:2" x14ac:dyDescent="0.3">
      <c r="B1715" s="84" t="s">
        <v>5308</v>
      </c>
    </row>
    <row r="1716" spans="2:2" x14ac:dyDescent="0.3">
      <c r="B1716" s="84" t="s">
        <v>5309</v>
      </c>
    </row>
    <row r="1717" spans="2:2" x14ac:dyDescent="0.3">
      <c r="B1717" s="84" t="s">
        <v>5310</v>
      </c>
    </row>
    <row r="1718" spans="2:2" x14ac:dyDescent="0.3">
      <c r="B1718" s="84" t="s">
        <v>5311</v>
      </c>
    </row>
    <row r="1719" spans="2:2" x14ac:dyDescent="0.3">
      <c r="B1719" s="84" t="s">
        <v>5312</v>
      </c>
    </row>
    <row r="1720" spans="2:2" x14ac:dyDescent="0.3">
      <c r="B1720" s="84" t="s">
        <v>5313</v>
      </c>
    </row>
    <row r="1721" spans="2:2" x14ac:dyDescent="0.3">
      <c r="B1721" s="84" t="s">
        <v>5314</v>
      </c>
    </row>
    <row r="1722" spans="2:2" x14ac:dyDescent="0.3">
      <c r="B1722" s="84" t="s">
        <v>5315</v>
      </c>
    </row>
    <row r="1723" spans="2:2" x14ac:dyDescent="0.3">
      <c r="B1723" s="84" t="s">
        <v>5316</v>
      </c>
    </row>
    <row r="1724" spans="2:2" x14ac:dyDescent="0.3">
      <c r="B1724" s="84" t="s">
        <v>5317</v>
      </c>
    </row>
    <row r="1725" spans="2:2" x14ac:dyDescent="0.3">
      <c r="B1725" s="84" t="s">
        <v>5318</v>
      </c>
    </row>
    <row r="1726" spans="2:2" x14ac:dyDescent="0.3">
      <c r="B1726" s="84" t="s">
        <v>5319</v>
      </c>
    </row>
    <row r="1727" spans="2:2" x14ac:dyDescent="0.3">
      <c r="B1727" s="84" t="s">
        <v>5320</v>
      </c>
    </row>
    <row r="1728" spans="2:2" x14ac:dyDescent="0.3">
      <c r="B1728" s="84" t="s">
        <v>5321</v>
      </c>
    </row>
    <row r="1729" spans="2:2" x14ac:dyDescent="0.3">
      <c r="B1729" s="84" t="s">
        <v>5322</v>
      </c>
    </row>
    <row r="1730" spans="2:2" x14ac:dyDescent="0.3">
      <c r="B1730" s="84" t="s">
        <v>5323</v>
      </c>
    </row>
    <row r="1731" spans="2:2" x14ac:dyDescent="0.3">
      <c r="B1731" s="84" t="s">
        <v>5324</v>
      </c>
    </row>
    <row r="1732" spans="2:2" x14ac:dyDescent="0.3">
      <c r="B1732" s="84" t="s">
        <v>5325</v>
      </c>
    </row>
    <row r="1733" spans="2:2" x14ac:dyDescent="0.3">
      <c r="B1733" s="84" t="s">
        <v>5326</v>
      </c>
    </row>
    <row r="1734" spans="2:2" x14ac:dyDescent="0.3">
      <c r="B1734" s="84" t="s">
        <v>5327</v>
      </c>
    </row>
    <row r="1735" spans="2:2" x14ac:dyDescent="0.3">
      <c r="B1735" s="84" t="s">
        <v>5328</v>
      </c>
    </row>
    <row r="1736" spans="2:2" x14ac:dyDescent="0.3">
      <c r="B1736" s="84" t="s">
        <v>5329</v>
      </c>
    </row>
    <row r="1737" spans="2:2" x14ac:dyDescent="0.3">
      <c r="B1737" s="84" t="s">
        <v>5330</v>
      </c>
    </row>
    <row r="1738" spans="2:2" x14ac:dyDescent="0.3">
      <c r="B1738" s="84" t="s">
        <v>5331</v>
      </c>
    </row>
    <row r="1739" spans="2:2" x14ac:dyDescent="0.3">
      <c r="B1739" s="84" t="s">
        <v>5332</v>
      </c>
    </row>
    <row r="1740" spans="2:2" x14ac:dyDescent="0.3">
      <c r="B1740" s="84" t="s">
        <v>5333</v>
      </c>
    </row>
    <row r="1741" spans="2:2" x14ac:dyDescent="0.3">
      <c r="B1741" s="84" t="s">
        <v>5334</v>
      </c>
    </row>
    <row r="1742" spans="2:2" x14ac:dyDescent="0.3">
      <c r="B1742" s="84" t="s">
        <v>5335</v>
      </c>
    </row>
    <row r="1743" spans="2:2" x14ac:dyDescent="0.3">
      <c r="B1743" s="84" t="s">
        <v>5336</v>
      </c>
    </row>
    <row r="1744" spans="2:2" x14ac:dyDescent="0.3">
      <c r="B1744" s="84" t="s">
        <v>5337</v>
      </c>
    </row>
    <row r="1745" spans="2:2" x14ac:dyDescent="0.3">
      <c r="B1745" s="84" t="s">
        <v>5338</v>
      </c>
    </row>
    <row r="1746" spans="2:2" x14ac:dyDescent="0.3">
      <c r="B1746" s="84" t="s">
        <v>5339</v>
      </c>
    </row>
    <row r="1747" spans="2:2" x14ac:dyDescent="0.3">
      <c r="B1747" s="84" t="s">
        <v>5340</v>
      </c>
    </row>
    <row r="1748" spans="2:2" x14ac:dyDescent="0.3">
      <c r="B1748" s="84" t="s">
        <v>1750</v>
      </c>
    </row>
    <row r="1749" spans="2:2" x14ac:dyDescent="0.3">
      <c r="B1749" s="84" t="s">
        <v>1752</v>
      </c>
    </row>
    <row r="1750" spans="2:2" x14ac:dyDescent="0.3">
      <c r="B1750" s="84" t="s">
        <v>2398</v>
      </c>
    </row>
    <row r="1751" spans="2:2" x14ac:dyDescent="0.3">
      <c r="B1751" s="84" t="s">
        <v>2399</v>
      </c>
    </row>
    <row r="1752" spans="2:2" x14ac:dyDescent="0.3">
      <c r="B1752" s="84" t="s">
        <v>2400</v>
      </c>
    </row>
    <row r="1753" spans="2:2" x14ac:dyDescent="0.3">
      <c r="B1753" s="84" t="s">
        <v>2401</v>
      </c>
    </row>
    <row r="1754" spans="2:2" x14ac:dyDescent="0.3">
      <c r="B1754" s="84" t="s">
        <v>5341</v>
      </c>
    </row>
    <row r="1755" spans="2:2" x14ac:dyDescent="0.3">
      <c r="B1755" s="84" t="s">
        <v>2402</v>
      </c>
    </row>
    <row r="1756" spans="2:2" x14ac:dyDescent="0.3">
      <c r="B1756" s="84" t="s">
        <v>2403</v>
      </c>
    </row>
    <row r="1757" spans="2:2" x14ac:dyDescent="0.3">
      <c r="B1757" s="84" t="s">
        <v>5342</v>
      </c>
    </row>
    <row r="1758" spans="2:2" x14ac:dyDescent="0.3">
      <c r="B1758" s="84" t="s">
        <v>1955</v>
      </c>
    </row>
    <row r="1759" spans="2:2" x14ac:dyDescent="0.3">
      <c r="B1759" s="84" t="s">
        <v>2405</v>
      </c>
    </row>
    <row r="1760" spans="2:2" x14ac:dyDescent="0.3">
      <c r="B1760" s="84" t="s">
        <v>2406</v>
      </c>
    </row>
    <row r="1761" spans="2:2" x14ac:dyDescent="0.3">
      <c r="B1761" s="84" t="s">
        <v>5343</v>
      </c>
    </row>
    <row r="1762" spans="2:2" x14ac:dyDescent="0.3">
      <c r="B1762" s="84" t="s">
        <v>5344</v>
      </c>
    </row>
    <row r="1763" spans="2:2" x14ac:dyDescent="0.3">
      <c r="B1763" s="84" t="s">
        <v>5345</v>
      </c>
    </row>
    <row r="1764" spans="2:2" x14ac:dyDescent="0.3">
      <c r="B1764" s="84" t="s">
        <v>1956</v>
      </c>
    </row>
    <row r="1765" spans="2:2" x14ac:dyDescent="0.3">
      <c r="B1765" s="84" t="s">
        <v>1756</v>
      </c>
    </row>
    <row r="1766" spans="2:2" x14ac:dyDescent="0.3">
      <c r="B1766" s="84" t="s">
        <v>2407</v>
      </c>
    </row>
    <row r="1767" spans="2:2" x14ac:dyDescent="0.3">
      <c r="B1767" s="84" t="s">
        <v>2408</v>
      </c>
    </row>
    <row r="1768" spans="2:2" x14ac:dyDescent="0.3">
      <c r="B1768" s="84" t="s">
        <v>2409</v>
      </c>
    </row>
    <row r="1769" spans="2:2" x14ac:dyDescent="0.3">
      <c r="B1769" s="84" t="s">
        <v>2410</v>
      </c>
    </row>
    <row r="1770" spans="2:2" x14ac:dyDescent="0.3">
      <c r="B1770" s="84" t="s">
        <v>2411</v>
      </c>
    </row>
    <row r="1771" spans="2:2" x14ac:dyDescent="0.3">
      <c r="B1771" s="84" t="s">
        <v>2412</v>
      </c>
    </row>
    <row r="1772" spans="2:2" x14ac:dyDescent="0.3">
      <c r="B1772" s="84" t="s">
        <v>2413</v>
      </c>
    </row>
    <row r="1773" spans="2:2" x14ac:dyDescent="0.3">
      <c r="B1773" s="84" t="s">
        <v>2414</v>
      </c>
    </row>
    <row r="1774" spans="2:2" x14ac:dyDescent="0.3">
      <c r="B1774" s="84" t="s">
        <v>2415</v>
      </c>
    </row>
    <row r="1775" spans="2:2" x14ac:dyDescent="0.3">
      <c r="B1775" s="84" t="s">
        <v>2416</v>
      </c>
    </row>
    <row r="1776" spans="2:2" x14ac:dyDescent="0.3">
      <c r="B1776" s="84" t="s">
        <v>1759</v>
      </c>
    </row>
    <row r="1777" spans="2:2" x14ac:dyDescent="0.3">
      <c r="B1777" s="84" t="s">
        <v>2417</v>
      </c>
    </row>
    <row r="1778" spans="2:2" x14ac:dyDescent="0.3">
      <c r="B1778" s="84" t="s">
        <v>2418</v>
      </c>
    </row>
    <row r="1779" spans="2:2" x14ac:dyDescent="0.3">
      <c r="B1779" s="84" t="s">
        <v>1762</v>
      </c>
    </row>
    <row r="1780" spans="2:2" x14ac:dyDescent="0.3">
      <c r="B1780" s="84" t="s">
        <v>1765</v>
      </c>
    </row>
    <row r="1781" spans="2:2" x14ac:dyDescent="0.3">
      <c r="B1781" s="84" t="s">
        <v>2419</v>
      </c>
    </row>
    <row r="1782" spans="2:2" x14ac:dyDescent="0.3">
      <c r="B1782" s="84" t="s">
        <v>2420</v>
      </c>
    </row>
    <row r="1783" spans="2:2" x14ac:dyDescent="0.3">
      <c r="B1783" s="84" t="s">
        <v>2421</v>
      </c>
    </row>
    <row r="1784" spans="2:2" x14ac:dyDescent="0.3">
      <c r="B1784" s="84" t="s">
        <v>1766</v>
      </c>
    </row>
    <row r="1785" spans="2:2" x14ac:dyDescent="0.3">
      <c r="B1785" s="84" t="s">
        <v>2422</v>
      </c>
    </row>
    <row r="1786" spans="2:2" x14ac:dyDescent="0.3">
      <c r="B1786" s="84" t="s">
        <v>2423</v>
      </c>
    </row>
    <row r="1787" spans="2:2" x14ac:dyDescent="0.3">
      <c r="B1787" s="84" t="s">
        <v>2424</v>
      </c>
    </row>
    <row r="1788" spans="2:2" x14ac:dyDescent="0.3">
      <c r="B1788" s="84" t="s">
        <v>2425</v>
      </c>
    </row>
    <row r="1789" spans="2:2" x14ac:dyDescent="0.3">
      <c r="B1789" s="84" t="s">
        <v>2426</v>
      </c>
    </row>
    <row r="1790" spans="2:2" x14ac:dyDescent="0.3">
      <c r="B1790" s="84" t="s">
        <v>1767</v>
      </c>
    </row>
    <row r="1791" spans="2:2" x14ac:dyDescent="0.3">
      <c r="B1791" s="84" t="s">
        <v>2427</v>
      </c>
    </row>
    <row r="1792" spans="2:2" x14ac:dyDescent="0.3">
      <c r="B1792" s="84" t="s">
        <v>2428</v>
      </c>
    </row>
    <row r="1793" spans="2:2" x14ac:dyDescent="0.3">
      <c r="B1793" s="84" t="s">
        <v>2429</v>
      </c>
    </row>
    <row r="1794" spans="2:2" x14ac:dyDescent="0.3">
      <c r="B1794" s="84" t="s">
        <v>2430</v>
      </c>
    </row>
    <row r="1795" spans="2:2" x14ac:dyDescent="0.3">
      <c r="B1795" s="84" t="s">
        <v>2431</v>
      </c>
    </row>
    <row r="1796" spans="2:2" x14ac:dyDescent="0.3">
      <c r="B1796" s="84" t="s">
        <v>3038</v>
      </c>
    </row>
    <row r="1797" spans="2:2" x14ac:dyDescent="0.3">
      <c r="B1797" s="84" t="s">
        <v>3049</v>
      </c>
    </row>
    <row r="1798" spans="2:2" x14ac:dyDescent="0.3">
      <c r="B1798" s="84" t="s">
        <v>3039</v>
      </c>
    </row>
    <row r="1799" spans="2:2" x14ac:dyDescent="0.3">
      <c r="B1799" s="84" t="s">
        <v>3050</v>
      </c>
    </row>
    <row r="1800" spans="2:2" x14ac:dyDescent="0.3">
      <c r="B1800" s="84" t="s">
        <v>3028</v>
      </c>
    </row>
    <row r="1801" spans="2:2" x14ac:dyDescent="0.3">
      <c r="B1801" s="84" t="s">
        <v>3029</v>
      </c>
    </row>
    <row r="1802" spans="2:2" x14ac:dyDescent="0.3">
      <c r="B1802" s="84" t="s">
        <v>3040</v>
      </c>
    </row>
    <row r="1803" spans="2:2" x14ac:dyDescent="0.3">
      <c r="B1803" s="84" t="s">
        <v>3051</v>
      </c>
    </row>
    <row r="1804" spans="2:2" x14ac:dyDescent="0.3">
      <c r="B1804" s="84" t="s">
        <v>3030</v>
      </c>
    </row>
    <row r="1805" spans="2:2" x14ac:dyDescent="0.3">
      <c r="B1805" s="84" t="s">
        <v>3041</v>
      </c>
    </row>
    <row r="1806" spans="2:2" x14ac:dyDescent="0.3">
      <c r="B1806" s="84" t="s">
        <v>3052</v>
      </c>
    </row>
    <row r="1807" spans="2:2" x14ac:dyDescent="0.3">
      <c r="B1807" s="84" t="s">
        <v>3031</v>
      </c>
    </row>
    <row r="1808" spans="2:2" x14ac:dyDescent="0.3">
      <c r="B1808" s="84" t="s">
        <v>3042</v>
      </c>
    </row>
    <row r="1809" spans="2:2" x14ac:dyDescent="0.3">
      <c r="B1809" s="84" t="s">
        <v>3032</v>
      </c>
    </row>
    <row r="1810" spans="2:2" x14ac:dyDescent="0.3">
      <c r="B1810" s="84" t="s">
        <v>3043</v>
      </c>
    </row>
    <row r="1811" spans="2:2" x14ac:dyDescent="0.3">
      <c r="B1811" s="84" t="s">
        <v>3033</v>
      </c>
    </row>
    <row r="1812" spans="2:2" x14ac:dyDescent="0.3">
      <c r="B1812" s="84" t="s">
        <v>3044</v>
      </c>
    </row>
    <row r="1813" spans="2:2" x14ac:dyDescent="0.3">
      <c r="B1813" s="84" t="s">
        <v>3034</v>
      </c>
    </row>
    <row r="1814" spans="2:2" x14ac:dyDescent="0.3">
      <c r="B1814" s="84" t="s">
        <v>3045</v>
      </c>
    </row>
    <row r="1815" spans="2:2" x14ac:dyDescent="0.3">
      <c r="B1815" s="84" t="s">
        <v>3035</v>
      </c>
    </row>
    <row r="1816" spans="2:2" x14ac:dyDescent="0.3">
      <c r="B1816" s="84" t="s">
        <v>3046</v>
      </c>
    </row>
    <row r="1817" spans="2:2" x14ac:dyDescent="0.3">
      <c r="B1817" s="84" t="s">
        <v>3036</v>
      </c>
    </row>
    <row r="1818" spans="2:2" x14ac:dyDescent="0.3">
      <c r="B1818" s="84" t="s">
        <v>3047</v>
      </c>
    </row>
    <row r="1819" spans="2:2" x14ac:dyDescent="0.3">
      <c r="B1819" s="84" t="s">
        <v>3037</v>
      </c>
    </row>
    <row r="1820" spans="2:2" x14ac:dyDescent="0.3">
      <c r="B1820" s="84" t="s">
        <v>3048</v>
      </c>
    </row>
    <row r="1821" spans="2:2" x14ac:dyDescent="0.3">
      <c r="B1821" s="84" t="s">
        <v>2432</v>
      </c>
    </row>
    <row r="1822" spans="2:2" x14ac:dyDescent="0.3">
      <c r="B1822" s="84" t="s">
        <v>2433</v>
      </c>
    </row>
    <row r="1823" spans="2:2" x14ac:dyDescent="0.3">
      <c r="B1823" s="84" t="s">
        <v>2434</v>
      </c>
    </row>
    <row r="1824" spans="2:2" x14ac:dyDescent="0.3">
      <c r="B1824" s="84" t="s">
        <v>2435</v>
      </c>
    </row>
    <row r="1825" spans="2:2" x14ac:dyDescent="0.3">
      <c r="B1825" s="84" t="s">
        <v>1768</v>
      </c>
    </row>
    <row r="1826" spans="2:2" x14ac:dyDescent="0.3">
      <c r="B1826" s="84" t="s">
        <v>1771</v>
      </c>
    </row>
    <row r="1827" spans="2:2" x14ac:dyDescent="0.3">
      <c r="B1827" s="84" t="s">
        <v>2436</v>
      </c>
    </row>
    <row r="1828" spans="2:2" x14ac:dyDescent="0.3">
      <c r="B1828" s="84" t="s">
        <v>2437</v>
      </c>
    </row>
    <row r="1829" spans="2:2" x14ac:dyDescent="0.3">
      <c r="B1829" s="84" t="s">
        <v>2438</v>
      </c>
    </row>
    <row r="1830" spans="2:2" x14ac:dyDescent="0.3">
      <c r="B1830" s="84" t="s">
        <v>2439</v>
      </c>
    </row>
    <row r="1831" spans="2:2" x14ac:dyDescent="0.3">
      <c r="B1831" s="84" t="s">
        <v>2440</v>
      </c>
    </row>
    <row r="1832" spans="2:2" x14ac:dyDescent="0.3">
      <c r="B1832" s="84" t="s">
        <v>2441</v>
      </c>
    </row>
    <row r="1833" spans="2:2" x14ac:dyDescent="0.3">
      <c r="B1833" s="84" t="s">
        <v>1772</v>
      </c>
    </row>
    <row r="1834" spans="2:2" x14ac:dyDescent="0.3">
      <c r="B1834" s="84" t="s">
        <v>2442</v>
      </c>
    </row>
    <row r="1835" spans="2:2" x14ac:dyDescent="0.3">
      <c r="B1835" s="84" t="s">
        <v>1773</v>
      </c>
    </row>
    <row r="1836" spans="2:2" x14ac:dyDescent="0.3">
      <c r="B1836" s="84" t="s">
        <v>2443</v>
      </c>
    </row>
    <row r="1837" spans="2:2" x14ac:dyDescent="0.3">
      <c r="B1837" s="84" t="s">
        <v>2444</v>
      </c>
    </row>
    <row r="1838" spans="2:2" x14ac:dyDescent="0.3">
      <c r="B1838" s="84" t="s">
        <v>2445</v>
      </c>
    </row>
    <row r="1839" spans="2:2" x14ac:dyDescent="0.3">
      <c r="B1839" s="84" t="s">
        <v>2446</v>
      </c>
    </row>
    <row r="1840" spans="2:2" x14ac:dyDescent="0.3">
      <c r="B1840" s="84" t="s">
        <v>2447</v>
      </c>
    </row>
    <row r="1841" spans="2:2" x14ac:dyDescent="0.3">
      <c r="B1841" s="84" t="s">
        <v>2448</v>
      </c>
    </row>
    <row r="1842" spans="2:2" x14ac:dyDescent="0.3">
      <c r="B1842" s="84" t="s">
        <v>2449</v>
      </c>
    </row>
    <row r="1843" spans="2:2" x14ac:dyDescent="0.3">
      <c r="B1843" s="84" t="s">
        <v>2450</v>
      </c>
    </row>
    <row r="1844" spans="2:2" x14ac:dyDescent="0.3">
      <c r="B1844" s="84" t="s">
        <v>2451</v>
      </c>
    </row>
    <row r="1845" spans="2:2" x14ac:dyDescent="0.3">
      <c r="B1845" s="84" t="s">
        <v>2452</v>
      </c>
    </row>
    <row r="1846" spans="2:2" x14ac:dyDescent="0.3">
      <c r="B1846" s="84" t="s">
        <v>2453</v>
      </c>
    </row>
    <row r="1847" spans="2:2" x14ac:dyDescent="0.3">
      <c r="B1847" s="84" t="s">
        <v>3013</v>
      </c>
    </row>
    <row r="1848" spans="2:2" x14ac:dyDescent="0.3">
      <c r="B1848" s="84" t="s">
        <v>3024</v>
      </c>
    </row>
    <row r="1849" spans="2:2" x14ac:dyDescent="0.3">
      <c r="B1849" s="84" t="s">
        <v>3014</v>
      </c>
    </row>
    <row r="1850" spans="2:2" x14ac:dyDescent="0.3">
      <c r="B1850" s="84" t="s">
        <v>3025</v>
      </c>
    </row>
    <row r="1851" spans="2:2" x14ac:dyDescent="0.3">
      <c r="B1851" s="84" t="s">
        <v>3003</v>
      </c>
    </row>
    <row r="1852" spans="2:2" x14ac:dyDescent="0.3">
      <c r="B1852" s="84" t="s">
        <v>3004</v>
      </c>
    </row>
    <row r="1853" spans="2:2" x14ac:dyDescent="0.3">
      <c r="B1853" s="84" t="s">
        <v>3015</v>
      </c>
    </row>
    <row r="1854" spans="2:2" x14ac:dyDescent="0.3">
      <c r="B1854" s="84" t="s">
        <v>3026</v>
      </c>
    </row>
    <row r="1855" spans="2:2" x14ac:dyDescent="0.3">
      <c r="B1855" s="84" t="s">
        <v>3005</v>
      </c>
    </row>
    <row r="1856" spans="2:2" x14ac:dyDescent="0.3">
      <c r="B1856" s="84" t="s">
        <v>3016</v>
      </c>
    </row>
    <row r="1857" spans="2:2" x14ac:dyDescent="0.3">
      <c r="B1857" s="84" t="s">
        <v>3027</v>
      </c>
    </row>
    <row r="1858" spans="2:2" x14ac:dyDescent="0.3">
      <c r="B1858" s="84" t="s">
        <v>3006</v>
      </c>
    </row>
    <row r="1859" spans="2:2" x14ac:dyDescent="0.3">
      <c r="B1859" s="84" t="s">
        <v>3017</v>
      </c>
    </row>
    <row r="1860" spans="2:2" x14ac:dyDescent="0.3">
      <c r="B1860" s="84" t="s">
        <v>3007</v>
      </c>
    </row>
    <row r="1861" spans="2:2" x14ac:dyDescent="0.3">
      <c r="B1861" s="84" t="s">
        <v>3018</v>
      </c>
    </row>
    <row r="1862" spans="2:2" x14ac:dyDescent="0.3">
      <c r="B1862" s="84" t="s">
        <v>3008</v>
      </c>
    </row>
    <row r="1863" spans="2:2" x14ac:dyDescent="0.3">
      <c r="B1863" s="84" t="s">
        <v>3019</v>
      </c>
    </row>
    <row r="1864" spans="2:2" x14ac:dyDescent="0.3">
      <c r="B1864" s="84" t="s">
        <v>3009</v>
      </c>
    </row>
    <row r="1865" spans="2:2" x14ac:dyDescent="0.3">
      <c r="B1865" s="84" t="s">
        <v>3020</v>
      </c>
    </row>
    <row r="1866" spans="2:2" x14ac:dyDescent="0.3">
      <c r="B1866" s="84" t="s">
        <v>3010</v>
      </c>
    </row>
    <row r="1867" spans="2:2" x14ac:dyDescent="0.3">
      <c r="B1867" s="84" t="s">
        <v>3021</v>
      </c>
    </row>
    <row r="1868" spans="2:2" x14ac:dyDescent="0.3">
      <c r="B1868" s="84" t="s">
        <v>3011</v>
      </c>
    </row>
    <row r="1869" spans="2:2" x14ac:dyDescent="0.3">
      <c r="B1869" s="84" t="s">
        <v>3022</v>
      </c>
    </row>
    <row r="1870" spans="2:2" x14ac:dyDescent="0.3">
      <c r="B1870" s="84" t="s">
        <v>3012</v>
      </c>
    </row>
    <row r="1871" spans="2:2" x14ac:dyDescent="0.3">
      <c r="B1871" s="84" t="s">
        <v>3023</v>
      </c>
    </row>
    <row r="1872" spans="2:2" x14ac:dyDescent="0.3">
      <c r="B1872" s="84" t="s">
        <v>2749</v>
      </c>
    </row>
    <row r="1873" spans="2:2" x14ac:dyDescent="0.3">
      <c r="B1873" s="84" t="s">
        <v>2760</v>
      </c>
    </row>
    <row r="1874" spans="2:2" x14ac:dyDescent="0.3">
      <c r="B1874" s="84" t="s">
        <v>2750</v>
      </c>
    </row>
    <row r="1875" spans="2:2" x14ac:dyDescent="0.3">
      <c r="B1875" s="84" t="s">
        <v>2761</v>
      </c>
    </row>
    <row r="1876" spans="2:2" x14ac:dyDescent="0.3">
      <c r="B1876" s="84" t="s">
        <v>2739</v>
      </c>
    </row>
    <row r="1877" spans="2:2" x14ac:dyDescent="0.3">
      <c r="B1877" s="84" t="s">
        <v>2740</v>
      </c>
    </row>
    <row r="1878" spans="2:2" x14ac:dyDescent="0.3">
      <c r="B1878" s="84" t="s">
        <v>5346</v>
      </c>
    </row>
    <row r="1879" spans="2:2" x14ac:dyDescent="0.3">
      <c r="B1879" s="84" t="s">
        <v>2751</v>
      </c>
    </row>
    <row r="1880" spans="2:2" x14ac:dyDescent="0.3">
      <c r="B1880" s="84" t="s">
        <v>2762</v>
      </c>
    </row>
    <row r="1881" spans="2:2" x14ac:dyDescent="0.3">
      <c r="B1881" s="84" t="s">
        <v>2741</v>
      </c>
    </row>
    <row r="1882" spans="2:2" x14ac:dyDescent="0.3">
      <c r="B1882" s="84" t="s">
        <v>2752</v>
      </c>
    </row>
    <row r="1883" spans="2:2" x14ac:dyDescent="0.3">
      <c r="B1883" s="84" t="s">
        <v>2763</v>
      </c>
    </row>
    <row r="1884" spans="2:2" x14ac:dyDescent="0.3">
      <c r="B1884" s="84" t="s">
        <v>2742</v>
      </c>
    </row>
    <row r="1885" spans="2:2" x14ac:dyDescent="0.3">
      <c r="B1885" s="84" t="s">
        <v>2753</v>
      </c>
    </row>
    <row r="1886" spans="2:2" x14ac:dyDescent="0.3">
      <c r="B1886" s="84" t="s">
        <v>2743</v>
      </c>
    </row>
    <row r="1887" spans="2:2" x14ac:dyDescent="0.3">
      <c r="B1887" s="84" t="s">
        <v>2754</v>
      </c>
    </row>
    <row r="1888" spans="2:2" x14ac:dyDescent="0.3">
      <c r="B1888" s="84" t="s">
        <v>5347</v>
      </c>
    </row>
    <row r="1889" spans="2:2" x14ac:dyDescent="0.3">
      <c r="B1889" s="84" t="s">
        <v>2744</v>
      </c>
    </row>
    <row r="1890" spans="2:2" x14ac:dyDescent="0.3">
      <c r="B1890" s="84" t="s">
        <v>2755</v>
      </c>
    </row>
    <row r="1891" spans="2:2" x14ac:dyDescent="0.3">
      <c r="B1891" s="84" t="s">
        <v>2745</v>
      </c>
    </row>
    <row r="1892" spans="2:2" x14ac:dyDescent="0.3">
      <c r="B1892" s="84" t="s">
        <v>2756</v>
      </c>
    </row>
    <row r="1893" spans="2:2" x14ac:dyDescent="0.3">
      <c r="B1893" s="84" t="s">
        <v>2746</v>
      </c>
    </row>
    <row r="1894" spans="2:2" x14ac:dyDescent="0.3">
      <c r="B1894" s="84" t="s">
        <v>2757</v>
      </c>
    </row>
    <row r="1895" spans="2:2" x14ac:dyDescent="0.3">
      <c r="B1895" s="84" t="s">
        <v>2747</v>
      </c>
    </row>
    <row r="1896" spans="2:2" x14ac:dyDescent="0.3">
      <c r="B1896" s="84" t="s">
        <v>2758</v>
      </c>
    </row>
    <row r="1897" spans="2:2" x14ac:dyDescent="0.3">
      <c r="B1897" s="84" t="s">
        <v>2748</v>
      </c>
    </row>
    <row r="1898" spans="2:2" x14ac:dyDescent="0.3">
      <c r="B1898" s="84" t="s">
        <v>2759</v>
      </c>
    </row>
    <row r="1899" spans="2:2" x14ac:dyDescent="0.3">
      <c r="B1899" s="84" t="s">
        <v>151</v>
      </c>
    </row>
    <row r="1900" spans="2:2" x14ac:dyDescent="0.3">
      <c r="B1900" s="84" t="s">
        <v>152</v>
      </c>
    </row>
    <row r="1901" spans="2:2" x14ac:dyDescent="0.3">
      <c r="B1901" s="84" t="s">
        <v>153</v>
      </c>
    </row>
    <row r="1902" spans="2:2" x14ac:dyDescent="0.3">
      <c r="B1902" s="84" t="s">
        <v>154</v>
      </c>
    </row>
    <row r="1903" spans="2:2" x14ac:dyDescent="0.3">
      <c r="B1903" s="84" t="s">
        <v>155</v>
      </c>
    </row>
    <row r="1904" spans="2:2" x14ac:dyDescent="0.3">
      <c r="B1904" s="84" t="s">
        <v>156</v>
      </c>
    </row>
    <row r="1905" spans="2:2" x14ac:dyDescent="0.3">
      <c r="B1905" s="84" t="s">
        <v>157</v>
      </c>
    </row>
    <row r="1906" spans="2:2" x14ac:dyDescent="0.3">
      <c r="B1906" s="84" t="s">
        <v>158</v>
      </c>
    </row>
    <row r="1907" spans="2:2" x14ac:dyDescent="0.3">
      <c r="B1907" s="84" t="s">
        <v>2233</v>
      </c>
    </row>
    <row r="1908" spans="2:2" x14ac:dyDescent="0.3">
      <c r="B1908" s="84" t="s">
        <v>2234</v>
      </c>
    </row>
    <row r="1909" spans="2:2" x14ac:dyDescent="0.3">
      <c r="B1909" s="84" t="s">
        <v>2235</v>
      </c>
    </row>
    <row r="1910" spans="2:2" x14ac:dyDescent="0.3">
      <c r="B1910" s="84" t="s">
        <v>1704</v>
      </c>
    </row>
    <row r="1911" spans="2:2" x14ac:dyDescent="0.3">
      <c r="B1911" s="84" t="s">
        <v>2236</v>
      </c>
    </row>
    <row r="1912" spans="2:2" x14ac:dyDescent="0.3">
      <c r="B1912" s="84" t="s">
        <v>2237</v>
      </c>
    </row>
    <row r="1913" spans="2:2" x14ac:dyDescent="0.3">
      <c r="B1913" s="84" t="s">
        <v>2238</v>
      </c>
    </row>
    <row r="1914" spans="2:2" x14ac:dyDescent="0.3">
      <c r="B1914" s="84" t="s">
        <v>2239</v>
      </c>
    </row>
    <row r="1915" spans="2:2" x14ac:dyDescent="0.3">
      <c r="B1915" s="84" t="s">
        <v>2240</v>
      </c>
    </row>
    <row r="1916" spans="2:2" x14ac:dyDescent="0.3">
      <c r="B1916" s="84" t="s">
        <v>2241</v>
      </c>
    </row>
    <row r="1917" spans="2:2" x14ac:dyDescent="0.3">
      <c r="B1917" s="84" t="s">
        <v>2242</v>
      </c>
    </row>
    <row r="1918" spans="2:2" x14ac:dyDescent="0.3">
      <c r="B1918" s="84" t="s">
        <v>2243</v>
      </c>
    </row>
    <row r="1919" spans="2:2" x14ac:dyDescent="0.3">
      <c r="B1919" s="84" t="s">
        <v>2244</v>
      </c>
    </row>
    <row r="1920" spans="2:2" x14ac:dyDescent="0.3">
      <c r="B1920" s="84" t="s">
        <v>1639</v>
      </c>
    </row>
    <row r="1921" spans="2:2" x14ac:dyDescent="0.3">
      <c r="B1921" s="84" t="s">
        <v>2134</v>
      </c>
    </row>
    <row r="1922" spans="2:2" x14ac:dyDescent="0.3">
      <c r="B1922" s="84" t="s">
        <v>1654</v>
      </c>
    </row>
    <row r="1923" spans="2:2" x14ac:dyDescent="0.3">
      <c r="B1923" s="84" t="s">
        <v>5348</v>
      </c>
    </row>
    <row r="1924" spans="2:2" x14ac:dyDescent="0.3">
      <c r="B1924" s="84" t="s">
        <v>1713</v>
      </c>
    </row>
    <row r="1925" spans="2:2" x14ac:dyDescent="0.3">
      <c r="B1925" s="84" t="s">
        <v>5349</v>
      </c>
    </row>
    <row r="1926" spans="2:2" x14ac:dyDescent="0.3">
      <c r="B1926" s="84" t="s">
        <v>5350</v>
      </c>
    </row>
    <row r="1927" spans="2:2" x14ac:dyDescent="0.3">
      <c r="B1927" s="84" t="s">
        <v>5351</v>
      </c>
    </row>
    <row r="1928" spans="2:2" x14ac:dyDescent="0.3">
      <c r="B1928" s="84" t="s">
        <v>2454</v>
      </c>
    </row>
    <row r="1929" spans="2:2" x14ac:dyDescent="0.3">
      <c r="B1929" s="84" t="s">
        <v>2455</v>
      </c>
    </row>
    <row r="1930" spans="2:2" x14ac:dyDescent="0.3">
      <c r="B1930" s="84" t="s">
        <v>2456</v>
      </c>
    </row>
    <row r="1931" spans="2:2" x14ac:dyDescent="0.3">
      <c r="B1931" s="84" t="s">
        <v>2457</v>
      </c>
    </row>
    <row r="1932" spans="2:2" x14ac:dyDescent="0.3">
      <c r="B1932" s="84" t="s">
        <v>1774</v>
      </c>
    </row>
    <row r="1933" spans="2:2" x14ac:dyDescent="0.3">
      <c r="B1933" s="84" t="s">
        <v>1777</v>
      </c>
    </row>
    <row r="1934" spans="2:2" x14ac:dyDescent="0.3">
      <c r="B1934" s="84" t="s">
        <v>2458</v>
      </c>
    </row>
    <row r="1935" spans="2:2" x14ac:dyDescent="0.3">
      <c r="B1935" s="84" t="s">
        <v>2459</v>
      </c>
    </row>
    <row r="1936" spans="2:2" x14ac:dyDescent="0.3">
      <c r="B1936" s="84" t="s">
        <v>2460</v>
      </c>
    </row>
    <row r="1937" spans="2:2" x14ac:dyDescent="0.3">
      <c r="B1937" s="84" t="s">
        <v>2461</v>
      </c>
    </row>
    <row r="1938" spans="2:2" x14ac:dyDescent="0.3">
      <c r="B1938" s="84" t="s">
        <v>1778</v>
      </c>
    </row>
    <row r="1939" spans="2:2" x14ac:dyDescent="0.3">
      <c r="B1939" s="84" t="s">
        <v>2462</v>
      </c>
    </row>
    <row r="1940" spans="2:2" x14ac:dyDescent="0.3">
      <c r="B1940" s="84" t="s">
        <v>2463</v>
      </c>
    </row>
    <row r="1941" spans="2:2" x14ac:dyDescent="0.3">
      <c r="B1941" s="84" t="s">
        <v>2464</v>
      </c>
    </row>
    <row r="1942" spans="2:2" x14ac:dyDescent="0.3">
      <c r="B1942" s="84" t="s">
        <v>1779</v>
      </c>
    </row>
    <row r="1943" spans="2:2" x14ac:dyDescent="0.3">
      <c r="B1943" s="84" t="s">
        <v>2465</v>
      </c>
    </row>
    <row r="1944" spans="2:2" x14ac:dyDescent="0.3">
      <c r="B1944" s="84" t="s">
        <v>2466</v>
      </c>
    </row>
    <row r="1945" spans="2:2" x14ac:dyDescent="0.3">
      <c r="B1945" s="84" t="s">
        <v>2467</v>
      </c>
    </row>
    <row r="1946" spans="2:2" x14ac:dyDescent="0.3">
      <c r="B1946" s="84" t="s">
        <v>2468</v>
      </c>
    </row>
    <row r="1947" spans="2:2" x14ac:dyDescent="0.3">
      <c r="B1947" s="84" t="s">
        <v>2469</v>
      </c>
    </row>
    <row r="1948" spans="2:2" x14ac:dyDescent="0.3">
      <c r="B1948" s="84" t="s">
        <v>5352</v>
      </c>
    </row>
    <row r="1949" spans="2:2" x14ac:dyDescent="0.3">
      <c r="B1949" s="84" t="s">
        <v>5353</v>
      </c>
    </row>
    <row r="1950" spans="2:2" x14ac:dyDescent="0.3">
      <c r="B1950" s="84" t="s">
        <v>5354</v>
      </c>
    </row>
    <row r="1951" spans="2:2" x14ac:dyDescent="0.3">
      <c r="B1951" s="84" t="s">
        <v>5355</v>
      </c>
    </row>
    <row r="1952" spans="2:2" x14ac:dyDescent="0.3">
      <c r="B1952" s="84" t="s">
        <v>5356</v>
      </c>
    </row>
    <row r="1953" spans="2:2" x14ac:dyDescent="0.3">
      <c r="B1953" s="84" t="s">
        <v>5357</v>
      </c>
    </row>
    <row r="1954" spans="2:2" x14ac:dyDescent="0.3">
      <c r="B1954" s="84" t="s">
        <v>5358</v>
      </c>
    </row>
    <row r="1955" spans="2:2" x14ac:dyDescent="0.3">
      <c r="B1955" s="84" t="s">
        <v>5359</v>
      </c>
    </row>
    <row r="1956" spans="2:2" x14ac:dyDescent="0.3">
      <c r="B1956" s="84" t="s">
        <v>5360</v>
      </c>
    </row>
    <row r="1957" spans="2:2" x14ac:dyDescent="0.3">
      <c r="B1957" s="84" t="s">
        <v>5361</v>
      </c>
    </row>
    <row r="1958" spans="2:2" x14ac:dyDescent="0.3">
      <c r="B1958" s="84" t="s">
        <v>5362</v>
      </c>
    </row>
    <row r="1959" spans="2:2" x14ac:dyDescent="0.3">
      <c r="B1959" s="84" t="s">
        <v>5363</v>
      </c>
    </row>
    <row r="1960" spans="2:2" x14ac:dyDescent="0.3">
      <c r="B1960" s="84" t="s">
        <v>5364</v>
      </c>
    </row>
    <row r="1961" spans="2:2" x14ac:dyDescent="0.3">
      <c r="B1961" s="84" t="s">
        <v>5365</v>
      </c>
    </row>
    <row r="1962" spans="2:2" x14ac:dyDescent="0.3">
      <c r="B1962" s="84" t="s">
        <v>5366</v>
      </c>
    </row>
    <row r="1963" spans="2:2" x14ac:dyDescent="0.3">
      <c r="B1963" s="84" t="s">
        <v>5367</v>
      </c>
    </row>
    <row r="1964" spans="2:2" x14ac:dyDescent="0.3">
      <c r="B1964" s="84" t="s">
        <v>5368</v>
      </c>
    </row>
    <row r="1965" spans="2:2" x14ac:dyDescent="0.3">
      <c r="B1965" s="84" t="s">
        <v>5369</v>
      </c>
    </row>
    <row r="1966" spans="2:2" x14ac:dyDescent="0.3">
      <c r="B1966" s="84" t="s">
        <v>5370</v>
      </c>
    </row>
    <row r="1967" spans="2:2" x14ac:dyDescent="0.3">
      <c r="B1967" s="84" t="s">
        <v>5371</v>
      </c>
    </row>
    <row r="1968" spans="2:2" x14ac:dyDescent="0.3">
      <c r="B1968" s="84" t="s">
        <v>5372</v>
      </c>
    </row>
    <row r="1969" spans="2:2" x14ac:dyDescent="0.3">
      <c r="B1969" s="84" t="s">
        <v>5373</v>
      </c>
    </row>
    <row r="1970" spans="2:2" x14ac:dyDescent="0.3">
      <c r="B1970" s="84" t="s">
        <v>5374</v>
      </c>
    </row>
    <row r="1971" spans="2:2" x14ac:dyDescent="0.3">
      <c r="B1971" s="84" t="s">
        <v>5375</v>
      </c>
    </row>
    <row r="1972" spans="2:2" x14ac:dyDescent="0.3">
      <c r="B1972" s="84" t="s">
        <v>5376</v>
      </c>
    </row>
    <row r="1973" spans="2:2" x14ac:dyDescent="0.3">
      <c r="B1973" s="84" t="s">
        <v>5377</v>
      </c>
    </row>
    <row r="1974" spans="2:2" x14ac:dyDescent="0.3">
      <c r="B1974" s="84" t="s">
        <v>5378</v>
      </c>
    </row>
    <row r="1975" spans="2:2" x14ac:dyDescent="0.3">
      <c r="B1975" s="84" t="s">
        <v>5379</v>
      </c>
    </row>
    <row r="1976" spans="2:2" x14ac:dyDescent="0.3">
      <c r="B1976" s="84" t="s">
        <v>5380</v>
      </c>
    </row>
    <row r="1977" spans="2:2" x14ac:dyDescent="0.3">
      <c r="B1977" s="84" t="s">
        <v>5381</v>
      </c>
    </row>
    <row r="1978" spans="2:2" x14ac:dyDescent="0.3">
      <c r="B1978" s="84" t="s">
        <v>5382</v>
      </c>
    </row>
    <row r="1979" spans="2:2" x14ac:dyDescent="0.3">
      <c r="B1979" s="84" t="s">
        <v>1780</v>
      </c>
    </row>
    <row r="1980" spans="2:2" x14ac:dyDescent="0.3">
      <c r="B1980" s="84" t="s">
        <v>2477</v>
      </c>
    </row>
    <row r="1981" spans="2:2" x14ac:dyDescent="0.3">
      <c r="B1981" s="84" t="s">
        <v>1787</v>
      </c>
    </row>
    <row r="1982" spans="2:2" x14ac:dyDescent="0.3">
      <c r="B1982" s="84" t="s">
        <v>5383</v>
      </c>
    </row>
    <row r="1983" spans="2:2" x14ac:dyDescent="0.3">
      <c r="B1983" s="84" t="s">
        <v>5384</v>
      </c>
    </row>
    <row r="1984" spans="2:2" x14ac:dyDescent="0.3">
      <c r="B1984" s="84" t="s">
        <v>5385</v>
      </c>
    </row>
    <row r="1985" spans="2:2" x14ac:dyDescent="0.3">
      <c r="B1985" s="84" t="s">
        <v>5386</v>
      </c>
    </row>
    <row r="1986" spans="2:2" x14ac:dyDescent="0.3">
      <c r="B1986" s="84" t="s">
        <v>5387</v>
      </c>
    </row>
    <row r="1987" spans="2:2" x14ac:dyDescent="0.3">
      <c r="B1987" s="84" t="s">
        <v>5388</v>
      </c>
    </row>
    <row r="1988" spans="2:2" x14ac:dyDescent="0.3">
      <c r="B1988" s="84" t="s">
        <v>5389</v>
      </c>
    </row>
    <row r="1989" spans="2:2" x14ac:dyDescent="0.3">
      <c r="B1989" s="84" t="s">
        <v>5390</v>
      </c>
    </row>
    <row r="1990" spans="2:2" x14ac:dyDescent="0.3">
      <c r="B1990" s="84" t="s">
        <v>5391</v>
      </c>
    </row>
    <row r="1991" spans="2:2" x14ac:dyDescent="0.3">
      <c r="B1991" s="84" t="s">
        <v>5392</v>
      </c>
    </row>
    <row r="1992" spans="2:2" x14ac:dyDescent="0.3">
      <c r="B1992" s="84" t="s">
        <v>5393</v>
      </c>
    </row>
    <row r="1993" spans="2:2" x14ac:dyDescent="0.3">
      <c r="B1993" s="84" t="s">
        <v>5394</v>
      </c>
    </row>
    <row r="1994" spans="2:2" x14ac:dyDescent="0.3">
      <c r="B1994" s="84" t="s">
        <v>5395</v>
      </c>
    </row>
    <row r="1995" spans="2:2" x14ac:dyDescent="0.3">
      <c r="B1995" s="84" t="s">
        <v>5396</v>
      </c>
    </row>
    <row r="1996" spans="2:2" x14ac:dyDescent="0.3">
      <c r="B1996" s="84" t="s">
        <v>5397</v>
      </c>
    </row>
    <row r="1997" spans="2:2" x14ac:dyDescent="0.3">
      <c r="B1997" s="84" t="s">
        <v>5398</v>
      </c>
    </row>
    <row r="1998" spans="2:2" x14ac:dyDescent="0.3">
      <c r="B1998" s="84" t="s">
        <v>5399</v>
      </c>
    </row>
    <row r="1999" spans="2:2" x14ac:dyDescent="0.3">
      <c r="B1999" s="84" t="s">
        <v>5400</v>
      </c>
    </row>
    <row r="2000" spans="2:2" x14ac:dyDescent="0.3">
      <c r="B2000" s="84" t="s">
        <v>5401</v>
      </c>
    </row>
    <row r="2001" spans="2:2" x14ac:dyDescent="0.3">
      <c r="B2001" s="84" t="s">
        <v>5402</v>
      </c>
    </row>
    <row r="2002" spans="2:2" x14ac:dyDescent="0.3">
      <c r="B2002" s="84" t="s">
        <v>5403</v>
      </c>
    </row>
    <row r="2003" spans="2:2" x14ac:dyDescent="0.3">
      <c r="B2003" s="84" t="s">
        <v>5404</v>
      </c>
    </row>
    <row r="2004" spans="2:2" x14ac:dyDescent="0.3">
      <c r="B2004" s="84" t="s">
        <v>5405</v>
      </c>
    </row>
    <row r="2005" spans="2:2" x14ac:dyDescent="0.3">
      <c r="B2005" s="84" t="s">
        <v>5406</v>
      </c>
    </row>
    <row r="2006" spans="2:2" x14ac:dyDescent="0.3">
      <c r="B2006" s="84" t="s">
        <v>5407</v>
      </c>
    </row>
    <row r="2007" spans="2:2" x14ac:dyDescent="0.3">
      <c r="B2007" s="84" t="s">
        <v>5408</v>
      </c>
    </row>
    <row r="2008" spans="2:2" x14ac:dyDescent="0.3">
      <c r="B2008" s="84" t="s">
        <v>5409</v>
      </c>
    </row>
    <row r="2009" spans="2:2" x14ac:dyDescent="0.3">
      <c r="B2009" s="84" t="s">
        <v>5410</v>
      </c>
    </row>
    <row r="2010" spans="2:2" x14ac:dyDescent="0.3">
      <c r="B2010" s="84" t="s">
        <v>5411</v>
      </c>
    </row>
    <row r="2011" spans="2:2" x14ac:dyDescent="0.3">
      <c r="B2011" s="84" t="s">
        <v>5412</v>
      </c>
    </row>
    <row r="2012" spans="2:2" x14ac:dyDescent="0.3">
      <c r="B2012" s="84" t="s">
        <v>5413</v>
      </c>
    </row>
    <row r="2013" spans="2:2" x14ac:dyDescent="0.3">
      <c r="B2013" s="84" t="s">
        <v>2501</v>
      </c>
    </row>
    <row r="2014" spans="2:2" x14ac:dyDescent="0.3">
      <c r="B2014" s="84" t="s">
        <v>1790</v>
      </c>
    </row>
    <row r="2015" spans="2:2" x14ac:dyDescent="0.3">
      <c r="B2015" s="84" t="s">
        <v>1793</v>
      </c>
    </row>
    <row r="2016" spans="2:2" x14ac:dyDescent="0.3">
      <c r="B2016" s="84" t="s">
        <v>2502</v>
      </c>
    </row>
    <row r="2017" spans="2:2" x14ac:dyDescent="0.3">
      <c r="B2017" s="84" t="s">
        <v>2503</v>
      </c>
    </row>
    <row r="2018" spans="2:2" x14ac:dyDescent="0.3">
      <c r="B2018" s="84" t="s">
        <v>2504</v>
      </c>
    </row>
    <row r="2019" spans="2:2" x14ac:dyDescent="0.3">
      <c r="B2019" s="84" t="s">
        <v>2505</v>
      </c>
    </row>
    <row r="2020" spans="2:2" x14ac:dyDescent="0.3">
      <c r="B2020" s="84" t="s">
        <v>1794</v>
      </c>
    </row>
    <row r="2021" spans="2:2" x14ac:dyDescent="0.3">
      <c r="B2021" s="84" t="s">
        <v>2506</v>
      </c>
    </row>
    <row r="2022" spans="2:2" x14ac:dyDescent="0.3">
      <c r="B2022" s="84" t="s">
        <v>2507</v>
      </c>
    </row>
    <row r="2023" spans="2:2" x14ac:dyDescent="0.3">
      <c r="B2023" s="84" t="s">
        <v>2508</v>
      </c>
    </row>
    <row r="2024" spans="2:2" x14ac:dyDescent="0.3">
      <c r="B2024" s="84" t="s">
        <v>1795</v>
      </c>
    </row>
    <row r="2025" spans="2:2" x14ac:dyDescent="0.3">
      <c r="B2025" s="84" t="s">
        <v>2509</v>
      </c>
    </row>
    <row r="2026" spans="2:2" x14ac:dyDescent="0.3">
      <c r="B2026" s="84" t="s">
        <v>2510</v>
      </c>
    </row>
    <row r="2027" spans="2:2" x14ac:dyDescent="0.3">
      <c r="B2027" s="84" t="s">
        <v>2511</v>
      </c>
    </row>
    <row r="2028" spans="2:2" x14ac:dyDescent="0.3">
      <c r="B2028" s="84" t="s">
        <v>1796</v>
      </c>
    </row>
    <row r="2029" spans="2:2" x14ac:dyDescent="0.3">
      <c r="B2029" s="84" t="s">
        <v>2512</v>
      </c>
    </row>
    <row r="2030" spans="2:2" x14ac:dyDescent="0.3">
      <c r="B2030" s="84" t="s">
        <v>2513</v>
      </c>
    </row>
    <row r="2031" spans="2:2" x14ac:dyDescent="0.3">
      <c r="B2031" s="84" t="s">
        <v>2514</v>
      </c>
    </row>
    <row r="2032" spans="2:2" x14ac:dyDescent="0.3">
      <c r="B2032" s="84" t="s">
        <v>2515</v>
      </c>
    </row>
    <row r="2033" spans="2:2" x14ac:dyDescent="0.3">
      <c r="B2033" s="84" t="s">
        <v>1797</v>
      </c>
    </row>
    <row r="2034" spans="2:2" x14ac:dyDescent="0.3">
      <c r="B2034" s="84" t="s">
        <v>1800</v>
      </c>
    </row>
    <row r="2035" spans="2:2" x14ac:dyDescent="0.3">
      <c r="B2035" s="84" t="s">
        <v>2516</v>
      </c>
    </row>
    <row r="2036" spans="2:2" x14ac:dyDescent="0.3">
      <c r="B2036" s="84" t="s">
        <v>2517</v>
      </c>
    </row>
    <row r="2037" spans="2:2" x14ac:dyDescent="0.3">
      <c r="B2037" s="84" t="s">
        <v>2518</v>
      </c>
    </row>
    <row r="2038" spans="2:2" x14ac:dyDescent="0.3">
      <c r="B2038" s="84" t="s">
        <v>2519</v>
      </c>
    </row>
    <row r="2039" spans="2:2" x14ac:dyDescent="0.3">
      <c r="B2039" s="84" t="s">
        <v>1801</v>
      </c>
    </row>
    <row r="2040" spans="2:2" x14ac:dyDescent="0.3">
      <c r="B2040" s="84" t="s">
        <v>2520</v>
      </c>
    </row>
    <row r="2041" spans="2:2" x14ac:dyDescent="0.3">
      <c r="B2041" s="84" t="s">
        <v>2521</v>
      </c>
    </row>
    <row r="2042" spans="2:2" x14ac:dyDescent="0.3">
      <c r="B2042" s="84" t="s">
        <v>5414</v>
      </c>
    </row>
    <row r="2043" spans="2:2" x14ac:dyDescent="0.3">
      <c r="B2043" s="84" t="s">
        <v>1802</v>
      </c>
    </row>
    <row r="2044" spans="2:2" x14ac:dyDescent="0.3">
      <c r="B2044" s="84" t="s">
        <v>1803</v>
      </c>
    </row>
    <row r="2045" spans="2:2" x14ac:dyDescent="0.3">
      <c r="B2045" s="84" t="s">
        <v>2522</v>
      </c>
    </row>
    <row r="2046" spans="2:2" x14ac:dyDescent="0.3">
      <c r="B2046" s="84" t="s">
        <v>2523</v>
      </c>
    </row>
    <row r="2047" spans="2:2" x14ac:dyDescent="0.3">
      <c r="B2047" s="84" t="s">
        <v>2524</v>
      </c>
    </row>
    <row r="2048" spans="2:2" x14ac:dyDescent="0.3">
      <c r="B2048" s="84" t="s">
        <v>159</v>
      </c>
    </row>
    <row r="2049" spans="2:2" x14ac:dyDescent="0.3">
      <c r="B2049" s="84" t="s">
        <v>5415</v>
      </c>
    </row>
    <row r="2050" spans="2:2" x14ac:dyDescent="0.3">
      <c r="B2050" s="84" t="s">
        <v>5416</v>
      </c>
    </row>
    <row r="2051" spans="2:2" x14ac:dyDescent="0.3">
      <c r="B2051" s="84" t="s">
        <v>5417</v>
      </c>
    </row>
    <row r="2052" spans="2:2" x14ac:dyDescent="0.3">
      <c r="B2052" s="84" t="s">
        <v>5418</v>
      </c>
    </row>
    <row r="2053" spans="2:2" x14ac:dyDescent="0.3">
      <c r="B2053" s="84" t="s">
        <v>5419</v>
      </c>
    </row>
    <row r="2054" spans="2:2" x14ac:dyDescent="0.3">
      <c r="B2054" s="84" t="s">
        <v>5420</v>
      </c>
    </row>
    <row r="2055" spans="2:2" x14ac:dyDescent="0.3">
      <c r="B2055" s="84" t="s">
        <v>5421</v>
      </c>
    </row>
    <row r="2056" spans="2:2" x14ac:dyDescent="0.3">
      <c r="B2056" s="84" t="s">
        <v>5422</v>
      </c>
    </row>
    <row r="2057" spans="2:2" x14ac:dyDescent="0.3">
      <c r="B2057" s="84" t="s">
        <v>5423</v>
      </c>
    </row>
    <row r="2058" spans="2:2" x14ac:dyDescent="0.3">
      <c r="B2058" s="84" t="s">
        <v>5424</v>
      </c>
    </row>
    <row r="2059" spans="2:2" x14ac:dyDescent="0.3">
      <c r="B2059" s="84" t="s">
        <v>5425</v>
      </c>
    </row>
    <row r="2060" spans="2:2" x14ac:dyDescent="0.3">
      <c r="B2060" s="84" t="s">
        <v>5426</v>
      </c>
    </row>
    <row r="2061" spans="2:2" x14ac:dyDescent="0.3">
      <c r="B2061" s="84" t="s">
        <v>5427</v>
      </c>
    </row>
    <row r="2062" spans="2:2" x14ac:dyDescent="0.3">
      <c r="B2062" s="84" t="s">
        <v>5428</v>
      </c>
    </row>
    <row r="2063" spans="2:2" x14ac:dyDescent="0.3">
      <c r="B2063" s="84" t="s">
        <v>5429</v>
      </c>
    </row>
    <row r="2064" spans="2:2" x14ac:dyDescent="0.3">
      <c r="B2064" s="84" t="s">
        <v>5430</v>
      </c>
    </row>
    <row r="2065" spans="2:2" x14ac:dyDescent="0.3">
      <c r="B2065" s="84" t="s">
        <v>5431</v>
      </c>
    </row>
    <row r="2066" spans="2:2" x14ac:dyDescent="0.3">
      <c r="B2066" s="84" t="s">
        <v>5432</v>
      </c>
    </row>
    <row r="2067" spans="2:2" x14ac:dyDescent="0.3">
      <c r="B2067" s="84" t="s">
        <v>5433</v>
      </c>
    </row>
    <row r="2068" spans="2:2" x14ac:dyDescent="0.3">
      <c r="B2068" s="84" t="s">
        <v>5434</v>
      </c>
    </row>
    <row r="2069" spans="2:2" x14ac:dyDescent="0.3">
      <c r="B2069" s="84" t="s">
        <v>5435</v>
      </c>
    </row>
    <row r="2070" spans="2:2" x14ac:dyDescent="0.3">
      <c r="B2070" s="84" t="s">
        <v>5436</v>
      </c>
    </row>
    <row r="2071" spans="2:2" x14ac:dyDescent="0.3">
      <c r="B2071" s="84" t="s">
        <v>5437</v>
      </c>
    </row>
    <row r="2072" spans="2:2" x14ac:dyDescent="0.3">
      <c r="B2072" s="84" t="s">
        <v>5438</v>
      </c>
    </row>
    <row r="2073" spans="2:2" x14ac:dyDescent="0.3">
      <c r="B2073" s="84" t="s">
        <v>5439</v>
      </c>
    </row>
    <row r="2074" spans="2:2" x14ac:dyDescent="0.3">
      <c r="B2074" s="84" t="s">
        <v>5440</v>
      </c>
    </row>
    <row r="2075" spans="2:2" x14ac:dyDescent="0.3">
      <c r="B2075" s="84" t="s">
        <v>5441</v>
      </c>
    </row>
    <row r="2076" spans="2:2" x14ac:dyDescent="0.3">
      <c r="B2076" s="84" t="s">
        <v>5442</v>
      </c>
    </row>
    <row r="2077" spans="2:2" x14ac:dyDescent="0.3">
      <c r="B2077" s="84" t="s">
        <v>5443</v>
      </c>
    </row>
    <row r="2078" spans="2:2" x14ac:dyDescent="0.3">
      <c r="B2078" s="84" t="s">
        <v>5444</v>
      </c>
    </row>
    <row r="2079" spans="2:2" x14ac:dyDescent="0.3">
      <c r="B2079" s="84" t="s">
        <v>5445</v>
      </c>
    </row>
    <row r="2080" spans="2:2" x14ac:dyDescent="0.3">
      <c r="B2080" s="84" t="s">
        <v>5446</v>
      </c>
    </row>
    <row r="2081" spans="2:2" x14ac:dyDescent="0.3">
      <c r="B2081" s="84" t="s">
        <v>5447</v>
      </c>
    </row>
    <row r="2082" spans="2:2" x14ac:dyDescent="0.3">
      <c r="B2082" s="84" t="s">
        <v>5448</v>
      </c>
    </row>
    <row r="2083" spans="2:2" x14ac:dyDescent="0.3">
      <c r="B2083" s="84" t="s">
        <v>5449</v>
      </c>
    </row>
    <row r="2084" spans="2:2" x14ac:dyDescent="0.3">
      <c r="B2084" s="84" t="s">
        <v>5450</v>
      </c>
    </row>
    <row r="2085" spans="2:2" x14ac:dyDescent="0.3">
      <c r="B2085" s="84" t="s">
        <v>5451</v>
      </c>
    </row>
    <row r="2086" spans="2:2" x14ac:dyDescent="0.3">
      <c r="B2086" s="84" t="s">
        <v>5452</v>
      </c>
    </row>
    <row r="2087" spans="2:2" x14ac:dyDescent="0.3">
      <c r="B2087" s="84" t="s">
        <v>5453</v>
      </c>
    </row>
    <row r="2088" spans="2:2" x14ac:dyDescent="0.3">
      <c r="B2088" s="84" t="s">
        <v>5454</v>
      </c>
    </row>
    <row r="2089" spans="2:2" x14ac:dyDescent="0.3">
      <c r="B2089" s="84" t="s">
        <v>5455</v>
      </c>
    </row>
    <row r="2090" spans="2:2" x14ac:dyDescent="0.3">
      <c r="B2090" s="84" t="s">
        <v>5456</v>
      </c>
    </row>
    <row r="2091" spans="2:2" x14ac:dyDescent="0.3">
      <c r="B2091" s="84" t="s">
        <v>5457</v>
      </c>
    </row>
    <row r="2092" spans="2:2" x14ac:dyDescent="0.3">
      <c r="B2092" s="84" t="s">
        <v>5458</v>
      </c>
    </row>
    <row r="2093" spans="2:2" x14ac:dyDescent="0.3">
      <c r="B2093" s="84" t="s">
        <v>5459</v>
      </c>
    </row>
    <row r="2094" spans="2:2" x14ac:dyDescent="0.3">
      <c r="B2094" s="84" t="s">
        <v>5460</v>
      </c>
    </row>
    <row r="2095" spans="2:2" x14ac:dyDescent="0.3">
      <c r="B2095" s="84" t="s">
        <v>5461</v>
      </c>
    </row>
    <row r="2096" spans="2:2" x14ac:dyDescent="0.3">
      <c r="B2096" s="84" t="s">
        <v>5462</v>
      </c>
    </row>
    <row r="2097" spans="2:2" x14ac:dyDescent="0.3">
      <c r="B2097" s="84" t="s">
        <v>5463</v>
      </c>
    </row>
    <row r="2098" spans="2:2" x14ac:dyDescent="0.3">
      <c r="B2098" s="84" t="s">
        <v>5464</v>
      </c>
    </row>
    <row r="2099" spans="2:2" x14ac:dyDescent="0.3">
      <c r="B2099" s="84" t="s">
        <v>5465</v>
      </c>
    </row>
    <row r="2100" spans="2:2" x14ac:dyDescent="0.3">
      <c r="B2100" s="84" t="s">
        <v>5466</v>
      </c>
    </row>
    <row r="2101" spans="2:2" x14ac:dyDescent="0.3">
      <c r="B2101" s="84" t="s">
        <v>5467</v>
      </c>
    </row>
    <row r="2102" spans="2:2" x14ac:dyDescent="0.3">
      <c r="B2102" s="84" t="s">
        <v>5468</v>
      </c>
    </row>
    <row r="2103" spans="2:2" x14ac:dyDescent="0.3">
      <c r="B2103" s="84" t="s">
        <v>5469</v>
      </c>
    </row>
    <row r="2104" spans="2:2" x14ac:dyDescent="0.3">
      <c r="B2104" s="84" t="s">
        <v>5470</v>
      </c>
    </row>
    <row r="2105" spans="2:2" x14ac:dyDescent="0.3">
      <c r="B2105" s="84" t="s">
        <v>5471</v>
      </c>
    </row>
    <row r="2106" spans="2:2" x14ac:dyDescent="0.3">
      <c r="B2106" s="84" t="s">
        <v>5472</v>
      </c>
    </row>
    <row r="2107" spans="2:2" x14ac:dyDescent="0.3">
      <c r="B2107" s="84" t="s">
        <v>5473</v>
      </c>
    </row>
    <row r="2108" spans="2:2" x14ac:dyDescent="0.3">
      <c r="B2108" s="84" t="s">
        <v>5474</v>
      </c>
    </row>
    <row r="2109" spans="2:2" x14ac:dyDescent="0.3">
      <c r="B2109" s="84" t="s">
        <v>5475</v>
      </c>
    </row>
    <row r="2110" spans="2:2" x14ac:dyDescent="0.3">
      <c r="B2110" s="84" t="s">
        <v>5476</v>
      </c>
    </row>
    <row r="2111" spans="2:2" x14ac:dyDescent="0.3">
      <c r="B2111" s="84" t="s">
        <v>5477</v>
      </c>
    </row>
    <row r="2112" spans="2:2" x14ac:dyDescent="0.3">
      <c r="B2112" s="84" t="s">
        <v>5478</v>
      </c>
    </row>
    <row r="2113" spans="2:2" x14ac:dyDescent="0.3">
      <c r="B2113" s="84" t="s">
        <v>5479</v>
      </c>
    </row>
    <row r="2114" spans="2:2" x14ac:dyDescent="0.3">
      <c r="B2114" s="84" t="s">
        <v>5480</v>
      </c>
    </row>
    <row r="2115" spans="2:2" x14ac:dyDescent="0.3">
      <c r="B2115" s="84" t="s">
        <v>5481</v>
      </c>
    </row>
    <row r="2116" spans="2:2" x14ac:dyDescent="0.3">
      <c r="B2116" s="84" t="s">
        <v>5482</v>
      </c>
    </row>
    <row r="2117" spans="2:2" x14ac:dyDescent="0.3">
      <c r="B2117" s="84" t="s">
        <v>5483</v>
      </c>
    </row>
    <row r="2118" spans="2:2" x14ac:dyDescent="0.3">
      <c r="B2118" s="84" t="s">
        <v>5484</v>
      </c>
    </row>
    <row r="2119" spans="2:2" x14ac:dyDescent="0.3">
      <c r="B2119" s="84" t="s">
        <v>5485</v>
      </c>
    </row>
    <row r="2120" spans="2:2" x14ac:dyDescent="0.3">
      <c r="B2120" s="84" t="s">
        <v>5486</v>
      </c>
    </row>
    <row r="2121" spans="2:2" x14ac:dyDescent="0.3">
      <c r="B2121" s="84" t="s">
        <v>5487</v>
      </c>
    </row>
    <row r="2122" spans="2:2" x14ac:dyDescent="0.3">
      <c r="B2122" s="84" t="s">
        <v>5488</v>
      </c>
    </row>
    <row r="2123" spans="2:2" x14ac:dyDescent="0.3">
      <c r="B2123" s="84" t="s">
        <v>5489</v>
      </c>
    </row>
    <row r="2124" spans="2:2" x14ac:dyDescent="0.3">
      <c r="B2124" s="84" t="s">
        <v>5490</v>
      </c>
    </row>
    <row r="2125" spans="2:2" x14ac:dyDescent="0.3">
      <c r="B2125" s="84" t="s">
        <v>5491</v>
      </c>
    </row>
    <row r="2126" spans="2:2" x14ac:dyDescent="0.3">
      <c r="B2126" s="84" t="s">
        <v>5492</v>
      </c>
    </row>
    <row r="2127" spans="2:2" x14ac:dyDescent="0.3">
      <c r="B2127" s="84" t="s">
        <v>5493</v>
      </c>
    </row>
    <row r="2128" spans="2:2" x14ac:dyDescent="0.3">
      <c r="B2128" s="84" t="s">
        <v>5494</v>
      </c>
    </row>
    <row r="2129" spans="2:2" x14ac:dyDescent="0.3">
      <c r="B2129" s="84" t="s">
        <v>5495</v>
      </c>
    </row>
    <row r="2130" spans="2:2" x14ac:dyDescent="0.3">
      <c r="B2130" s="84" t="s">
        <v>5496</v>
      </c>
    </row>
    <row r="2131" spans="2:2" x14ac:dyDescent="0.3">
      <c r="B2131" s="84" t="s">
        <v>5497</v>
      </c>
    </row>
    <row r="2132" spans="2:2" x14ac:dyDescent="0.3">
      <c r="B2132" s="84" t="s">
        <v>5498</v>
      </c>
    </row>
    <row r="2133" spans="2:2" x14ac:dyDescent="0.3">
      <c r="B2133" s="84" t="s">
        <v>5499</v>
      </c>
    </row>
    <row r="2134" spans="2:2" x14ac:dyDescent="0.3">
      <c r="B2134" s="84" t="s">
        <v>5500</v>
      </c>
    </row>
    <row r="2135" spans="2:2" x14ac:dyDescent="0.3">
      <c r="B2135" s="84" t="s">
        <v>5501</v>
      </c>
    </row>
    <row r="2136" spans="2:2" x14ac:dyDescent="0.3">
      <c r="B2136" s="84" t="s">
        <v>5502</v>
      </c>
    </row>
    <row r="2137" spans="2:2" x14ac:dyDescent="0.3">
      <c r="B2137" s="84" t="s">
        <v>5503</v>
      </c>
    </row>
    <row r="2138" spans="2:2" x14ac:dyDescent="0.3">
      <c r="B2138" s="84" t="s">
        <v>5504</v>
      </c>
    </row>
    <row r="2139" spans="2:2" x14ac:dyDescent="0.3">
      <c r="B2139" s="84" t="s">
        <v>5505</v>
      </c>
    </row>
    <row r="2140" spans="2:2" x14ac:dyDescent="0.3">
      <c r="B2140" s="84" t="s">
        <v>5506</v>
      </c>
    </row>
    <row r="2141" spans="2:2" x14ac:dyDescent="0.3">
      <c r="B2141" s="84" t="s">
        <v>5507</v>
      </c>
    </row>
    <row r="2142" spans="2:2" x14ac:dyDescent="0.3">
      <c r="B2142" s="84" t="s">
        <v>5508</v>
      </c>
    </row>
    <row r="2143" spans="2:2" x14ac:dyDescent="0.3">
      <c r="B2143" s="84" t="s">
        <v>5509</v>
      </c>
    </row>
    <row r="2144" spans="2:2" x14ac:dyDescent="0.3">
      <c r="B2144" s="84" t="s">
        <v>5510</v>
      </c>
    </row>
    <row r="2145" spans="2:2" x14ac:dyDescent="0.3">
      <c r="B2145" s="84" t="s">
        <v>5511</v>
      </c>
    </row>
    <row r="2146" spans="2:2" x14ac:dyDescent="0.3">
      <c r="B2146" s="84" t="s">
        <v>5512</v>
      </c>
    </row>
    <row r="2147" spans="2:2" x14ac:dyDescent="0.3">
      <c r="B2147" s="84" t="s">
        <v>5513</v>
      </c>
    </row>
    <row r="2148" spans="2:2" x14ac:dyDescent="0.3">
      <c r="B2148" s="84" t="s">
        <v>5514</v>
      </c>
    </row>
    <row r="2149" spans="2:2" x14ac:dyDescent="0.3">
      <c r="B2149" s="84" t="s">
        <v>5515</v>
      </c>
    </row>
    <row r="2150" spans="2:2" x14ac:dyDescent="0.3">
      <c r="B2150" s="84" t="s">
        <v>5516</v>
      </c>
    </row>
    <row r="2151" spans="2:2" x14ac:dyDescent="0.3">
      <c r="B2151" s="84" t="s">
        <v>5517</v>
      </c>
    </row>
    <row r="2152" spans="2:2" x14ac:dyDescent="0.3">
      <c r="B2152" s="84" t="s">
        <v>5518</v>
      </c>
    </row>
    <row r="2153" spans="2:2" x14ac:dyDescent="0.3">
      <c r="B2153" s="84" t="s">
        <v>5519</v>
      </c>
    </row>
    <row r="2154" spans="2:2" x14ac:dyDescent="0.3">
      <c r="B2154" s="84" t="s">
        <v>5520</v>
      </c>
    </row>
    <row r="2155" spans="2:2" x14ac:dyDescent="0.3">
      <c r="B2155" s="84" t="s">
        <v>5521</v>
      </c>
    </row>
    <row r="2156" spans="2:2" x14ac:dyDescent="0.3">
      <c r="B2156" s="84" t="s">
        <v>5522</v>
      </c>
    </row>
    <row r="2157" spans="2:2" x14ac:dyDescent="0.3">
      <c r="B2157" s="84" t="s">
        <v>5523</v>
      </c>
    </row>
    <row r="2158" spans="2:2" x14ac:dyDescent="0.3">
      <c r="B2158" s="84" t="s">
        <v>5524</v>
      </c>
    </row>
    <row r="2159" spans="2:2" x14ac:dyDescent="0.3">
      <c r="B2159" s="84" t="s">
        <v>5525</v>
      </c>
    </row>
    <row r="2160" spans="2:2" x14ac:dyDescent="0.3">
      <c r="B2160" s="84" t="s">
        <v>5526</v>
      </c>
    </row>
    <row r="2161" spans="2:2" x14ac:dyDescent="0.3">
      <c r="B2161" s="84" t="s">
        <v>5527</v>
      </c>
    </row>
    <row r="2162" spans="2:2" x14ac:dyDescent="0.3">
      <c r="B2162" s="84" t="s">
        <v>5528</v>
      </c>
    </row>
    <row r="2163" spans="2:2" x14ac:dyDescent="0.3">
      <c r="B2163" s="84" t="s">
        <v>5529</v>
      </c>
    </row>
    <row r="2164" spans="2:2" x14ac:dyDescent="0.3">
      <c r="B2164" s="84" t="s">
        <v>5530</v>
      </c>
    </row>
    <row r="2165" spans="2:2" x14ac:dyDescent="0.3">
      <c r="B2165" s="84" t="s">
        <v>5531</v>
      </c>
    </row>
    <row r="2166" spans="2:2" x14ac:dyDescent="0.3">
      <c r="B2166" s="84" t="s">
        <v>5532</v>
      </c>
    </row>
    <row r="2167" spans="2:2" x14ac:dyDescent="0.3">
      <c r="B2167" s="84" t="s">
        <v>5533</v>
      </c>
    </row>
    <row r="2168" spans="2:2" x14ac:dyDescent="0.3">
      <c r="B2168" s="84" t="s">
        <v>5534</v>
      </c>
    </row>
    <row r="2169" spans="2:2" x14ac:dyDescent="0.3">
      <c r="B2169" s="84" t="s">
        <v>5535</v>
      </c>
    </row>
    <row r="2170" spans="2:2" x14ac:dyDescent="0.3">
      <c r="B2170" s="84" t="s">
        <v>5536</v>
      </c>
    </row>
    <row r="2171" spans="2:2" x14ac:dyDescent="0.3">
      <c r="B2171" s="84" t="s">
        <v>5537</v>
      </c>
    </row>
    <row r="2172" spans="2:2" x14ac:dyDescent="0.3">
      <c r="B2172" s="84" t="s">
        <v>5538</v>
      </c>
    </row>
    <row r="2173" spans="2:2" x14ac:dyDescent="0.3">
      <c r="B2173" s="84" t="s">
        <v>5539</v>
      </c>
    </row>
    <row r="2174" spans="2:2" x14ac:dyDescent="0.3">
      <c r="B2174" s="84" t="s">
        <v>5540</v>
      </c>
    </row>
    <row r="2175" spans="2:2" x14ac:dyDescent="0.3">
      <c r="B2175" s="84" t="s">
        <v>5541</v>
      </c>
    </row>
    <row r="2176" spans="2:2" x14ac:dyDescent="0.3">
      <c r="B2176" s="84" t="s">
        <v>5542</v>
      </c>
    </row>
    <row r="2177" spans="2:2" x14ac:dyDescent="0.3">
      <c r="B2177" s="84" t="s">
        <v>5543</v>
      </c>
    </row>
    <row r="2178" spans="2:2" x14ac:dyDescent="0.3">
      <c r="B2178" s="84" t="s">
        <v>5544</v>
      </c>
    </row>
    <row r="2179" spans="2:2" x14ac:dyDescent="0.3">
      <c r="B2179" s="84" t="s">
        <v>5545</v>
      </c>
    </row>
    <row r="2180" spans="2:2" x14ac:dyDescent="0.3">
      <c r="B2180" s="84" t="s">
        <v>5546</v>
      </c>
    </row>
    <row r="2181" spans="2:2" x14ac:dyDescent="0.3">
      <c r="B2181" s="84" t="s">
        <v>5547</v>
      </c>
    </row>
    <row r="2182" spans="2:2" x14ac:dyDescent="0.3">
      <c r="B2182" s="84" t="s">
        <v>5548</v>
      </c>
    </row>
    <row r="2183" spans="2:2" x14ac:dyDescent="0.3">
      <c r="B2183" s="84" t="s">
        <v>5549</v>
      </c>
    </row>
    <row r="2184" spans="2:2" x14ac:dyDescent="0.3">
      <c r="B2184" s="84" t="s">
        <v>5550</v>
      </c>
    </row>
    <row r="2185" spans="2:2" x14ac:dyDescent="0.3">
      <c r="B2185" s="84" t="s">
        <v>5551</v>
      </c>
    </row>
    <row r="2186" spans="2:2" x14ac:dyDescent="0.3">
      <c r="B2186" s="84" t="s">
        <v>5552</v>
      </c>
    </row>
    <row r="2187" spans="2:2" x14ac:dyDescent="0.3">
      <c r="B2187" s="84" t="s">
        <v>5553</v>
      </c>
    </row>
    <row r="2188" spans="2:2" x14ac:dyDescent="0.3">
      <c r="B2188" s="84" t="s">
        <v>5554</v>
      </c>
    </row>
    <row r="2189" spans="2:2" x14ac:dyDescent="0.3">
      <c r="B2189" s="84" t="s">
        <v>5555</v>
      </c>
    </row>
    <row r="2190" spans="2:2" x14ac:dyDescent="0.3">
      <c r="B2190" s="84" t="s">
        <v>5556</v>
      </c>
    </row>
    <row r="2191" spans="2:2" x14ac:dyDescent="0.3">
      <c r="B2191" s="84" t="s">
        <v>5557</v>
      </c>
    </row>
    <row r="2192" spans="2:2" x14ac:dyDescent="0.3">
      <c r="B2192" s="84" t="s">
        <v>5558</v>
      </c>
    </row>
    <row r="2193" spans="2:2" x14ac:dyDescent="0.3">
      <c r="B2193" s="84" t="s">
        <v>5559</v>
      </c>
    </row>
    <row r="2194" spans="2:2" x14ac:dyDescent="0.3">
      <c r="B2194" s="84" t="s">
        <v>5560</v>
      </c>
    </row>
    <row r="2195" spans="2:2" x14ac:dyDescent="0.3">
      <c r="B2195" s="84" t="s">
        <v>5561</v>
      </c>
    </row>
    <row r="2196" spans="2:2" x14ac:dyDescent="0.3">
      <c r="B2196" s="84" t="s">
        <v>5562</v>
      </c>
    </row>
    <row r="2197" spans="2:2" x14ac:dyDescent="0.3">
      <c r="B2197" s="84" t="s">
        <v>5563</v>
      </c>
    </row>
    <row r="2198" spans="2:2" x14ac:dyDescent="0.3">
      <c r="B2198" s="84" t="s">
        <v>5564</v>
      </c>
    </row>
    <row r="2199" spans="2:2" x14ac:dyDescent="0.3">
      <c r="B2199" s="84" t="s">
        <v>5565</v>
      </c>
    </row>
    <row r="2200" spans="2:2" x14ac:dyDescent="0.3">
      <c r="B2200" s="84" t="s">
        <v>5566</v>
      </c>
    </row>
    <row r="2201" spans="2:2" x14ac:dyDescent="0.3">
      <c r="B2201" s="84" t="s">
        <v>5567</v>
      </c>
    </row>
    <row r="2202" spans="2:2" x14ac:dyDescent="0.3">
      <c r="B2202" s="84" t="s">
        <v>5568</v>
      </c>
    </row>
    <row r="2203" spans="2:2" x14ac:dyDescent="0.3">
      <c r="B2203" s="84" t="s">
        <v>5569</v>
      </c>
    </row>
    <row r="2204" spans="2:2" x14ac:dyDescent="0.3">
      <c r="B2204" s="84" t="s">
        <v>5570</v>
      </c>
    </row>
    <row r="2205" spans="2:2" x14ac:dyDescent="0.3">
      <c r="B2205" s="84" t="s">
        <v>5571</v>
      </c>
    </row>
    <row r="2206" spans="2:2" x14ac:dyDescent="0.3">
      <c r="B2206" s="84" t="s">
        <v>5572</v>
      </c>
    </row>
    <row r="2207" spans="2:2" x14ac:dyDescent="0.3">
      <c r="B2207" s="84" t="s">
        <v>5573</v>
      </c>
    </row>
    <row r="2208" spans="2:2" x14ac:dyDescent="0.3">
      <c r="B2208" s="84" t="s">
        <v>5574</v>
      </c>
    </row>
    <row r="2209" spans="2:2" x14ac:dyDescent="0.3">
      <c r="B2209" s="84" t="s">
        <v>5575</v>
      </c>
    </row>
    <row r="2210" spans="2:2" x14ac:dyDescent="0.3">
      <c r="B2210" s="84" t="s">
        <v>5576</v>
      </c>
    </row>
    <row r="2211" spans="2:2" x14ac:dyDescent="0.3">
      <c r="B2211" s="84" t="s">
        <v>5577</v>
      </c>
    </row>
    <row r="2212" spans="2:2" x14ac:dyDescent="0.3">
      <c r="B2212" s="84" t="s">
        <v>5578</v>
      </c>
    </row>
    <row r="2213" spans="2:2" x14ac:dyDescent="0.3">
      <c r="B2213" s="84" t="s">
        <v>5579</v>
      </c>
    </row>
    <row r="2214" spans="2:2" x14ac:dyDescent="0.3">
      <c r="B2214" s="84" t="s">
        <v>5580</v>
      </c>
    </row>
    <row r="2215" spans="2:2" x14ac:dyDescent="0.3">
      <c r="B2215" s="84" t="s">
        <v>5581</v>
      </c>
    </row>
    <row r="2216" spans="2:2" x14ac:dyDescent="0.3">
      <c r="B2216" s="84" t="s">
        <v>5582</v>
      </c>
    </row>
    <row r="2217" spans="2:2" x14ac:dyDescent="0.3">
      <c r="B2217" s="84" t="s">
        <v>5583</v>
      </c>
    </row>
    <row r="2218" spans="2:2" x14ac:dyDescent="0.3">
      <c r="B2218" s="84" t="s">
        <v>5584</v>
      </c>
    </row>
    <row r="2219" spans="2:2" x14ac:dyDescent="0.3">
      <c r="B2219" s="84" t="s">
        <v>5585</v>
      </c>
    </row>
    <row r="2220" spans="2:2" x14ac:dyDescent="0.3">
      <c r="B2220" s="84" t="s">
        <v>5586</v>
      </c>
    </row>
    <row r="2221" spans="2:2" x14ac:dyDescent="0.3">
      <c r="B2221" s="84" t="s">
        <v>5587</v>
      </c>
    </row>
    <row r="2222" spans="2:2" x14ac:dyDescent="0.3">
      <c r="B2222" s="84" t="s">
        <v>5588</v>
      </c>
    </row>
    <row r="2223" spans="2:2" x14ac:dyDescent="0.3">
      <c r="B2223" s="84" t="s">
        <v>5589</v>
      </c>
    </row>
    <row r="2224" spans="2:2" x14ac:dyDescent="0.3">
      <c r="B2224" s="84" t="s">
        <v>5590</v>
      </c>
    </row>
    <row r="2225" spans="2:2" x14ac:dyDescent="0.3">
      <c r="B2225" s="84" t="s">
        <v>5591</v>
      </c>
    </row>
    <row r="2226" spans="2:2" x14ac:dyDescent="0.3">
      <c r="B2226" s="84" t="s">
        <v>5592</v>
      </c>
    </row>
    <row r="2227" spans="2:2" x14ac:dyDescent="0.3">
      <c r="B2227" s="84" t="s">
        <v>5593</v>
      </c>
    </row>
    <row r="2228" spans="2:2" x14ac:dyDescent="0.3">
      <c r="B2228" s="84" t="s">
        <v>5594</v>
      </c>
    </row>
    <row r="2229" spans="2:2" x14ac:dyDescent="0.3">
      <c r="B2229" s="84" t="s">
        <v>5595</v>
      </c>
    </row>
    <row r="2230" spans="2:2" x14ac:dyDescent="0.3">
      <c r="B2230" s="84" t="s">
        <v>5596</v>
      </c>
    </row>
    <row r="2231" spans="2:2" x14ac:dyDescent="0.3">
      <c r="B2231" s="84" t="s">
        <v>5597</v>
      </c>
    </row>
    <row r="2232" spans="2:2" x14ac:dyDescent="0.3">
      <c r="B2232" s="84" t="s">
        <v>5598</v>
      </c>
    </row>
    <row r="2233" spans="2:2" x14ac:dyDescent="0.3">
      <c r="B2233" s="84" t="s">
        <v>5599</v>
      </c>
    </row>
    <row r="2234" spans="2:2" x14ac:dyDescent="0.3">
      <c r="B2234" s="84" t="s">
        <v>1842</v>
      </c>
    </row>
    <row r="2235" spans="2:2" x14ac:dyDescent="0.3">
      <c r="B2235" s="84" t="s">
        <v>1843</v>
      </c>
    </row>
    <row r="2236" spans="2:2" x14ac:dyDescent="0.3">
      <c r="B2236" s="84" t="s">
        <v>1844</v>
      </c>
    </row>
    <row r="2237" spans="2:2" x14ac:dyDescent="0.3">
      <c r="B2237" s="84" t="s">
        <v>1845</v>
      </c>
    </row>
    <row r="2238" spans="2:2" x14ac:dyDescent="0.3">
      <c r="B2238" s="84" t="s">
        <v>1846</v>
      </c>
    </row>
    <row r="2239" spans="2:2" x14ac:dyDescent="0.3">
      <c r="B2239" s="84" t="s">
        <v>1847</v>
      </c>
    </row>
    <row r="2240" spans="2:2" x14ac:dyDescent="0.3">
      <c r="B2240" s="84" t="s">
        <v>1848</v>
      </c>
    </row>
    <row r="2241" spans="2:2" x14ac:dyDescent="0.3">
      <c r="B2241" s="84" t="s">
        <v>1849</v>
      </c>
    </row>
    <row r="2242" spans="2:2" x14ac:dyDescent="0.3">
      <c r="B2242" s="84" t="s">
        <v>1850</v>
      </c>
    </row>
    <row r="2243" spans="2:2" x14ac:dyDescent="0.3">
      <c r="B2243" s="84" t="s">
        <v>1851</v>
      </c>
    </row>
    <row r="2244" spans="2:2" x14ac:dyDescent="0.3">
      <c r="B2244" s="84" t="s">
        <v>1852</v>
      </c>
    </row>
    <row r="2245" spans="2:2" x14ac:dyDescent="0.3">
      <c r="B2245" s="84" t="s">
        <v>1853</v>
      </c>
    </row>
    <row r="2246" spans="2:2" x14ac:dyDescent="0.3">
      <c r="B2246" s="84" t="s">
        <v>1854</v>
      </c>
    </row>
    <row r="2247" spans="2:2" x14ac:dyDescent="0.3">
      <c r="B2247" s="84" t="s">
        <v>1855</v>
      </c>
    </row>
    <row r="2248" spans="2:2" x14ac:dyDescent="0.3">
      <c r="B2248" s="84" t="s">
        <v>1856</v>
      </c>
    </row>
    <row r="2249" spans="2:2" x14ac:dyDescent="0.3">
      <c r="B2249" s="84" t="s">
        <v>1857</v>
      </c>
    </row>
    <row r="2250" spans="2:2" x14ac:dyDescent="0.3">
      <c r="B2250" s="84" t="s">
        <v>1858</v>
      </c>
    </row>
    <row r="2251" spans="2:2" x14ac:dyDescent="0.3">
      <c r="B2251" s="84" t="s">
        <v>1859</v>
      </c>
    </row>
    <row r="2252" spans="2:2" x14ac:dyDescent="0.3">
      <c r="B2252" s="84" t="s">
        <v>1860</v>
      </c>
    </row>
    <row r="2253" spans="2:2" x14ac:dyDescent="0.3">
      <c r="B2253" s="84" t="s">
        <v>1861</v>
      </c>
    </row>
    <row r="2254" spans="2:2" x14ac:dyDescent="0.3">
      <c r="B2254" s="84" t="s">
        <v>1862</v>
      </c>
    </row>
    <row r="2255" spans="2:2" x14ac:dyDescent="0.3">
      <c r="B2255" s="84" t="s">
        <v>1863</v>
      </c>
    </row>
    <row r="2256" spans="2:2" x14ac:dyDescent="0.3">
      <c r="B2256" s="84" t="s">
        <v>1864</v>
      </c>
    </row>
    <row r="2257" spans="2:2" x14ac:dyDescent="0.3">
      <c r="B2257" s="84" t="s">
        <v>1865</v>
      </c>
    </row>
    <row r="2258" spans="2:2" x14ac:dyDescent="0.3">
      <c r="B2258" s="84" t="s">
        <v>2525</v>
      </c>
    </row>
    <row r="2259" spans="2:2" x14ac:dyDescent="0.3">
      <c r="B2259" s="84" t="s">
        <v>2526</v>
      </c>
    </row>
    <row r="2260" spans="2:2" x14ac:dyDescent="0.3">
      <c r="B2260" s="84" t="s">
        <v>1804</v>
      </c>
    </row>
    <row r="2261" spans="2:2" x14ac:dyDescent="0.3">
      <c r="B2261" s="84" t="s">
        <v>2527</v>
      </c>
    </row>
    <row r="2262" spans="2:2" x14ac:dyDescent="0.3">
      <c r="B2262" s="84" t="s">
        <v>2528</v>
      </c>
    </row>
    <row r="2263" spans="2:2" x14ac:dyDescent="0.3">
      <c r="B2263" s="84" t="s">
        <v>2529</v>
      </c>
    </row>
    <row r="2264" spans="2:2" x14ac:dyDescent="0.3">
      <c r="B2264" s="84" t="s">
        <v>2530</v>
      </c>
    </row>
    <row r="2265" spans="2:2" x14ac:dyDescent="0.3">
      <c r="B2265" s="84" t="s">
        <v>1807</v>
      </c>
    </row>
    <row r="2266" spans="2:2" x14ac:dyDescent="0.3">
      <c r="B2266" s="84" t="s">
        <v>2531</v>
      </c>
    </row>
    <row r="2267" spans="2:2" x14ac:dyDescent="0.3">
      <c r="B2267" s="84" t="s">
        <v>2532</v>
      </c>
    </row>
    <row r="2268" spans="2:2" x14ac:dyDescent="0.3">
      <c r="B2268" s="84" t="s">
        <v>2533</v>
      </c>
    </row>
    <row r="2269" spans="2:2" x14ac:dyDescent="0.3">
      <c r="B2269" s="84" t="s">
        <v>2534</v>
      </c>
    </row>
    <row r="2270" spans="2:2" x14ac:dyDescent="0.3">
      <c r="B2270" s="84" t="s">
        <v>2535</v>
      </c>
    </row>
    <row r="2271" spans="2:2" x14ac:dyDescent="0.3">
      <c r="B2271" s="84" t="s">
        <v>2536</v>
      </c>
    </row>
    <row r="2272" spans="2:2" x14ac:dyDescent="0.3">
      <c r="B2272" s="84" t="s">
        <v>5600</v>
      </c>
    </row>
    <row r="2273" spans="2:2" x14ac:dyDescent="0.3">
      <c r="B2273" s="84" t="s">
        <v>2537</v>
      </c>
    </row>
    <row r="2274" spans="2:2" x14ac:dyDescent="0.3">
      <c r="B2274" s="84" t="s">
        <v>2538</v>
      </c>
    </row>
    <row r="2275" spans="2:2" x14ac:dyDescent="0.3">
      <c r="B2275" s="84" t="s">
        <v>2539</v>
      </c>
    </row>
    <row r="2276" spans="2:2" x14ac:dyDescent="0.3">
      <c r="B2276" s="84" t="s">
        <v>1808</v>
      </c>
    </row>
    <row r="2277" spans="2:2" x14ac:dyDescent="0.3">
      <c r="B2277" s="84" t="s">
        <v>2540</v>
      </c>
    </row>
    <row r="2278" spans="2:2" x14ac:dyDescent="0.3">
      <c r="B2278" s="84" t="s">
        <v>2541</v>
      </c>
    </row>
    <row r="2279" spans="2:2" x14ac:dyDescent="0.3">
      <c r="B2279" s="84" t="s">
        <v>2542</v>
      </c>
    </row>
    <row r="2280" spans="2:2" x14ac:dyDescent="0.3">
      <c r="B2280" s="84" t="s">
        <v>2543</v>
      </c>
    </row>
    <row r="2281" spans="2:2" x14ac:dyDescent="0.3">
      <c r="B2281" s="84" t="s">
        <v>2544</v>
      </c>
    </row>
    <row r="2282" spans="2:2" x14ac:dyDescent="0.3">
      <c r="B2282" s="84" t="s">
        <v>2545</v>
      </c>
    </row>
    <row r="2283" spans="2:2" x14ac:dyDescent="0.3">
      <c r="B2283" s="84" t="s">
        <v>2546</v>
      </c>
    </row>
    <row r="2284" spans="2:2" x14ac:dyDescent="0.3">
      <c r="B2284" s="84" t="s">
        <v>2547</v>
      </c>
    </row>
    <row r="2285" spans="2:2" x14ac:dyDescent="0.3">
      <c r="B2285" s="84" t="s">
        <v>2548</v>
      </c>
    </row>
    <row r="2286" spans="2:2" x14ac:dyDescent="0.3">
      <c r="B2286" s="84" t="s">
        <v>2549</v>
      </c>
    </row>
    <row r="2287" spans="2:2" x14ac:dyDescent="0.3">
      <c r="B2287" s="84" t="s">
        <v>5601</v>
      </c>
    </row>
    <row r="2288" spans="2:2" x14ac:dyDescent="0.3">
      <c r="B2288" s="84" t="s">
        <v>5602</v>
      </c>
    </row>
    <row r="2289" spans="2:2" x14ac:dyDescent="0.3">
      <c r="B2289" s="84" t="s">
        <v>1810</v>
      </c>
    </row>
    <row r="2290" spans="2:2" x14ac:dyDescent="0.3">
      <c r="B2290" s="84" t="s">
        <v>1811</v>
      </c>
    </row>
    <row r="2291" spans="2:2" x14ac:dyDescent="0.3">
      <c r="B2291" s="84" t="s">
        <v>1814</v>
      </c>
    </row>
    <row r="2292" spans="2:2" x14ac:dyDescent="0.3">
      <c r="B2292" s="84" t="s">
        <v>2550</v>
      </c>
    </row>
    <row r="2293" spans="2:2" x14ac:dyDescent="0.3">
      <c r="B2293" s="84" t="s">
        <v>2551</v>
      </c>
    </row>
    <row r="2294" spans="2:2" x14ac:dyDescent="0.3">
      <c r="B2294" s="84" t="s">
        <v>2552</v>
      </c>
    </row>
    <row r="2295" spans="2:2" x14ac:dyDescent="0.3">
      <c r="B2295" s="84" t="s">
        <v>2553</v>
      </c>
    </row>
    <row r="2296" spans="2:2" x14ac:dyDescent="0.3">
      <c r="B2296" s="84" t="s">
        <v>2554</v>
      </c>
    </row>
    <row r="2297" spans="2:2" x14ac:dyDescent="0.3">
      <c r="B2297" s="84" t="s">
        <v>2555</v>
      </c>
    </row>
    <row r="2298" spans="2:2" x14ac:dyDescent="0.3">
      <c r="B2298" s="84" t="s">
        <v>2556</v>
      </c>
    </row>
    <row r="2299" spans="2:2" x14ac:dyDescent="0.3">
      <c r="B2299" s="84" t="s">
        <v>2557</v>
      </c>
    </row>
    <row r="2300" spans="2:2" x14ac:dyDescent="0.3">
      <c r="B2300" s="84" t="s">
        <v>2558</v>
      </c>
    </row>
    <row r="2301" spans="2:2" x14ac:dyDescent="0.3">
      <c r="B2301" s="84" t="s">
        <v>2559</v>
      </c>
    </row>
    <row r="2302" spans="2:2" x14ac:dyDescent="0.3">
      <c r="B2302" s="84" t="s">
        <v>1866</v>
      </c>
    </row>
    <row r="2303" spans="2:2" x14ac:dyDescent="0.3">
      <c r="B2303" s="84" t="s">
        <v>5603</v>
      </c>
    </row>
    <row r="2304" spans="2:2" x14ac:dyDescent="0.3">
      <c r="B2304" s="84" t="s">
        <v>5603</v>
      </c>
    </row>
    <row r="2305" spans="2:2" x14ac:dyDescent="0.3">
      <c r="B2305" s="84" t="s">
        <v>5603</v>
      </c>
    </row>
    <row r="2306" spans="2:2" x14ac:dyDescent="0.3">
      <c r="B2306" s="84" t="s">
        <v>1867</v>
      </c>
    </row>
    <row r="2307" spans="2:2" x14ac:dyDescent="0.3">
      <c r="B2307" s="84" t="s">
        <v>5604</v>
      </c>
    </row>
    <row r="2308" spans="2:2" x14ac:dyDescent="0.3">
      <c r="B2308" s="84" t="s">
        <v>1692</v>
      </c>
    </row>
    <row r="2309" spans="2:2" x14ac:dyDescent="0.3">
      <c r="B2309" s="84" t="s">
        <v>1694</v>
      </c>
    </row>
    <row r="2310" spans="2:2" x14ac:dyDescent="0.3">
      <c r="B2310" s="84" t="s">
        <v>1695</v>
      </c>
    </row>
    <row r="2311" spans="2:2" x14ac:dyDescent="0.3">
      <c r="B2311" s="84" t="s">
        <v>1696</v>
      </c>
    </row>
    <row r="2312" spans="2:2" x14ac:dyDescent="0.3">
      <c r="B2312" s="84" t="s">
        <v>1697</v>
      </c>
    </row>
    <row r="2313" spans="2:2" x14ac:dyDescent="0.3">
      <c r="B2313" s="84" t="s">
        <v>1698</v>
      </c>
    </row>
    <row r="2314" spans="2:2" x14ac:dyDescent="0.3">
      <c r="B2314" s="84" t="s">
        <v>2232</v>
      </c>
    </row>
    <row r="2315" spans="2:2" x14ac:dyDescent="0.3">
      <c r="B2315" s="84" t="s">
        <v>1699</v>
      </c>
    </row>
    <row r="2316" spans="2:2" x14ac:dyDescent="0.3">
      <c r="B2316" s="84" t="s">
        <v>1700</v>
      </c>
    </row>
    <row r="2317" spans="2:2" x14ac:dyDescent="0.3">
      <c r="B2317" s="84" t="s">
        <v>1701</v>
      </c>
    </row>
    <row r="2318" spans="2:2" x14ac:dyDescent="0.3">
      <c r="B2318" s="84" t="s">
        <v>1702</v>
      </c>
    </row>
    <row r="2319" spans="2:2" x14ac:dyDescent="0.3">
      <c r="B2319" s="84" t="s">
        <v>1703</v>
      </c>
    </row>
    <row r="2320" spans="2:2" x14ac:dyDescent="0.3">
      <c r="B2320" s="84" t="s">
        <v>1624</v>
      </c>
    </row>
    <row r="2321" spans="2:2" x14ac:dyDescent="0.3">
      <c r="B2321" s="84" t="s">
        <v>1624</v>
      </c>
    </row>
    <row r="2322" spans="2:2" x14ac:dyDescent="0.3">
      <c r="B2322" s="84" t="s">
        <v>1620</v>
      </c>
    </row>
    <row r="2323" spans="2:2" x14ac:dyDescent="0.3">
      <c r="B2323" s="84" t="s">
        <v>1621</v>
      </c>
    </row>
    <row r="2324" spans="2:2" x14ac:dyDescent="0.3">
      <c r="B2324" s="84" t="s">
        <v>1622</v>
      </c>
    </row>
    <row r="2325" spans="2:2" x14ac:dyDescent="0.3">
      <c r="B2325" s="84" t="s">
        <v>1623</v>
      </c>
    </row>
    <row r="2326" spans="2:2" x14ac:dyDescent="0.3">
      <c r="B2326" s="84" t="s">
        <v>1624</v>
      </c>
    </row>
    <row r="2327" spans="2:2" x14ac:dyDescent="0.3">
      <c r="B2327" s="84" t="s">
        <v>5605</v>
      </c>
    </row>
    <row r="2328" spans="2:2" x14ac:dyDescent="0.3">
      <c r="B2328" s="84" t="s">
        <v>1626</v>
      </c>
    </row>
    <row r="2329" spans="2:2" x14ac:dyDescent="0.3">
      <c r="B2329" s="84" t="s">
        <v>1627</v>
      </c>
    </row>
    <row r="2330" spans="2:2" x14ac:dyDescent="0.3">
      <c r="B2330" s="84" t="s">
        <v>1621</v>
      </c>
    </row>
    <row r="2331" spans="2:2" x14ac:dyDescent="0.3">
      <c r="B2331" s="84" t="s">
        <v>1622</v>
      </c>
    </row>
    <row r="2332" spans="2:2" x14ac:dyDescent="0.3">
      <c r="B2332" s="84" t="s">
        <v>1623</v>
      </c>
    </row>
    <row r="2333" spans="2:2" x14ac:dyDescent="0.3">
      <c r="B2333" s="84" t="s">
        <v>1624</v>
      </c>
    </row>
    <row r="2334" spans="2:2" x14ac:dyDescent="0.3">
      <c r="B2334" s="84" t="s">
        <v>5605</v>
      </c>
    </row>
    <row r="2335" spans="2:2" x14ac:dyDescent="0.3">
      <c r="B2335" s="84" t="s">
        <v>1626</v>
      </c>
    </row>
    <row r="2336" spans="2:2" x14ac:dyDescent="0.3">
      <c r="B2336" s="84" t="s">
        <v>1627</v>
      </c>
    </row>
    <row r="2337" spans="2:2" x14ac:dyDescent="0.3">
      <c r="B2337" s="84" t="s">
        <v>1869</v>
      </c>
    </row>
    <row r="2338" spans="2:2" x14ac:dyDescent="0.3">
      <c r="B2338" s="84" t="s">
        <v>1870</v>
      </c>
    </row>
    <row r="2339" spans="2:2" x14ac:dyDescent="0.3">
      <c r="B2339" s="84" t="s">
        <v>1871</v>
      </c>
    </row>
    <row r="2340" spans="2:2" x14ac:dyDescent="0.3">
      <c r="B2340" s="84" t="s">
        <v>1872</v>
      </c>
    </row>
    <row r="2341" spans="2:2" x14ac:dyDescent="0.3">
      <c r="B2341" s="84" t="s">
        <v>1873</v>
      </c>
    </row>
    <row r="2342" spans="2:2" x14ac:dyDescent="0.3">
      <c r="B2342" s="84" t="s">
        <v>1874</v>
      </c>
    </row>
    <row r="2343" spans="2:2" x14ac:dyDescent="0.3">
      <c r="B2343" s="84" t="s">
        <v>1875</v>
      </c>
    </row>
    <row r="2344" spans="2:2" x14ac:dyDescent="0.3">
      <c r="B2344" s="84" t="s">
        <v>1876</v>
      </c>
    </row>
    <row r="2345" spans="2:2" x14ac:dyDescent="0.3">
      <c r="B2345" s="84" t="s">
        <v>1877</v>
      </c>
    </row>
    <row r="2346" spans="2:2" x14ac:dyDescent="0.3">
      <c r="B2346" s="84" t="s">
        <v>2096</v>
      </c>
    </row>
    <row r="2347" spans="2:2" x14ac:dyDescent="0.3">
      <c r="B2347" s="84" t="s">
        <v>5606</v>
      </c>
    </row>
    <row r="2348" spans="2:2" x14ac:dyDescent="0.3">
      <c r="B2348" s="84" t="s">
        <v>2097</v>
      </c>
    </row>
    <row r="2349" spans="2:2" x14ac:dyDescent="0.3">
      <c r="B2349" s="84" t="s">
        <v>2220</v>
      </c>
    </row>
    <row r="2350" spans="2:2" x14ac:dyDescent="0.3">
      <c r="B2350" s="84" t="s">
        <v>2222</v>
      </c>
    </row>
    <row r="2351" spans="2:2" x14ac:dyDescent="0.3">
      <c r="B2351" s="84" t="s">
        <v>2224</v>
      </c>
    </row>
    <row r="2352" spans="2:2" x14ac:dyDescent="0.3">
      <c r="B2352" s="84" t="s">
        <v>2221</v>
      </c>
    </row>
    <row r="2353" spans="2:2" x14ac:dyDescent="0.3">
      <c r="B2353" s="84" t="s">
        <v>2223</v>
      </c>
    </row>
    <row r="2354" spans="2:2" x14ac:dyDescent="0.3">
      <c r="B2354" s="84" t="s">
        <v>2225</v>
      </c>
    </row>
    <row r="2355" spans="2:2" x14ac:dyDescent="0.3">
      <c r="B2355" s="84" t="s">
        <v>2565</v>
      </c>
    </row>
    <row r="2356" spans="2:2" x14ac:dyDescent="0.3">
      <c r="B2356" s="84" t="s">
        <v>2566</v>
      </c>
    </row>
    <row r="2357" spans="2:2" x14ac:dyDescent="0.3">
      <c r="B2357" s="84" t="s">
        <v>2567</v>
      </c>
    </row>
    <row r="2358" spans="2:2" x14ac:dyDescent="0.3">
      <c r="B2358" s="84" t="s">
        <v>2568</v>
      </c>
    </row>
    <row r="2359" spans="2:2" x14ac:dyDescent="0.3">
      <c r="B2359" s="84" t="s">
        <v>2569</v>
      </c>
    </row>
    <row r="2360" spans="2:2" x14ac:dyDescent="0.3">
      <c r="B2360" s="84" t="s">
        <v>2570</v>
      </c>
    </row>
    <row r="2361" spans="2:2" x14ac:dyDescent="0.3">
      <c r="B2361" s="84" t="s">
        <v>2571</v>
      </c>
    </row>
    <row r="2362" spans="2:2" x14ac:dyDescent="0.3">
      <c r="B2362" s="84" t="s">
        <v>2572</v>
      </c>
    </row>
    <row r="2363" spans="2:2" x14ac:dyDescent="0.3">
      <c r="B2363" s="84" t="s">
        <v>2573</v>
      </c>
    </row>
    <row r="2364" spans="2:2" x14ac:dyDescent="0.3">
      <c r="B2364" s="84" t="s">
        <v>2574</v>
      </c>
    </row>
    <row r="2365" spans="2:2" x14ac:dyDescent="0.3">
      <c r="B2365" s="84" t="s">
        <v>2575</v>
      </c>
    </row>
    <row r="2366" spans="2:2" x14ac:dyDescent="0.3">
      <c r="B2366" s="84" t="s">
        <v>2576</v>
      </c>
    </row>
    <row r="2367" spans="2:2" x14ac:dyDescent="0.3">
      <c r="B2367" s="84" t="s">
        <v>2577</v>
      </c>
    </row>
    <row r="2368" spans="2:2" x14ac:dyDescent="0.3">
      <c r="B2368" s="84" t="s">
        <v>2578</v>
      </c>
    </row>
    <row r="2369" spans="2:2" x14ac:dyDescent="0.3">
      <c r="B2369" s="84" t="s">
        <v>2579</v>
      </c>
    </row>
    <row r="2370" spans="2:2" x14ac:dyDescent="0.3">
      <c r="B2370" s="84" t="s">
        <v>5607</v>
      </c>
    </row>
    <row r="2371" spans="2:2" x14ac:dyDescent="0.3">
      <c r="B2371" s="84" t="s">
        <v>2959</v>
      </c>
    </row>
    <row r="2372" spans="2:2" x14ac:dyDescent="0.3">
      <c r="B2372" s="84" t="s">
        <v>2970</v>
      </c>
    </row>
    <row r="2373" spans="2:2" x14ac:dyDescent="0.3">
      <c r="B2373" s="84" t="s">
        <v>2960</v>
      </c>
    </row>
    <row r="2374" spans="2:2" x14ac:dyDescent="0.3">
      <c r="B2374" s="84" t="s">
        <v>2971</v>
      </c>
    </row>
    <row r="2375" spans="2:2" x14ac:dyDescent="0.3">
      <c r="B2375" s="84" t="s">
        <v>2972</v>
      </c>
    </row>
    <row r="2376" spans="2:2" x14ac:dyDescent="0.3">
      <c r="B2376" s="84" t="s">
        <v>2949</v>
      </c>
    </row>
    <row r="2377" spans="2:2" x14ac:dyDescent="0.3">
      <c r="B2377" s="84" t="s">
        <v>2950</v>
      </c>
    </row>
    <row r="2378" spans="2:2" x14ac:dyDescent="0.3">
      <c r="B2378" s="84" t="s">
        <v>5608</v>
      </c>
    </row>
    <row r="2379" spans="2:2" x14ac:dyDescent="0.3">
      <c r="B2379" s="84" t="s">
        <v>2961</v>
      </c>
    </row>
    <row r="2380" spans="2:2" x14ac:dyDescent="0.3">
      <c r="B2380" s="84" t="s">
        <v>2973</v>
      </c>
    </row>
    <row r="2381" spans="2:2" x14ac:dyDescent="0.3">
      <c r="B2381" s="84" t="s">
        <v>2974</v>
      </c>
    </row>
    <row r="2382" spans="2:2" x14ac:dyDescent="0.3">
      <c r="B2382" s="84" t="s">
        <v>2951</v>
      </c>
    </row>
    <row r="2383" spans="2:2" x14ac:dyDescent="0.3">
      <c r="B2383" s="84" t="s">
        <v>5609</v>
      </c>
    </row>
    <row r="2384" spans="2:2" x14ac:dyDescent="0.3">
      <c r="B2384" s="84" t="s">
        <v>2962</v>
      </c>
    </row>
    <row r="2385" spans="2:2" x14ac:dyDescent="0.3">
      <c r="B2385" s="84" t="s">
        <v>2975</v>
      </c>
    </row>
    <row r="2386" spans="2:2" x14ac:dyDescent="0.3">
      <c r="B2386" s="84" t="s">
        <v>2952</v>
      </c>
    </row>
    <row r="2387" spans="2:2" x14ac:dyDescent="0.3">
      <c r="B2387" s="84" t="s">
        <v>2963</v>
      </c>
    </row>
    <row r="2388" spans="2:2" x14ac:dyDescent="0.3">
      <c r="B2388" s="84" t="s">
        <v>2953</v>
      </c>
    </row>
    <row r="2389" spans="2:2" x14ac:dyDescent="0.3">
      <c r="B2389" s="84" t="s">
        <v>2964</v>
      </c>
    </row>
    <row r="2390" spans="2:2" x14ac:dyDescent="0.3">
      <c r="B2390" s="84" t="s">
        <v>5610</v>
      </c>
    </row>
    <row r="2391" spans="2:2" x14ac:dyDescent="0.3">
      <c r="B2391" s="84" t="s">
        <v>2954</v>
      </c>
    </row>
    <row r="2392" spans="2:2" x14ac:dyDescent="0.3">
      <c r="B2392" s="84" t="s">
        <v>2965</v>
      </c>
    </row>
    <row r="2393" spans="2:2" x14ac:dyDescent="0.3">
      <c r="B2393" s="84" t="s">
        <v>2955</v>
      </c>
    </row>
    <row r="2394" spans="2:2" x14ac:dyDescent="0.3">
      <c r="B2394" s="84" t="s">
        <v>2966</v>
      </c>
    </row>
    <row r="2395" spans="2:2" x14ac:dyDescent="0.3">
      <c r="B2395" s="84" t="s">
        <v>2956</v>
      </c>
    </row>
    <row r="2396" spans="2:2" x14ac:dyDescent="0.3">
      <c r="B2396" s="84" t="s">
        <v>2967</v>
      </c>
    </row>
    <row r="2397" spans="2:2" x14ac:dyDescent="0.3">
      <c r="B2397" s="84" t="s">
        <v>2957</v>
      </c>
    </row>
    <row r="2398" spans="2:2" x14ac:dyDescent="0.3">
      <c r="B2398" s="84" t="s">
        <v>2968</v>
      </c>
    </row>
    <row r="2399" spans="2:2" x14ac:dyDescent="0.3">
      <c r="B2399" s="84" t="s">
        <v>2958</v>
      </c>
    </row>
    <row r="2400" spans="2:2" x14ac:dyDescent="0.3">
      <c r="B2400" s="84" t="s">
        <v>2969</v>
      </c>
    </row>
    <row r="2401" spans="2:2" x14ac:dyDescent="0.3">
      <c r="B2401" s="84" t="s">
        <v>2932</v>
      </c>
    </row>
    <row r="2402" spans="2:2" x14ac:dyDescent="0.3">
      <c r="B2402" s="84" t="s">
        <v>2943</v>
      </c>
    </row>
    <row r="2403" spans="2:2" x14ac:dyDescent="0.3">
      <c r="B2403" s="84" t="s">
        <v>2933</v>
      </c>
    </row>
    <row r="2404" spans="2:2" x14ac:dyDescent="0.3">
      <c r="B2404" s="84" t="s">
        <v>2944</v>
      </c>
    </row>
    <row r="2405" spans="2:2" x14ac:dyDescent="0.3">
      <c r="B2405" s="84" t="s">
        <v>2945</v>
      </c>
    </row>
    <row r="2406" spans="2:2" x14ac:dyDescent="0.3">
      <c r="B2406" s="84" t="s">
        <v>2922</v>
      </c>
    </row>
    <row r="2407" spans="2:2" x14ac:dyDescent="0.3">
      <c r="B2407" s="84" t="s">
        <v>2923</v>
      </c>
    </row>
    <row r="2408" spans="2:2" x14ac:dyDescent="0.3">
      <c r="B2408" s="84" t="s">
        <v>5611</v>
      </c>
    </row>
    <row r="2409" spans="2:2" x14ac:dyDescent="0.3">
      <c r="B2409" s="84" t="s">
        <v>2934</v>
      </c>
    </row>
    <row r="2410" spans="2:2" x14ac:dyDescent="0.3">
      <c r="B2410" s="84" t="s">
        <v>2946</v>
      </c>
    </row>
    <row r="2411" spans="2:2" x14ac:dyDescent="0.3">
      <c r="B2411" s="84" t="s">
        <v>2947</v>
      </c>
    </row>
    <row r="2412" spans="2:2" x14ac:dyDescent="0.3">
      <c r="B2412" s="84" t="s">
        <v>2924</v>
      </c>
    </row>
    <row r="2413" spans="2:2" x14ac:dyDescent="0.3">
      <c r="B2413" s="84" t="s">
        <v>5612</v>
      </c>
    </row>
    <row r="2414" spans="2:2" x14ac:dyDescent="0.3">
      <c r="B2414" s="84" t="s">
        <v>2935</v>
      </c>
    </row>
    <row r="2415" spans="2:2" x14ac:dyDescent="0.3">
      <c r="B2415" s="84" t="s">
        <v>2948</v>
      </c>
    </row>
    <row r="2416" spans="2:2" x14ac:dyDescent="0.3">
      <c r="B2416" s="84" t="s">
        <v>2925</v>
      </c>
    </row>
    <row r="2417" spans="2:2" x14ac:dyDescent="0.3">
      <c r="B2417" s="84" t="s">
        <v>2936</v>
      </c>
    </row>
    <row r="2418" spans="2:2" x14ac:dyDescent="0.3">
      <c r="B2418" s="84" t="s">
        <v>2926</v>
      </c>
    </row>
    <row r="2419" spans="2:2" x14ac:dyDescent="0.3">
      <c r="B2419" s="84" t="s">
        <v>2937</v>
      </c>
    </row>
    <row r="2420" spans="2:2" x14ac:dyDescent="0.3">
      <c r="B2420" s="84" t="s">
        <v>5613</v>
      </c>
    </row>
    <row r="2421" spans="2:2" x14ac:dyDescent="0.3">
      <c r="B2421" s="84" t="s">
        <v>2927</v>
      </c>
    </row>
    <row r="2422" spans="2:2" x14ac:dyDescent="0.3">
      <c r="B2422" s="84" t="s">
        <v>2938</v>
      </c>
    </row>
    <row r="2423" spans="2:2" x14ac:dyDescent="0.3">
      <c r="B2423" s="84" t="s">
        <v>2928</v>
      </c>
    </row>
    <row r="2424" spans="2:2" x14ac:dyDescent="0.3">
      <c r="B2424" s="84" t="s">
        <v>2939</v>
      </c>
    </row>
    <row r="2425" spans="2:2" x14ac:dyDescent="0.3">
      <c r="B2425" s="84" t="s">
        <v>2929</v>
      </c>
    </row>
    <row r="2426" spans="2:2" x14ac:dyDescent="0.3">
      <c r="B2426" s="84" t="s">
        <v>2940</v>
      </c>
    </row>
    <row r="2427" spans="2:2" x14ac:dyDescent="0.3">
      <c r="B2427" s="84" t="s">
        <v>2930</v>
      </c>
    </row>
    <row r="2428" spans="2:2" x14ac:dyDescent="0.3">
      <c r="B2428" s="84" t="s">
        <v>2941</v>
      </c>
    </row>
    <row r="2429" spans="2:2" x14ac:dyDescent="0.3">
      <c r="B2429" s="84" t="s">
        <v>2931</v>
      </c>
    </row>
    <row r="2430" spans="2:2" x14ac:dyDescent="0.3">
      <c r="B2430" s="84" t="s">
        <v>2942</v>
      </c>
    </row>
    <row r="2431" spans="2:2" x14ac:dyDescent="0.3">
      <c r="B2431" s="84" t="s">
        <v>1822</v>
      </c>
    </row>
    <row r="2432" spans="2:2" x14ac:dyDescent="0.3">
      <c r="B2432" s="84" t="s">
        <v>115</v>
      </c>
    </row>
    <row r="2433" spans="2:2" x14ac:dyDescent="0.3">
      <c r="B2433" s="84" t="s">
        <v>116</v>
      </c>
    </row>
    <row r="2434" spans="2:2" x14ac:dyDescent="0.3">
      <c r="B2434" s="84" t="s">
        <v>117</v>
      </c>
    </row>
    <row r="2435" spans="2:2" x14ac:dyDescent="0.3">
      <c r="B2435" s="84" t="s">
        <v>118</v>
      </c>
    </row>
    <row r="2436" spans="2:2" x14ac:dyDescent="0.3">
      <c r="B2436" s="84" t="s">
        <v>119</v>
      </c>
    </row>
    <row r="2437" spans="2:2" x14ac:dyDescent="0.3">
      <c r="B2437" s="84" t="s">
        <v>120</v>
      </c>
    </row>
    <row r="2438" spans="2:2" x14ac:dyDescent="0.3">
      <c r="B2438" s="84" t="s">
        <v>121</v>
      </c>
    </row>
    <row r="2439" spans="2:2" x14ac:dyDescent="0.3">
      <c r="B2439" s="84" t="s">
        <v>1825</v>
      </c>
    </row>
    <row r="2440" spans="2:2" x14ac:dyDescent="0.3">
      <c r="B2440" s="84" t="s">
        <v>122</v>
      </c>
    </row>
    <row r="2441" spans="2:2" x14ac:dyDescent="0.3">
      <c r="B2441" s="84" t="s">
        <v>122</v>
      </c>
    </row>
    <row r="2442" spans="2:2" x14ac:dyDescent="0.3">
      <c r="B2442" s="84" t="s">
        <v>123</v>
      </c>
    </row>
    <row r="2443" spans="2:2" x14ac:dyDescent="0.3">
      <c r="B2443" s="84" t="s">
        <v>124</v>
      </c>
    </row>
    <row r="2444" spans="2:2" x14ac:dyDescent="0.3">
      <c r="B2444" s="84" t="s">
        <v>125</v>
      </c>
    </row>
    <row r="2445" spans="2:2" x14ac:dyDescent="0.3">
      <c r="B2445" s="84" t="s">
        <v>1826</v>
      </c>
    </row>
    <row r="2446" spans="2:2" x14ac:dyDescent="0.3">
      <c r="B2446" s="84" t="s">
        <v>126</v>
      </c>
    </row>
    <row r="2447" spans="2:2" x14ac:dyDescent="0.3">
      <c r="B2447" s="84" t="s">
        <v>127</v>
      </c>
    </row>
    <row r="2448" spans="2:2" x14ac:dyDescent="0.3">
      <c r="B2448" s="84" t="s">
        <v>128</v>
      </c>
    </row>
    <row r="2449" spans="2:2" x14ac:dyDescent="0.3">
      <c r="B2449" s="84" t="s">
        <v>128</v>
      </c>
    </row>
    <row r="2450" spans="2:2" x14ac:dyDescent="0.3">
      <c r="B2450" s="84" t="s">
        <v>5614</v>
      </c>
    </row>
    <row r="2451" spans="2:2" x14ac:dyDescent="0.3">
      <c r="B2451" s="84" t="s">
        <v>129</v>
      </c>
    </row>
    <row r="2452" spans="2:2" x14ac:dyDescent="0.3">
      <c r="B2452" s="84" t="s">
        <v>130</v>
      </c>
    </row>
    <row r="2453" spans="2:2" x14ac:dyDescent="0.3">
      <c r="B2453" s="84" t="s">
        <v>131</v>
      </c>
    </row>
    <row r="2454" spans="2:2" x14ac:dyDescent="0.3">
      <c r="B2454" s="84" t="s">
        <v>132</v>
      </c>
    </row>
    <row r="2455" spans="2:2" x14ac:dyDescent="0.3">
      <c r="B2455" s="84" t="s">
        <v>133</v>
      </c>
    </row>
    <row r="2456" spans="2:2" x14ac:dyDescent="0.3">
      <c r="B2456" s="84" t="s">
        <v>134</v>
      </c>
    </row>
    <row r="2457" spans="2:2" x14ac:dyDescent="0.3">
      <c r="B2457" s="84" t="s">
        <v>135</v>
      </c>
    </row>
    <row r="2458" spans="2:2" x14ac:dyDescent="0.3">
      <c r="B2458" s="84" t="s">
        <v>136</v>
      </c>
    </row>
    <row r="2459" spans="2:2" x14ac:dyDescent="0.3">
      <c r="B2459" s="84" t="s">
        <v>137</v>
      </c>
    </row>
    <row r="2460" spans="2:2" x14ac:dyDescent="0.3">
      <c r="B2460" s="84" t="s">
        <v>138</v>
      </c>
    </row>
    <row r="2461" spans="2:2" x14ac:dyDescent="0.3">
      <c r="B2461" s="84" t="s">
        <v>139</v>
      </c>
    </row>
    <row r="2462" spans="2:2" x14ac:dyDescent="0.3">
      <c r="B2462" s="84" t="s">
        <v>140</v>
      </c>
    </row>
    <row r="2463" spans="2:2" x14ac:dyDescent="0.3">
      <c r="B2463" s="84" t="s">
        <v>141</v>
      </c>
    </row>
    <row r="2464" spans="2:2" x14ac:dyDescent="0.3">
      <c r="B2464" s="84" t="s">
        <v>2694</v>
      </c>
    </row>
    <row r="2465" spans="2:2" x14ac:dyDescent="0.3">
      <c r="B2465" s="84" t="s">
        <v>2705</v>
      </c>
    </row>
    <row r="2466" spans="2:2" x14ac:dyDescent="0.3">
      <c r="B2466" s="84" t="s">
        <v>2695</v>
      </c>
    </row>
    <row r="2467" spans="2:2" x14ac:dyDescent="0.3">
      <c r="B2467" s="84" t="s">
        <v>2706</v>
      </c>
    </row>
    <row r="2468" spans="2:2" x14ac:dyDescent="0.3">
      <c r="B2468" s="84" t="s">
        <v>2707</v>
      </c>
    </row>
    <row r="2469" spans="2:2" x14ac:dyDescent="0.3">
      <c r="B2469" s="84" t="s">
        <v>2684</v>
      </c>
    </row>
    <row r="2470" spans="2:2" x14ac:dyDescent="0.3">
      <c r="B2470" s="84" t="s">
        <v>2685</v>
      </c>
    </row>
    <row r="2471" spans="2:2" x14ac:dyDescent="0.3">
      <c r="B2471" s="84" t="s">
        <v>2696</v>
      </c>
    </row>
    <row r="2472" spans="2:2" x14ac:dyDescent="0.3">
      <c r="B2472" s="84" t="s">
        <v>2708</v>
      </c>
    </row>
    <row r="2473" spans="2:2" x14ac:dyDescent="0.3">
      <c r="B2473" s="84" t="s">
        <v>2709</v>
      </c>
    </row>
    <row r="2474" spans="2:2" x14ac:dyDescent="0.3">
      <c r="B2474" s="84" t="s">
        <v>2686</v>
      </c>
    </row>
    <row r="2475" spans="2:2" x14ac:dyDescent="0.3">
      <c r="B2475" s="84" t="s">
        <v>2697</v>
      </c>
    </row>
    <row r="2476" spans="2:2" x14ac:dyDescent="0.3">
      <c r="B2476" s="84" t="s">
        <v>2710</v>
      </c>
    </row>
    <row r="2477" spans="2:2" x14ac:dyDescent="0.3">
      <c r="B2477" s="84" t="s">
        <v>2687</v>
      </c>
    </row>
    <row r="2478" spans="2:2" x14ac:dyDescent="0.3">
      <c r="B2478" s="84" t="s">
        <v>2698</v>
      </c>
    </row>
    <row r="2479" spans="2:2" x14ac:dyDescent="0.3">
      <c r="B2479" s="84" t="s">
        <v>2688</v>
      </c>
    </row>
    <row r="2480" spans="2:2" x14ac:dyDescent="0.3">
      <c r="B2480" s="84" t="s">
        <v>2699</v>
      </c>
    </row>
    <row r="2481" spans="2:2" x14ac:dyDescent="0.3">
      <c r="B2481" s="84" t="s">
        <v>5615</v>
      </c>
    </row>
    <row r="2482" spans="2:2" x14ac:dyDescent="0.3">
      <c r="B2482" s="84" t="s">
        <v>2689</v>
      </c>
    </row>
    <row r="2483" spans="2:2" x14ac:dyDescent="0.3">
      <c r="B2483" s="84" t="s">
        <v>2700</v>
      </c>
    </row>
    <row r="2484" spans="2:2" x14ac:dyDescent="0.3">
      <c r="B2484" s="84" t="s">
        <v>2690</v>
      </c>
    </row>
    <row r="2485" spans="2:2" x14ac:dyDescent="0.3">
      <c r="B2485" s="84" t="s">
        <v>2701</v>
      </c>
    </row>
    <row r="2486" spans="2:2" x14ac:dyDescent="0.3">
      <c r="B2486" s="84" t="s">
        <v>2691</v>
      </c>
    </row>
    <row r="2487" spans="2:2" x14ac:dyDescent="0.3">
      <c r="B2487" s="84" t="s">
        <v>2702</v>
      </c>
    </row>
    <row r="2488" spans="2:2" x14ac:dyDescent="0.3">
      <c r="B2488" s="84" t="s">
        <v>2692</v>
      </c>
    </row>
    <row r="2489" spans="2:2" x14ac:dyDescent="0.3">
      <c r="B2489" s="84" t="s">
        <v>2703</v>
      </c>
    </row>
    <row r="2490" spans="2:2" x14ac:dyDescent="0.3">
      <c r="B2490" s="84" t="s">
        <v>2693</v>
      </c>
    </row>
    <row r="2491" spans="2:2" x14ac:dyDescent="0.3">
      <c r="B2491" s="84" t="s">
        <v>2704</v>
      </c>
    </row>
    <row r="2492" spans="2:2" x14ac:dyDescent="0.3">
      <c r="B2492" s="84" t="s">
        <v>2391</v>
      </c>
    </row>
    <row r="2493" spans="2:2" x14ac:dyDescent="0.3">
      <c r="B2493" s="84" t="s">
        <v>2392</v>
      </c>
    </row>
    <row r="2494" spans="2:2" x14ac:dyDescent="0.3">
      <c r="B2494" s="84" t="s">
        <v>2393</v>
      </c>
    </row>
    <row r="2495" spans="2:2" x14ac:dyDescent="0.3">
      <c r="B2495" s="84" t="s">
        <v>2394</v>
      </c>
    </row>
    <row r="2496" spans="2:2" x14ac:dyDescent="0.3">
      <c r="B2496" s="84" t="s">
        <v>2395</v>
      </c>
    </row>
    <row r="2497" spans="2:2" x14ac:dyDescent="0.3">
      <c r="B2497" s="84" t="s">
        <v>2396</v>
      </c>
    </row>
    <row r="2498" spans="2:2" x14ac:dyDescent="0.3">
      <c r="B2498" s="84" t="s">
        <v>2397</v>
      </c>
    </row>
    <row r="2499" spans="2:2" x14ac:dyDescent="0.3">
      <c r="B2499" s="84" t="s">
        <v>5616</v>
      </c>
    </row>
    <row r="2500" spans="2:2" x14ac:dyDescent="0.3">
      <c r="B2500" s="84" t="s">
        <v>2617</v>
      </c>
    </row>
    <row r="2501" spans="2:2" x14ac:dyDescent="0.3">
      <c r="B2501" s="84" t="s">
        <v>2618</v>
      </c>
    </row>
    <row r="2502" spans="2:2" x14ac:dyDescent="0.3">
      <c r="B2502" s="84" t="s">
        <v>2619</v>
      </c>
    </row>
    <row r="2503" spans="2:2" x14ac:dyDescent="0.3">
      <c r="B2503" s="84" t="s">
        <v>2614</v>
      </c>
    </row>
    <row r="2504" spans="2:2" x14ac:dyDescent="0.3">
      <c r="B2504" s="84" t="s">
        <v>2615</v>
      </c>
    </row>
    <row r="2505" spans="2:2" x14ac:dyDescent="0.3">
      <c r="B2505" s="84" t="s">
        <v>2624</v>
      </c>
    </row>
    <row r="2506" spans="2:2" x14ac:dyDescent="0.3">
      <c r="B2506" s="84" t="s">
        <v>2616</v>
      </c>
    </row>
    <row r="2507" spans="2:2" x14ac:dyDescent="0.3">
      <c r="B2507" s="84" t="s">
        <v>2620</v>
      </c>
    </row>
    <row r="2508" spans="2:2" x14ac:dyDescent="0.3">
      <c r="B2508" s="84" t="s">
        <v>2621</v>
      </c>
    </row>
    <row r="2509" spans="2:2" x14ac:dyDescent="0.3">
      <c r="B2509" s="84" t="s">
        <v>2622</v>
      </c>
    </row>
    <row r="2510" spans="2:2" x14ac:dyDescent="0.3">
      <c r="B2510" s="84" t="s">
        <v>2623</v>
      </c>
    </row>
    <row r="2511" spans="2:2" x14ac:dyDescent="0.3">
      <c r="B2511" s="84" t="s">
        <v>2625</v>
      </c>
    </row>
    <row r="2512" spans="2:2" x14ac:dyDescent="0.3">
      <c r="B2512" s="84" t="s">
        <v>2626</v>
      </c>
    </row>
    <row r="2513" spans="2:2" x14ac:dyDescent="0.3">
      <c r="B2513" s="84" t="s">
        <v>2627</v>
      </c>
    </row>
    <row r="2514" spans="2:2" x14ac:dyDescent="0.3">
      <c r="B2514" s="84" t="s">
        <v>2864</v>
      </c>
    </row>
    <row r="2515" spans="2:2" x14ac:dyDescent="0.3">
      <c r="B2515" s="84" t="s">
        <v>2855</v>
      </c>
    </row>
    <row r="2516" spans="2:2" x14ac:dyDescent="0.3">
      <c r="B2516" s="84" t="s">
        <v>2847</v>
      </c>
    </row>
    <row r="2517" spans="2:2" x14ac:dyDescent="0.3">
      <c r="B2517" s="84" t="s">
        <v>2848</v>
      </c>
    </row>
    <row r="2518" spans="2:2" x14ac:dyDescent="0.3">
      <c r="B2518" s="84" t="s">
        <v>2849</v>
      </c>
    </row>
    <row r="2519" spans="2:2" x14ac:dyDescent="0.3">
      <c r="B2519" s="84" t="s">
        <v>2856</v>
      </c>
    </row>
    <row r="2520" spans="2:2" x14ac:dyDescent="0.3">
      <c r="B2520" s="84" t="s">
        <v>2850</v>
      </c>
    </row>
    <row r="2521" spans="2:2" x14ac:dyDescent="0.3">
      <c r="B2521" s="84" t="s">
        <v>2857</v>
      </c>
    </row>
    <row r="2522" spans="2:2" x14ac:dyDescent="0.3">
      <c r="B2522" s="84" t="s">
        <v>2851</v>
      </c>
    </row>
    <row r="2523" spans="2:2" x14ac:dyDescent="0.3">
      <c r="B2523" s="84" t="s">
        <v>2858</v>
      </c>
    </row>
    <row r="2524" spans="2:2" x14ac:dyDescent="0.3">
      <c r="B2524" s="84" t="s">
        <v>2852</v>
      </c>
    </row>
    <row r="2525" spans="2:2" x14ac:dyDescent="0.3">
      <c r="B2525" s="84" t="s">
        <v>2859</v>
      </c>
    </row>
    <row r="2526" spans="2:2" x14ac:dyDescent="0.3">
      <c r="B2526" s="84" t="s">
        <v>2853</v>
      </c>
    </row>
    <row r="2527" spans="2:2" x14ac:dyDescent="0.3">
      <c r="B2527" s="84" t="s">
        <v>2860</v>
      </c>
    </row>
    <row r="2528" spans="2:2" x14ac:dyDescent="0.3">
      <c r="B2528" s="84" t="s">
        <v>2861</v>
      </c>
    </row>
    <row r="2529" spans="2:2" x14ac:dyDescent="0.3">
      <c r="B2529" s="84" t="s">
        <v>2862</v>
      </c>
    </row>
    <row r="2530" spans="2:2" x14ac:dyDescent="0.3">
      <c r="B2530" s="84" t="s">
        <v>2854</v>
      </c>
    </row>
    <row r="2531" spans="2:2" x14ac:dyDescent="0.3">
      <c r="B2531" s="84" t="s">
        <v>2863</v>
      </c>
    </row>
    <row r="2532" spans="2:2" x14ac:dyDescent="0.3">
      <c r="B2532" s="84" t="s">
        <v>5617</v>
      </c>
    </row>
    <row r="2533" spans="2:2" x14ac:dyDescent="0.3">
      <c r="B2533" s="84" t="s">
        <v>2005</v>
      </c>
    </row>
    <row r="2534" spans="2:2" x14ac:dyDescent="0.3">
      <c r="B2534" s="84" t="s">
        <v>2581</v>
      </c>
    </row>
    <row r="2535" spans="2:2" x14ac:dyDescent="0.3">
      <c r="B2535" s="84" t="s">
        <v>2582</v>
      </c>
    </row>
    <row r="2536" spans="2:2" x14ac:dyDescent="0.3">
      <c r="B2536" s="84" t="s">
        <v>2583</v>
      </c>
    </row>
    <row r="2537" spans="2:2" x14ac:dyDescent="0.3">
      <c r="B2537" s="84" t="s">
        <v>2584</v>
      </c>
    </row>
    <row r="2538" spans="2:2" x14ac:dyDescent="0.3">
      <c r="B2538" s="84" t="s">
        <v>2585</v>
      </c>
    </row>
    <row r="2539" spans="2:2" x14ac:dyDescent="0.3">
      <c r="B2539" s="84" t="s">
        <v>2586</v>
      </c>
    </row>
    <row r="2540" spans="2:2" x14ac:dyDescent="0.3">
      <c r="B2540" s="84" t="s">
        <v>2587</v>
      </c>
    </row>
    <row r="2541" spans="2:2" x14ac:dyDescent="0.3">
      <c r="B2541" s="84" t="s">
        <v>2588</v>
      </c>
    </row>
    <row r="2542" spans="2:2" x14ac:dyDescent="0.3">
      <c r="B2542" s="84" t="s">
        <v>2589</v>
      </c>
    </row>
    <row r="2543" spans="2:2" x14ac:dyDescent="0.3">
      <c r="B2543" s="84" t="s">
        <v>2590</v>
      </c>
    </row>
    <row r="2544" spans="2:2" x14ac:dyDescent="0.3">
      <c r="B2544" s="84" t="s">
        <v>2591</v>
      </c>
    </row>
    <row r="2545" spans="2:2" x14ac:dyDescent="0.3">
      <c r="B2545" s="84" t="s">
        <v>2592</v>
      </c>
    </row>
    <row r="2546" spans="2:2" x14ac:dyDescent="0.3">
      <c r="B2546" s="84" t="s">
        <v>2593</v>
      </c>
    </row>
    <row r="2547" spans="2:2" x14ac:dyDescent="0.3">
      <c r="B2547" s="84" t="s">
        <v>2594</v>
      </c>
    </row>
    <row r="2548" spans="2:2" x14ac:dyDescent="0.3">
      <c r="B2548" s="84" t="s">
        <v>2595</v>
      </c>
    </row>
    <row r="2549" spans="2:2" x14ac:dyDescent="0.3">
      <c r="B2549" s="84" t="s">
        <v>5618</v>
      </c>
    </row>
    <row r="2550" spans="2:2" x14ac:dyDescent="0.3">
      <c r="B2550" s="84" t="s">
        <v>2632</v>
      </c>
    </row>
    <row r="2551" spans="2:2" x14ac:dyDescent="0.3">
      <c r="B2551" s="84" t="s">
        <v>1884</v>
      </c>
    </row>
    <row r="2552" spans="2:2" x14ac:dyDescent="0.3">
      <c r="B2552" s="84" t="s">
        <v>5619</v>
      </c>
    </row>
    <row r="2553" spans="2:2" x14ac:dyDescent="0.3">
      <c r="B2553" s="84" t="s">
        <v>1885</v>
      </c>
    </row>
    <row r="2554" spans="2:2" x14ac:dyDescent="0.3">
      <c r="B2554" s="84" t="s">
        <v>5620</v>
      </c>
    </row>
    <row r="2555" spans="2:2" x14ac:dyDescent="0.3">
      <c r="B2555" s="84" t="s">
        <v>2633</v>
      </c>
    </row>
    <row r="2556" spans="2:2" x14ac:dyDescent="0.3">
      <c r="B2556" s="84" t="s">
        <v>2916</v>
      </c>
    </row>
    <row r="2557" spans="2:2" x14ac:dyDescent="0.3">
      <c r="B2557" s="84" t="s">
        <v>2919</v>
      </c>
    </row>
    <row r="2558" spans="2:2" x14ac:dyDescent="0.3">
      <c r="B2558" s="84" t="s">
        <v>2917</v>
      </c>
    </row>
    <row r="2559" spans="2:2" x14ac:dyDescent="0.3">
      <c r="B2559" s="84" t="s">
        <v>2917</v>
      </c>
    </row>
    <row r="2560" spans="2:2" x14ac:dyDescent="0.3">
      <c r="B2560" s="84" t="s">
        <v>2918</v>
      </c>
    </row>
    <row r="2561" spans="2:2" x14ac:dyDescent="0.3">
      <c r="B2561" s="84" t="s">
        <v>2596</v>
      </c>
    </row>
    <row r="2562" spans="2:2" x14ac:dyDescent="0.3">
      <c r="B2562" s="84" t="s">
        <v>2597</v>
      </c>
    </row>
    <row r="2563" spans="2:2" x14ac:dyDescent="0.3">
      <c r="B2563" s="84" t="s">
        <v>2598</v>
      </c>
    </row>
    <row r="2564" spans="2:2" x14ac:dyDescent="0.3">
      <c r="B2564" s="84" t="s">
        <v>2599</v>
      </c>
    </row>
    <row r="2565" spans="2:2" x14ac:dyDescent="0.3">
      <c r="B2565" s="84" t="s">
        <v>1830</v>
      </c>
    </row>
    <row r="2566" spans="2:2" x14ac:dyDescent="0.3">
      <c r="B2566" s="84" t="s">
        <v>1833</v>
      </c>
    </row>
    <row r="2567" spans="2:2" x14ac:dyDescent="0.3">
      <c r="B2567" s="84" t="s">
        <v>2600</v>
      </c>
    </row>
    <row r="2568" spans="2:2" x14ac:dyDescent="0.3">
      <c r="B2568" s="84" t="s">
        <v>2601</v>
      </c>
    </row>
    <row r="2569" spans="2:2" x14ac:dyDescent="0.3">
      <c r="B2569" s="84" t="s">
        <v>2602</v>
      </c>
    </row>
    <row r="2570" spans="2:2" x14ac:dyDescent="0.3">
      <c r="B2570" s="84" t="s">
        <v>2603</v>
      </c>
    </row>
    <row r="2571" spans="2:2" x14ac:dyDescent="0.3">
      <c r="B2571" s="84" t="s">
        <v>2604</v>
      </c>
    </row>
    <row r="2572" spans="2:2" x14ac:dyDescent="0.3">
      <c r="B2572" s="84" t="s">
        <v>1834</v>
      </c>
    </row>
    <row r="2573" spans="2:2" x14ac:dyDescent="0.3">
      <c r="B2573" s="84" t="s">
        <v>2605</v>
      </c>
    </row>
    <row r="2574" spans="2:2" x14ac:dyDescent="0.3">
      <c r="B2574" s="84" t="s">
        <v>2606</v>
      </c>
    </row>
    <row r="2575" spans="2:2" x14ac:dyDescent="0.3">
      <c r="B2575" s="84" t="s">
        <v>2607</v>
      </c>
    </row>
    <row r="2576" spans="2:2" x14ac:dyDescent="0.3">
      <c r="B2576" s="84" t="s">
        <v>2608</v>
      </c>
    </row>
    <row r="2577" spans="2:2" x14ac:dyDescent="0.3">
      <c r="B2577" s="84" t="s">
        <v>2609</v>
      </c>
    </row>
    <row r="2578" spans="2:2" x14ac:dyDescent="0.3">
      <c r="B2578" s="84" t="s">
        <v>2610</v>
      </c>
    </row>
    <row r="2579" spans="2:2" x14ac:dyDescent="0.3">
      <c r="B2579" s="84" t="s">
        <v>2611</v>
      </c>
    </row>
    <row r="2580" spans="2:2" x14ac:dyDescent="0.3">
      <c r="B2580" s="84" t="s">
        <v>2612</v>
      </c>
    </row>
    <row r="2581" spans="2:2" x14ac:dyDescent="0.3">
      <c r="B2581" s="84" t="s">
        <v>2613</v>
      </c>
    </row>
    <row r="2582" spans="2:2" x14ac:dyDescent="0.3">
      <c r="B2582" s="84" t="s">
        <v>5621</v>
      </c>
    </row>
    <row r="2583" spans="2:2" x14ac:dyDescent="0.3">
      <c r="B2583" s="84" t="s">
        <v>5622</v>
      </c>
    </row>
    <row r="2584" spans="2:2" x14ac:dyDescent="0.3">
      <c r="B2584" s="84" t="s">
        <v>5623</v>
      </c>
    </row>
    <row r="2585" spans="2:2" x14ac:dyDescent="0.3">
      <c r="B2585" s="84" t="s">
        <v>5624</v>
      </c>
    </row>
    <row r="2586" spans="2:2" x14ac:dyDescent="0.3">
      <c r="B2586" s="84" t="s">
        <v>5625</v>
      </c>
    </row>
    <row r="2587" spans="2:2" x14ac:dyDescent="0.3">
      <c r="B2587" s="84" t="s">
        <v>5626</v>
      </c>
    </row>
    <row r="2588" spans="2:2" x14ac:dyDescent="0.3">
      <c r="B2588" s="84" t="s">
        <v>5627</v>
      </c>
    </row>
    <row r="2589" spans="2:2" x14ac:dyDescent="0.3">
      <c r="B2589" s="84" t="s">
        <v>5628</v>
      </c>
    </row>
    <row r="2590" spans="2:2" x14ac:dyDescent="0.3">
      <c r="B2590" s="84" t="s">
        <v>5629</v>
      </c>
    </row>
    <row r="2591" spans="2:2" x14ac:dyDescent="0.3">
      <c r="B2591" s="84" t="s">
        <v>5630</v>
      </c>
    </row>
    <row r="2592" spans="2:2" x14ac:dyDescent="0.3">
      <c r="B2592" s="84" t="s">
        <v>5631</v>
      </c>
    </row>
    <row r="2593" spans="2:2" x14ac:dyDescent="0.3">
      <c r="B2593" s="84" t="s">
        <v>5632</v>
      </c>
    </row>
    <row r="2594" spans="2:2" x14ac:dyDescent="0.3">
      <c r="B2594" s="84" t="s">
        <v>5633</v>
      </c>
    </row>
    <row r="2595" spans="2:2" x14ac:dyDescent="0.3">
      <c r="B2595" s="84" t="s">
        <v>5634</v>
      </c>
    </row>
    <row r="2596" spans="2:2" x14ac:dyDescent="0.3">
      <c r="B2596" s="84" t="s">
        <v>5635</v>
      </c>
    </row>
    <row r="2597" spans="2:2" x14ac:dyDescent="0.3">
      <c r="B2597" s="84" t="s">
        <v>5636</v>
      </c>
    </row>
    <row r="2598" spans="2:2" x14ac:dyDescent="0.3">
      <c r="B2598" s="84" t="s">
        <v>5637</v>
      </c>
    </row>
    <row r="2599" spans="2:2" x14ac:dyDescent="0.3">
      <c r="B2599" s="84" t="s">
        <v>5638</v>
      </c>
    </row>
    <row r="2600" spans="2:2" x14ac:dyDescent="0.3">
      <c r="B2600" s="84" t="s">
        <v>5639</v>
      </c>
    </row>
    <row r="2601" spans="2:2" x14ac:dyDescent="0.3">
      <c r="B2601" s="84" t="s">
        <v>5640</v>
      </c>
    </row>
    <row r="2602" spans="2:2" x14ac:dyDescent="0.3">
      <c r="B2602" s="84" t="s">
        <v>5641</v>
      </c>
    </row>
    <row r="2603" spans="2:2" x14ac:dyDescent="0.3">
      <c r="B2603" s="84" t="s">
        <v>5642</v>
      </c>
    </row>
    <row r="2604" spans="2:2" x14ac:dyDescent="0.3">
      <c r="B2604" s="84" t="s">
        <v>5643</v>
      </c>
    </row>
    <row r="2605" spans="2:2" x14ac:dyDescent="0.3">
      <c r="B2605" s="84" t="s">
        <v>5644</v>
      </c>
    </row>
    <row r="2606" spans="2:2" x14ac:dyDescent="0.3">
      <c r="B2606" s="84" t="s">
        <v>5645</v>
      </c>
    </row>
    <row r="2607" spans="2:2" x14ac:dyDescent="0.3">
      <c r="B2607" s="84" t="s">
        <v>5646</v>
      </c>
    </row>
    <row r="2608" spans="2:2" x14ac:dyDescent="0.3">
      <c r="B2608" s="84" t="s">
        <v>5647</v>
      </c>
    </row>
    <row r="2609" spans="2:2" x14ac:dyDescent="0.3">
      <c r="B2609" s="84" t="s">
        <v>5648</v>
      </c>
    </row>
    <row r="2610" spans="2:2" x14ac:dyDescent="0.3">
      <c r="B2610" s="84" t="s">
        <v>5649</v>
      </c>
    </row>
    <row r="2611" spans="2:2" x14ac:dyDescent="0.3">
      <c r="B2611" s="84" t="s">
        <v>5650</v>
      </c>
    </row>
    <row r="2612" spans="2:2" x14ac:dyDescent="0.3">
      <c r="B2612" s="84" t="s">
        <v>5651</v>
      </c>
    </row>
    <row r="2613" spans="2:2" x14ac:dyDescent="0.3">
      <c r="B2613" s="84" t="s">
        <v>5652</v>
      </c>
    </row>
    <row r="2614" spans="2:2" x14ac:dyDescent="0.3">
      <c r="B2614" s="84" t="s">
        <v>5653</v>
      </c>
    </row>
    <row r="2615" spans="2:2" x14ac:dyDescent="0.3">
      <c r="B2615" s="84" t="s">
        <v>5654</v>
      </c>
    </row>
    <row r="2616" spans="2:2" x14ac:dyDescent="0.3">
      <c r="B2616" s="84" t="s">
        <v>5655</v>
      </c>
    </row>
    <row r="2617" spans="2:2" x14ac:dyDescent="0.3">
      <c r="B2617" s="84" t="s">
        <v>5656</v>
      </c>
    </row>
    <row r="2618" spans="2:2" x14ac:dyDescent="0.3">
      <c r="B2618" s="84" t="s">
        <v>5657</v>
      </c>
    </row>
    <row r="2619" spans="2:2" x14ac:dyDescent="0.3">
      <c r="B2619" s="84" t="s">
        <v>5658</v>
      </c>
    </row>
    <row r="2620" spans="2:2" x14ac:dyDescent="0.3">
      <c r="B2620" s="84" t="s">
        <v>5659</v>
      </c>
    </row>
    <row r="2621" spans="2:2" x14ac:dyDescent="0.3">
      <c r="B2621" s="84" t="s">
        <v>5660</v>
      </c>
    </row>
    <row r="2622" spans="2:2" x14ac:dyDescent="0.3">
      <c r="B2622" s="84" t="s">
        <v>5661</v>
      </c>
    </row>
    <row r="2623" spans="2:2" x14ac:dyDescent="0.3">
      <c r="B2623" s="84" t="s">
        <v>5662</v>
      </c>
    </row>
    <row r="2624" spans="2:2" x14ac:dyDescent="0.3">
      <c r="B2624" s="84" t="s">
        <v>5663</v>
      </c>
    </row>
    <row r="2625" spans="2:2" x14ac:dyDescent="0.3">
      <c r="B2625" s="84" t="s">
        <v>5664</v>
      </c>
    </row>
    <row r="2626" spans="2:2" x14ac:dyDescent="0.3">
      <c r="B2626" s="84" t="s">
        <v>5665</v>
      </c>
    </row>
    <row r="2627" spans="2:2" x14ac:dyDescent="0.3">
      <c r="B2627" s="84" t="s">
        <v>5666</v>
      </c>
    </row>
    <row r="2628" spans="2:2" x14ac:dyDescent="0.3">
      <c r="B2628" s="84" t="s">
        <v>5667</v>
      </c>
    </row>
    <row r="2629" spans="2:2" x14ac:dyDescent="0.3">
      <c r="B2629" s="84" t="s">
        <v>5668</v>
      </c>
    </row>
    <row r="2630" spans="2:2" x14ac:dyDescent="0.3">
      <c r="B2630" s="84" t="s">
        <v>5669</v>
      </c>
    </row>
    <row r="2631" spans="2:2" x14ac:dyDescent="0.3">
      <c r="B2631" s="84" t="s">
        <v>5670</v>
      </c>
    </row>
    <row r="2632" spans="2:2" x14ac:dyDescent="0.3">
      <c r="B2632" s="84" t="s">
        <v>5671</v>
      </c>
    </row>
    <row r="2633" spans="2:2" x14ac:dyDescent="0.3">
      <c r="B2633" s="84" t="s">
        <v>5672</v>
      </c>
    </row>
    <row r="2634" spans="2:2" x14ac:dyDescent="0.3">
      <c r="B2634" s="84" t="s">
        <v>5673</v>
      </c>
    </row>
    <row r="2635" spans="2:2" x14ac:dyDescent="0.3">
      <c r="B2635" s="84" t="s">
        <v>5674</v>
      </c>
    </row>
    <row r="2636" spans="2:2" x14ac:dyDescent="0.3">
      <c r="B2636" s="84" t="s">
        <v>5675</v>
      </c>
    </row>
    <row r="2637" spans="2:2" x14ac:dyDescent="0.3">
      <c r="B2637" s="84" t="s">
        <v>5676</v>
      </c>
    </row>
    <row r="2638" spans="2:2" x14ac:dyDescent="0.3">
      <c r="B2638" s="84" t="s">
        <v>5677</v>
      </c>
    </row>
    <row r="2639" spans="2:2" x14ac:dyDescent="0.3">
      <c r="B2639" s="84" t="s">
        <v>5678</v>
      </c>
    </row>
    <row r="2640" spans="2:2" x14ac:dyDescent="0.3">
      <c r="B2640" s="84" t="s">
        <v>5679</v>
      </c>
    </row>
    <row r="2641" spans="2:2" x14ac:dyDescent="0.3">
      <c r="B2641" s="84" t="s">
        <v>5680</v>
      </c>
    </row>
    <row r="2642" spans="2:2" x14ac:dyDescent="0.3">
      <c r="B2642" s="84" t="s">
        <v>5681</v>
      </c>
    </row>
    <row r="2643" spans="2:2" x14ac:dyDescent="0.3">
      <c r="B2643" s="84" t="s">
        <v>5682</v>
      </c>
    </row>
    <row r="2644" spans="2:2" x14ac:dyDescent="0.3">
      <c r="B2644" s="84" t="s">
        <v>5683</v>
      </c>
    </row>
    <row r="2645" spans="2:2" x14ac:dyDescent="0.3">
      <c r="B2645" s="84" t="s">
        <v>5684</v>
      </c>
    </row>
    <row r="2646" spans="2:2" x14ac:dyDescent="0.3">
      <c r="B2646" s="84" t="s">
        <v>5685</v>
      </c>
    </row>
    <row r="2647" spans="2:2" x14ac:dyDescent="0.3">
      <c r="B2647" s="84" t="s">
        <v>5686</v>
      </c>
    </row>
    <row r="2648" spans="2:2" x14ac:dyDescent="0.3">
      <c r="B2648" s="84" t="s">
        <v>5687</v>
      </c>
    </row>
    <row r="2649" spans="2:2" x14ac:dyDescent="0.3">
      <c r="B2649" s="84" t="s">
        <v>5688</v>
      </c>
    </row>
    <row r="2650" spans="2:2" x14ac:dyDescent="0.3">
      <c r="B2650" s="84" t="s">
        <v>5689</v>
      </c>
    </row>
    <row r="2651" spans="2:2" x14ac:dyDescent="0.3">
      <c r="B2651" s="84" t="s">
        <v>5690</v>
      </c>
    </row>
    <row r="2652" spans="2:2" x14ac:dyDescent="0.3">
      <c r="B2652" s="84" t="s">
        <v>2251</v>
      </c>
    </row>
    <row r="2653" spans="2:2" x14ac:dyDescent="0.3">
      <c r="B2653" s="84" t="s">
        <v>2252</v>
      </c>
    </row>
    <row r="2654" spans="2:2" x14ac:dyDescent="0.3">
      <c r="B2654" s="84" t="s">
        <v>2255</v>
      </c>
    </row>
    <row r="2655" spans="2:2" x14ac:dyDescent="0.3">
      <c r="B2655" s="84" t="s">
        <v>2256</v>
      </c>
    </row>
    <row r="2656" spans="2:2" x14ac:dyDescent="0.3">
      <c r="B2656" s="84" t="s">
        <v>2258</v>
      </c>
    </row>
    <row r="2657" spans="2:2" x14ac:dyDescent="0.3">
      <c r="B2657" s="84" t="s">
        <v>2259</v>
      </c>
    </row>
    <row r="2658" spans="2:2" x14ac:dyDescent="0.3">
      <c r="B2658" s="84" t="s">
        <v>2261</v>
      </c>
    </row>
    <row r="2659" spans="2:2" x14ac:dyDescent="0.3">
      <c r="B2659" s="84" t="s">
        <v>2262</v>
      </c>
    </row>
    <row r="2660" spans="2:2" x14ac:dyDescent="0.3">
      <c r="B2660" s="84" t="s">
        <v>2264</v>
      </c>
    </row>
    <row r="2661" spans="2:2" x14ac:dyDescent="0.3">
      <c r="B2661" s="84" t="s">
        <v>2265</v>
      </c>
    </row>
    <row r="2662" spans="2:2" x14ac:dyDescent="0.3">
      <c r="B2662" s="84" t="s">
        <v>2266</v>
      </c>
    </row>
    <row r="2663" spans="2:2" x14ac:dyDescent="0.3">
      <c r="B2663" s="84" t="s">
        <v>2267</v>
      </c>
    </row>
    <row r="2664" spans="2:2" x14ac:dyDescent="0.3">
      <c r="B2664" s="84" t="s">
        <v>2268</v>
      </c>
    </row>
    <row r="2665" spans="2:2" x14ac:dyDescent="0.3">
      <c r="B2665" s="84" t="s">
        <v>2269</v>
      </c>
    </row>
    <row r="2666" spans="2:2" x14ac:dyDescent="0.3">
      <c r="B2666" s="84" t="s">
        <v>2270</v>
      </c>
    </row>
    <row r="2667" spans="2:2" x14ac:dyDescent="0.3">
      <c r="B2667" s="84" t="s">
        <v>2271</v>
      </c>
    </row>
    <row r="2668" spans="2:2" x14ac:dyDescent="0.3">
      <c r="B2668" s="84" t="s">
        <v>2272</v>
      </c>
    </row>
    <row r="2669" spans="2:2" x14ac:dyDescent="0.3">
      <c r="B2669" s="84" t="s">
        <v>2273</v>
      </c>
    </row>
    <row r="2670" spans="2:2" x14ac:dyDescent="0.3">
      <c r="B2670" s="84" t="s">
        <v>2230</v>
      </c>
    </row>
    <row r="2671" spans="2:2" x14ac:dyDescent="0.3">
      <c r="B2671" s="84" t="s">
        <v>1466</v>
      </c>
    </row>
    <row r="2672" spans="2:2" x14ac:dyDescent="0.3">
      <c r="B2672" s="84" t="s">
        <v>1868</v>
      </c>
    </row>
    <row r="2673" spans="2:2" x14ac:dyDescent="0.3">
      <c r="B2673" s="84" t="s">
        <v>2098</v>
      </c>
    </row>
    <row r="2674" spans="2:2" x14ac:dyDescent="0.3">
      <c r="B2674" s="84" t="s">
        <v>2228</v>
      </c>
    </row>
    <row r="2675" spans="2:2" x14ac:dyDescent="0.3">
      <c r="B2675" s="84" t="s">
        <v>5691</v>
      </c>
    </row>
    <row r="2676" spans="2:2" x14ac:dyDescent="0.3">
      <c r="B2676" s="84" t="s">
        <v>5692</v>
      </c>
    </row>
    <row r="2677" spans="2:2" x14ac:dyDescent="0.3">
      <c r="B2677" s="84" t="s">
        <v>5693</v>
      </c>
    </row>
    <row r="2678" spans="2:2" x14ac:dyDescent="0.3">
      <c r="B2678" s="84" t="s">
        <v>5694</v>
      </c>
    </row>
    <row r="2679" spans="2:2" x14ac:dyDescent="0.3">
      <c r="B2679" s="84" t="s">
        <v>5695</v>
      </c>
    </row>
    <row r="2680" spans="2:2" x14ac:dyDescent="0.3">
      <c r="B2680" s="84" t="s">
        <v>5696</v>
      </c>
    </row>
    <row r="2681" spans="2:2" x14ac:dyDescent="0.3">
      <c r="B2681" s="84" t="s">
        <v>5697</v>
      </c>
    </row>
    <row r="2682" spans="2:2" x14ac:dyDescent="0.3">
      <c r="B2682" s="84" t="s">
        <v>5698</v>
      </c>
    </row>
    <row r="2683" spans="2:2" x14ac:dyDescent="0.3">
      <c r="B2683" s="84" t="s">
        <v>5699</v>
      </c>
    </row>
    <row r="2684" spans="2:2" x14ac:dyDescent="0.3">
      <c r="B2684" s="84" t="s">
        <v>5700</v>
      </c>
    </row>
    <row r="2685" spans="2:2" x14ac:dyDescent="0.3">
      <c r="B2685" s="84" t="s">
        <v>5701</v>
      </c>
    </row>
    <row r="2686" spans="2:2" x14ac:dyDescent="0.3">
      <c r="B2686" s="84" t="s">
        <v>5702</v>
      </c>
    </row>
    <row r="2687" spans="2:2" x14ac:dyDescent="0.3">
      <c r="B2687" s="84" t="s">
        <v>5703</v>
      </c>
    </row>
    <row r="2688" spans="2:2" x14ac:dyDescent="0.3">
      <c r="B2688" s="84" t="s">
        <v>5704</v>
      </c>
    </row>
    <row r="2689" spans="2:2" x14ac:dyDescent="0.3">
      <c r="B2689" s="84" t="s">
        <v>5705</v>
      </c>
    </row>
    <row r="2690" spans="2:2" x14ac:dyDescent="0.3">
      <c r="B2690" s="84" t="s">
        <v>5706</v>
      </c>
    </row>
    <row r="2691" spans="2:2" x14ac:dyDescent="0.3">
      <c r="B2691" s="84" t="s">
        <v>2332</v>
      </c>
    </row>
    <row r="2692" spans="2:2" x14ac:dyDescent="0.3">
      <c r="B2692" s="84" t="s">
        <v>1468</v>
      </c>
    </row>
    <row r="2693" spans="2:2" x14ac:dyDescent="0.3">
      <c r="B2693" s="84" t="s">
        <v>1467</v>
      </c>
    </row>
    <row r="2694" spans="2:2" x14ac:dyDescent="0.3">
      <c r="B2694" s="84" t="s">
        <v>1469</v>
      </c>
    </row>
    <row r="2695" spans="2:2" x14ac:dyDescent="0.3">
      <c r="B2695" s="84" t="s">
        <v>1470</v>
      </c>
    </row>
    <row r="2696" spans="2:2" x14ac:dyDescent="0.3">
      <c r="B2696" s="84" t="s">
        <v>1471</v>
      </c>
    </row>
    <row r="2697" spans="2:2" x14ac:dyDescent="0.3">
      <c r="B2697" s="84" t="s">
        <v>5707</v>
      </c>
    </row>
    <row r="2698" spans="2:2" x14ac:dyDescent="0.3">
      <c r="B2698" s="84" t="s">
        <v>2245</v>
      </c>
    </row>
    <row r="2699" spans="2:2" x14ac:dyDescent="0.3">
      <c r="B2699" s="84" t="s">
        <v>2246</v>
      </c>
    </row>
    <row r="2700" spans="2:2" x14ac:dyDescent="0.3">
      <c r="B2700" s="84" t="s">
        <v>2247</v>
      </c>
    </row>
    <row r="2701" spans="2:2" x14ac:dyDescent="0.3">
      <c r="B2701" s="84" t="s">
        <v>2248</v>
      </c>
    </row>
    <row r="2702" spans="2:2" x14ac:dyDescent="0.3">
      <c r="B2702" s="84" t="s">
        <v>2249</v>
      </c>
    </row>
    <row r="2703" spans="2:2" x14ac:dyDescent="0.3">
      <c r="B2703" s="84" t="s">
        <v>2250</v>
      </c>
    </row>
    <row r="2704" spans="2:2" x14ac:dyDescent="0.3">
      <c r="B2704" s="84" t="s">
        <v>2253</v>
      </c>
    </row>
    <row r="2705" spans="2:2" x14ac:dyDescent="0.3">
      <c r="B2705" s="84" t="s">
        <v>2254</v>
      </c>
    </row>
    <row r="2706" spans="2:2" x14ac:dyDescent="0.3">
      <c r="B2706" s="84" t="s">
        <v>2257</v>
      </c>
    </row>
    <row r="2707" spans="2:2" x14ac:dyDescent="0.3">
      <c r="B2707" s="84" t="s">
        <v>2260</v>
      </c>
    </row>
    <row r="2708" spans="2:2" x14ac:dyDescent="0.3">
      <c r="B2708" s="84" t="s">
        <v>2263</v>
      </c>
    </row>
    <row r="2709" spans="2:2" x14ac:dyDescent="0.3">
      <c r="B2709" s="84" t="s">
        <v>2099</v>
      </c>
    </row>
    <row r="2710" spans="2:2" x14ac:dyDescent="0.3">
      <c r="B2710" s="84" t="s">
        <v>5708</v>
      </c>
    </row>
    <row r="2711" spans="2:2" x14ac:dyDescent="0.3">
      <c r="B2711" s="84" t="s">
        <v>2789</v>
      </c>
    </row>
    <row r="2712" spans="2:2" x14ac:dyDescent="0.3">
      <c r="B2712" s="84" t="s">
        <v>5709</v>
      </c>
    </row>
    <row r="2713" spans="2:2" x14ac:dyDescent="0.3">
      <c r="B2713" s="84" t="s">
        <v>5710</v>
      </c>
    </row>
    <row r="2714" spans="2:2" x14ac:dyDescent="0.3">
      <c r="B2714" s="84" t="s">
        <v>5711</v>
      </c>
    </row>
    <row r="2715" spans="2:2" x14ac:dyDescent="0.3">
      <c r="B2715" s="84" t="s">
        <v>5712</v>
      </c>
    </row>
    <row r="2716" spans="2:2" x14ac:dyDescent="0.3">
      <c r="B2716" s="84" t="s">
        <v>5713</v>
      </c>
    </row>
    <row r="2717" spans="2:2" x14ac:dyDescent="0.3">
      <c r="B2717" s="84" t="s">
        <v>5714</v>
      </c>
    </row>
    <row r="2718" spans="2:2" x14ac:dyDescent="0.3">
      <c r="B2718" s="84" t="s">
        <v>5715</v>
      </c>
    </row>
    <row r="2719" spans="2:2" x14ac:dyDescent="0.3">
      <c r="B2719" s="84" t="s">
        <v>5716</v>
      </c>
    </row>
    <row r="2720" spans="2:2" x14ac:dyDescent="0.3">
      <c r="B2720" s="84" t="s">
        <v>5717</v>
      </c>
    </row>
    <row r="2721" spans="2:2" x14ac:dyDescent="0.3">
      <c r="B2721" s="84" t="s">
        <v>5718</v>
      </c>
    </row>
    <row r="2722" spans="2:2" x14ac:dyDescent="0.3">
      <c r="B2722" s="84" t="s">
        <v>5719</v>
      </c>
    </row>
    <row r="2723" spans="2:2" x14ac:dyDescent="0.3">
      <c r="B2723" s="84" t="s">
        <v>5720</v>
      </c>
    </row>
    <row r="2724" spans="2:2" x14ac:dyDescent="0.3">
      <c r="B2724" s="84" t="s">
        <v>5721</v>
      </c>
    </row>
    <row r="2725" spans="2:2" x14ac:dyDescent="0.3">
      <c r="B2725" s="84" t="s">
        <v>5722</v>
      </c>
    </row>
    <row r="2726" spans="2:2" x14ac:dyDescent="0.3">
      <c r="B2726" s="84" t="s">
        <v>5723</v>
      </c>
    </row>
    <row r="2727" spans="2:2" x14ac:dyDescent="0.3">
      <c r="B2727" s="84" t="s">
        <v>5724</v>
      </c>
    </row>
    <row r="2728" spans="2:2" x14ac:dyDescent="0.3">
      <c r="B2728" s="84" t="s">
        <v>5725</v>
      </c>
    </row>
    <row r="2729" spans="2:2" x14ac:dyDescent="0.3">
      <c r="B2729" s="84" t="s">
        <v>5726</v>
      </c>
    </row>
    <row r="2730" spans="2:2" x14ac:dyDescent="0.3">
      <c r="B2730" s="84" t="s">
        <v>5727</v>
      </c>
    </row>
    <row r="2731" spans="2:2" x14ac:dyDescent="0.3">
      <c r="B2731" s="84" t="s">
        <v>5728</v>
      </c>
    </row>
    <row r="2732" spans="2:2" x14ac:dyDescent="0.3">
      <c r="B2732" s="84" t="s">
        <v>5729</v>
      </c>
    </row>
    <row r="2733" spans="2:2" x14ac:dyDescent="0.3">
      <c r="B2733" s="84" t="s">
        <v>5730</v>
      </c>
    </row>
    <row r="2734" spans="2:2" x14ac:dyDescent="0.3">
      <c r="B2734" s="84" t="s">
        <v>5731</v>
      </c>
    </row>
    <row r="2735" spans="2:2" x14ac:dyDescent="0.3">
      <c r="B2735" s="84" t="s">
        <v>5732</v>
      </c>
    </row>
    <row r="2736" spans="2:2" x14ac:dyDescent="0.3">
      <c r="B2736" s="84" t="s">
        <v>5733</v>
      </c>
    </row>
    <row r="2737" spans="2:2" x14ac:dyDescent="0.3">
      <c r="B2737" s="84" t="s">
        <v>5734</v>
      </c>
    </row>
    <row r="2738" spans="2:2" x14ac:dyDescent="0.3">
      <c r="B2738" s="84" t="s">
        <v>5735</v>
      </c>
    </row>
    <row r="2739" spans="2:2" x14ac:dyDescent="0.3">
      <c r="B2739" s="84" t="s">
        <v>5736</v>
      </c>
    </row>
    <row r="2740" spans="2:2" x14ac:dyDescent="0.3">
      <c r="B2740" s="84" t="s">
        <v>5737</v>
      </c>
    </row>
    <row r="2741" spans="2:2" x14ac:dyDescent="0.3">
      <c r="B2741" s="84" t="s">
        <v>5738</v>
      </c>
    </row>
    <row r="2742" spans="2:2" x14ac:dyDescent="0.3">
      <c r="B2742" s="84" t="s">
        <v>5739</v>
      </c>
    </row>
    <row r="2743" spans="2:2" x14ac:dyDescent="0.3">
      <c r="B2743" s="84" t="s">
        <v>5740</v>
      </c>
    </row>
    <row r="2744" spans="2:2" x14ac:dyDescent="0.3">
      <c r="B2744" s="84" t="s">
        <v>5741</v>
      </c>
    </row>
    <row r="2745" spans="2:2" x14ac:dyDescent="0.3">
      <c r="B2745" s="84" t="s">
        <v>5742</v>
      </c>
    </row>
    <row r="2746" spans="2:2" x14ac:dyDescent="0.3">
      <c r="B2746" s="84" t="s">
        <v>5743</v>
      </c>
    </row>
    <row r="2747" spans="2:2" x14ac:dyDescent="0.3">
      <c r="B2747" s="84" t="s">
        <v>5744</v>
      </c>
    </row>
    <row r="2748" spans="2:2" x14ac:dyDescent="0.3">
      <c r="B2748" s="84" t="s">
        <v>5745</v>
      </c>
    </row>
    <row r="2749" spans="2:2" x14ac:dyDescent="0.3">
      <c r="B2749" s="84" t="s">
        <v>5746</v>
      </c>
    </row>
    <row r="2750" spans="2:2" x14ac:dyDescent="0.3">
      <c r="B2750" s="84" t="s">
        <v>5747</v>
      </c>
    </row>
    <row r="2751" spans="2:2" x14ac:dyDescent="0.3">
      <c r="B2751" s="84" t="s">
        <v>5748</v>
      </c>
    </row>
    <row r="2752" spans="2:2" x14ac:dyDescent="0.3">
      <c r="B2752" s="84" t="s">
        <v>5749</v>
      </c>
    </row>
    <row r="2753" spans="2:2" x14ac:dyDescent="0.3">
      <c r="B2753" s="84" t="s">
        <v>5750</v>
      </c>
    </row>
    <row r="2754" spans="2:2" x14ac:dyDescent="0.3">
      <c r="B2754" s="84" t="s">
        <v>5751</v>
      </c>
    </row>
    <row r="2755" spans="2:2" x14ac:dyDescent="0.3">
      <c r="B2755" s="84" t="s">
        <v>5752</v>
      </c>
    </row>
    <row r="2756" spans="2:2" x14ac:dyDescent="0.3">
      <c r="B2756" s="84" t="s">
        <v>5753</v>
      </c>
    </row>
    <row r="2757" spans="2:2" x14ac:dyDescent="0.3">
      <c r="B2757" s="84" t="s">
        <v>5754</v>
      </c>
    </row>
    <row r="2758" spans="2:2" x14ac:dyDescent="0.3">
      <c r="B2758" s="84" t="s">
        <v>5755</v>
      </c>
    </row>
    <row r="2759" spans="2:2" x14ac:dyDescent="0.3">
      <c r="B2759" s="84" t="s">
        <v>5756</v>
      </c>
    </row>
    <row r="2760" spans="2:2" x14ac:dyDescent="0.3">
      <c r="B2760" s="84" t="s">
        <v>5757</v>
      </c>
    </row>
    <row r="2761" spans="2:2" x14ac:dyDescent="0.3">
      <c r="B2761" s="84" t="s">
        <v>5758</v>
      </c>
    </row>
    <row r="2762" spans="2:2" x14ac:dyDescent="0.3">
      <c r="B2762" s="84" t="s">
        <v>5759</v>
      </c>
    </row>
    <row r="2763" spans="2:2" x14ac:dyDescent="0.3">
      <c r="B2763" s="84" t="s">
        <v>5760</v>
      </c>
    </row>
    <row r="2764" spans="2:2" x14ac:dyDescent="0.3">
      <c r="B2764" s="84" t="s">
        <v>5761</v>
      </c>
    </row>
    <row r="2765" spans="2:2" x14ac:dyDescent="0.3">
      <c r="B2765" s="84" t="s">
        <v>5762</v>
      </c>
    </row>
    <row r="2766" spans="2:2" x14ac:dyDescent="0.3">
      <c r="B2766" s="84" t="s">
        <v>5763</v>
      </c>
    </row>
    <row r="2767" spans="2:2" x14ac:dyDescent="0.3">
      <c r="B2767" s="84" t="s">
        <v>5764</v>
      </c>
    </row>
    <row r="2768" spans="2:2" x14ac:dyDescent="0.3">
      <c r="B2768" s="84" t="s">
        <v>5765</v>
      </c>
    </row>
    <row r="2769" spans="2:2" x14ac:dyDescent="0.3">
      <c r="B2769" s="84" t="s">
        <v>5766</v>
      </c>
    </row>
    <row r="2770" spans="2:2" x14ac:dyDescent="0.3">
      <c r="B2770" s="84" t="s">
        <v>5767</v>
      </c>
    </row>
    <row r="2771" spans="2:2" x14ac:dyDescent="0.3">
      <c r="B2771" s="84" t="s">
        <v>5768</v>
      </c>
    </row>
    <row r="2772" spans="2:2" x14ac:dyDescent="0.3">
      <c r="B2772" s="84" t="s">
        <v>5769</v>
      </c>
    </row>
    <row r="2773" spans="2:2" x14ac:dyDescent="0.3">
      <c r="B2773" s="84" t="s">
        <v>5770</v>
      </c>
    </row>
    <row r="2774" spans="2:2" x14ac:dyDescent="0.3">
      <c r="B2774" s="84" t="s">
        <v>5771</v>
      </c>
    </row>
    <row r="2775" spans="2:2" x14ac:dyDescent="0.3">
      <c r="B2775" s="84" t="s">
        <v>5772</v>
      </c>
    </row>
    <row r="2776" spans="2:2" x14ac:dyDescent="0.3">
      <c r="B2776" s="84" t="s">
        <v>5773</v>
      </c>
    </row>
    <row r="2777" spans="2:2" x14ac:dyDescent="0.3">
      <c r="B2777" s="84" t="s">
        <v>5774</v>
      </c>
    </row>
    <row r="2778" spans="2:2" x14ac:dyDescent="0.3">
      <c r="B2778" s="84" t="s">
        <v>5775</v>
      </c>
    </row>
    <row r="2779" spans="2:2" x14ac:dyDescent="0.3">
      <c r="B2779" s="84" t="s">
        <v>5776</v>
      </c>
    </row>
    <row r="2780" spans="2:2" x14ac:dyDescent="0.3">
      <c r="B2780" s="84" t="s">
        <v>5777</v>
      </c>
    </row>
    <row r="2781" spans="2:2" x14ac:dyDescent="0.3">
      <c r="B2781" s="84" t="s">
        <v>5778</v>
      </c>
    </row>
    <row r="2782" spans="2:2" x14ac:dyDescent="0.3">
      <c r="B2782" s="84" t="s">
        <v>5779</v>
      </c>
    </row>
    <row r="2783" spans="2:2" x14ac:dyDescent="0.3">
      <c r="B2783" s="84" t="s">
        <v>5780</v>
      </c>
    </row>
    <row r="2784" spans="2:2" x14ac:dyDescent="0.3">
      <c r="B2784" s="84" t="s">
        <v>5781</v>
      </c>
    </row>
    <row r="2785" spans="2:2" x14ac:dyDescent="0.3">
      <c r="B2785" s="84" t="s">
        <v>5782</v>
      </c>
    </row>
    <row r="2786" spans="2:2" x14ac:dyDescent="0.3">
      <c r="B2786" s="84" t="s">
        <v>5783</v>
      </c>
    </row>
    <row r="2787" spans="2:2" x14ac:dyDescent="0.3">
      <c r="B2787" s="84" t="s">
        <v>5784</v>
      </c>
    </row>
    <row r="2788" spans="2:2" x14ac:dyDescent="0.3">
      <c r="B2788" s="84" t="s">
        <v>5785</v>
      </c>
    </row>
    <row r="2789" spans="2:2" x14ac:dyDescent="0.3">
      <c r="B2789" s="84" t="s">
        <v>5786</v>
      </c>
    </row>
    <row r="2790" spans="2:2" x14ac:dyDescent="0.3">
      <c r="B2790" s="84" t="s">
        <v>5787</v>
      </c>
    </row>
    <row r="2791" spans="2:2" x14ac:dyDescent="0.3">
      <c r="B2791" s="84" t="s">
        <v>5788</v>
      </c>
    </row>
    <row r="2792" spans="2:2" x14ac:dyDescent="0.3">
      <c r="B2792" s="84" t="s">
        <v>5789</v>
      </c>
    </row>
    <row r="2793" spans="2:2" x14ac:dyDescent="0.3">
      <c r="B2793" s="84" t="s">
        <v>5790</v>
      </c>
    </row>
    <row r="2794" spans="2:2" x14ac:dyDescent="0.3">
      <c r="B2794" s="84" t="s">
        <v>5791</v>
      </c>
    </row>
    <row r="2795" spans="2:2" x14ac:dyDescent="0.3">
      <c r="B2795" s="84" t="s">
        <v>5792</v>
      </c>
    </row>
    <row r="2796" spans="2:2" x14ac:dyDescent="0.3">
      <c r="B2796" s="84" t="s">
        <v>5793</v>
      </c>
    </row>
    <row r="2797" spans="2:2" x14ac:dyDescent="0.3">
      <c r="B2797" s="84" t="s">
        <v>5794</v>
      </c>
    </row>
    <row r="2798" spans="2:2" x14ac:dyDescent="0.3">
      <c r="B2798" s="84" t="s">
        <v>5795</v>
      </c>
    </row>
    <row r="2799" spans="2:2" x14ac:dyDescent="0.3">
      <c r="B2799" s="84" t="s">
        <v>5796</v>
      </c>
    </row>
    <row r="2800" spans="2:2" x14ac:dyDescent="0.3">
      <c r="B2800" s="84" t="s">
        <v>5797</v>
      </c>
    </row>
    <row r="2801" spans="2:2" x14ac:dyDescent="0.3">
      <c r="B2801" s="84" t="s">
        <v>5798</v>
      </c>
    </row>
    <row r="2802" spans="2:2" x14ac:dyDescent="0.3">
      <c r="B2802" s="84" t="s">
        <v>5799</v>
      </c>
    </row>
    <row r="2803" spans="2:2" x14ac:dyDescent="0.3">
      <c r="B2803" s="84" t="s">
        <v>5800</v>
      </c>
    </row>
    <row r="2804" spans="2:2" x14ac:dyDescent="0.3">
      <c r="B2804" s="84" t="s">
        <v>5801</v>
      </c>
    </row>
    <row r="2805" spans="2:2" x14ac:dyDescent="0.3">
      <c r="B2805" s="84" t="s">
        <v>5802</v>
      </c>
    </row>
    <row r="2806" spans="2:2" x14ac:dyDescent="0.3">
      <c r="B2806" s="84" t="s">
        <v>5803</v>
      </c>
    </row>
    <row r="2807" spans="2:2" x14ac:dyDescent="0.3">
      <c r="B2807" s="84" t="s">
        <v>5804</v>
      </c>
    </row>
    <row r="2808" spans="2:2" x14ac:dyDescent="0.3">
      <c r="B2808" s="84" t="s">
        <v>5805</v>
      </c>
    </row>
    <row r="2809" spans="2:2" x14ac:dyDescent="0.3">
      <c r="B2809" s="84" t="s">
        <v>5806</v>
      </c>
    </row>
    <row r="2810" spans="2:2" x14ac:dyDescent="0.3">
      <c r="B2810" s="84" t="s">
        <v>5807</v>
      </c>
    </row>
    <row r="2811" spans="2:2" x14ac:dyDescent="0.3">
      <c r="B2811" s="84" t="s">
        <v>5808</v>
      </c>
    </row>
    <row r="2812" spans="2:2" x14ac:dyDescent="0.3">
      <c r="B2812" s="84" t="s">
        <v>5809</v>
      </c>
    </row>
    <row r="2813" spans="2:2" x14ac:dyDescent="0.3">
      <c r="B2813" s="84" t="s">
        <v>5810</v>
      </c>
    </row>
    <row r="2814" spans="2:2" x14ac:dyDescent="0.3">
      <c r="B2814" s="84" t="s">
        <v>5811</v>
      </c>
    </row>
    <row r="2815" spans="2:2" x14ac:dyDescent="0.3">
      <c r="B2815" s="84" t="s">
        <v>5812</v>
      </c>
    </row>
    <row r="2816" spans="2:2" x14ac:dyDescent="0.3">
      <c r="B2816" s="84" t="s">
        <v>5813</v>
      </c>
    </row>
    <row r="2817" spans="2:2" x14ac:dyDescent="0.3">
      <c r="B2817" s="84" t="s">
        <v>5814</v>
      </c>
    </row>
    <row r="2818" spans="2:2" x14ac:dyDescent="0.3">
      <c r="B2818" s="84" t="s">
        <v>5815</v>
      </c>
    </row>
    <row r="2819" spans="2:2" x14ac:dyDescent="0.3">
      <c r="B2819" s="84" t="s">
        <v>5816</v>
      </c>
    </row>
    <row r="2820" spans="2:2" x14ac:dyDescent="0.3">
      <c r="B2820" s="84" t="s">
        <v>5817</v>
      </c>
    </row>
    <row r="2821" spans="2:2" x14ac:dyDescent="0.3">
      <c r="B2821" s="84" t="s">
        <v>5818</v>
      </c>
    </row>
    <row r="2822" spans="2:2" x14ac:dyDescent="0.3">
      <c r="B2822" s="84" t="s">
        <v>5819</v>
      </c>
    </row>
    <row r="2823" spans="2:2" x14ac:dyDescent="0.3">
      <c r="B2823" s="84" t="s">
        <v>5820</v>
      </c>
    </row>
    <row r="2824" spans="2:2" x14ac:dyDescent="0.3">
      <c r="B2824" s="84" t="s">
        <v>5821</v>
      </c>
    </row>
    <row r="2825" spans="2:2" x14ac:dyDescent="0.3">
      <c r="B2825" s="84" t="s">
        <v>5822</v>
      </c>
    </row>
    <row r="2826" spans="2:2" x14ac:dyDescent="0.3">
      <c r="B2826" s="84" t="s">
        <v>5823</v>
      </c>
    </row>
    <row r="2827" spans="2:2" x14ac:dyDescent="0.3">
      <c r="B2827" s="84" t="s">
        <v>5824</v>
      </c>
    </row>
    <row r="2828" spans="2:2" x14ac:dyDescent="0.3">
      <c r="B2828" s="84" t="s">
        <v>5825</v>
      </c>
    </row>
    <row r="2829" spans="2:2" x14ac:dyDescent="0.3">
      <c r="B2829" s="84" t="s">
        <v>5826</v>
      </c>
    </row>
    <row r="2830" spans="2:2" x14ac:dyDescent="0.3">
      <c r="B2830" s="84" t="s">
        <v>5827</v>
      </c>
    </row>
    <row r="2831" spans="2:2" x14ac:dyDescent="0.3">
      <c r="B2831" s="84" t="s">
        <v>5828</v>
      </c>
    </row>
    <row r="2832" spans="2:2" x14ac:dyDescent="0.3">
      <c r="B2832" s="84" t="s">
        <v>5829</v>
      </c>
    </row>
    <row r="2833" spans="2:2" x14ac:dyDescent="0.3">
      <c r="B2833" s="84" t="s">
        <v>5830</v>
      </c>
    </row>
    <row r="2834" spans="2:2" x14ac:dyDescent="0.3">
      <c r="B2834" s="84" t="s">
        <v>5831</v>
      </c>
    </row>
    <row r="2835" spans="2:2" x14ac:dyDescent="0.3">
      <c r="B2835" s="84" t="s">
        <v>5832</v>
      </c>
    </row>
    <row r="2836" spans="2:2" x14ac:dyDescent="0.3">
      <c r="B2836" s="84" t="s">
        <v>5833</v>
      </c>
    </row>
    <row r="2837" spans="2:2" x14ac:dyDescent="0.3">
      <c r="B2837" s="84" t="s">
        <v>5834</v>
      </c>
    </row>
    <row r="2838" spans="2:2" x14ac:dyDescent="0.3">
      <c r="B2838" s="84" t="s">
        <v>5835</v>
      </c>
    </row>
    <row r="2839" spans="2:2" x14ac:dyDescent="0.3">
      <c r="B2839" s="84" t="s">
        <v>5836</v>
      </c>
    </row>
    <row r="2840" spans="2:2" x14ac:dyDescent="0.3">
      <c r="B2840" s="84" t="s">
        <v>5837</v>
      </c>
    </row>
    <row r="2841" spans="2:2" x14ac:dyDescent="0.3">
      <c r="B2841" s="84" t="s">
        <v>5838</v>
      </c>
    </row>
    <row r="2842" spans="2:2" x14ac:dyDescent="0.3">
      <c r="B2842" s="84" t="s">
        <v>5839</v>
      </c>
    </row>
    <row r="2843" spans="2:2" x14ac:dyDescent="0.3">
      <c r="B2843" s="84" t="s">
        <v>5840</v>
      </c>
    </row>
    <row r="2844" spans="2:2" x14ac:dyDescent="0.3">
      <c r="B2844" s="84" t="s">
        <v>5841</v>
      </c>
    </row>
    <row r="2845" spans="2:2" x14ac:dyDescent="0.3">
      <c r="B2845" s="84" t="s">
        <v>5842</v>
      </c>
    </row>
    <row r="2846" spans="2:2" x14ac:dyDescent="0.3">
      <c r="B2846" s="84" t="s">
        <v>5843</v>
      </c>
    </row>
    <row r="2847" spans="2:2" x14ac:dyDescent="0.3">
      <c r="B2847" s="84" t="s">
        <v>5844</v>
      </c>
    </row>
    <row r="2848" spans="2:2" x14ac:dyDescent="0.3">
      <c r="B2848" s="84" t="s">
        <v>5845</v>
      </c>
    </row>
    <row r="2849" spans="2:2" x14ac:dyDescent="0.3">
      <c r="B2849" s="84" t="s">
        <v>5846</v>
      </c>
    </row>
    <row r="2850" spans="2:2" x14ac:dyDescent="0.3">
      <c r="B2850" s="84" t="s">
        <v>5847</v>
      </c>
    </row>
    <row r="2851" spans="2:2" x14ac:dyDescent="0.3">
      <c r="B2851" s="84" t="s">
        <v>5848</v>
      </c>
    </row>
    <row r="2852" spans="2:2" x14ac:dyDescent="0.3">
      <c r="B2852" s="84" t="s">
        <v>5849</v>
      </c>
    </row>
    <row r="2853" spans="2:2" x14ac:dyDescent="0.3">
      <c r="B2853" s="84" t="s">
        <v>5850</v>
      </c>
    </row>
    <row r="2854" spans="2:2" x14ac:dyDescent="0.3">
      <c r="B2854" s="84" t="s">
        <v>5851</v>
      </c>
    </row>
    <row r="2855" spans="2:2" x14ac:dyDescent="0.3">
      <c r="B2855" s="84" t="s">
        <v>5852</v>
      </c>
    </row>
    <row r="2856" spans="2:2" x14ac:dyDescent="0.3">
      <c r="B2856" s="84" t="s">
        <v>5853</v>
      </c>
    </row>
    <row r="2857" spans="2:2" x14ac:dyDescent="0.3">
      <c r="B2857" s="84" t="s">
        <v>5854</v>
      </c>
    </row>
    <row r="2858" spans="2:2" x14ac:dyDescent="0.3">
      <c r="B2858" s="84" t="s">
        <v>5855</v>
      </c>
    </row>
    <row r="2859" spans="2:2" x14ac:dyDescent="0.3">
      <c r="B2859" s="84" t="s">
        <v>5856</v>
      </c>
    </row>
    <row r="2860" spans="2:2" x14ac:dyDescent="0.3">
      <c r="B2860" s="84" t="s">
        <v>5857</v>
      </c>
    </row>
    <row r="2861" spans="2:2" x14ac:dyDescent="0.3">
      <c r="B2861" s="84" t="s">
        <v>5858</v>
      </c>
    </row>
    <row r="2862" spans="2:2" x14ac:dyDescent="0.3">
      <c r="B2862" s="84" t="s">
        <v>5859</v>
      </c>
    </row>
    <row r="2863" spans="2:2" x14ac:dyDescent="0.3">
      <c r="B2863" s="84" t="s">
        <v>5860</v>
      </c>
    </row>
    <row r="2864" spans="2:2" x14ac:dyDescent="0.3">
      <c r="B2864" s="84" t="s">
        <v>5861</v>
      </c>
    </row>
    <row r="2865" spans="2:2" x14ac:dyDescent="0.3">
      <c r="B2865" s="84" t="s">
        <v>5862</v>
      </c>
    </row>
    <row r="2866" spans="2:2" x14ac:dyDescent="0.3">
      <c r="B2866" s="84" t="s">
        <v>5863</v>
      </c>
    </row>
    <row r="2867" spans="2:2" x14ac:dyDescent="0.3">
      <c r="B2867" s="84" t="s">
        <v>5864</v>
      </c>
    </row>
    <row r="2868" spans="2:2" x14ac:dyDescent="0.3">
      <c r="B2868" s="84" t="s">
        <v>5865</v>
      </c>
    </row>
    <row r="2869" spans="2:2" x14ac:dyDescent="0.3">
      <c r="B2869" s="84" t="s">
        <v>5866</v>
      </c>
    </row>
    <row r="2870" spans="2:2" x14ac:dyDescent="0.3">
      <c r="B2870" s="84" t="s">
        <v>5867</v>
      </c>
    </row>
    <row r="2871" spans="2:2" x14ac:dyDescent="0.3">
      <c r="B2871" s="84" t="s">
        <v>5868</v>
      </c>
    </row>
    <row r="2872" spans="2:2" x14ac:dyDescent="0.3">
      <c r="B2872" s="84" t="s">
        <v>5869</v>
      </c>
    </row>
    <row r="2873" spans="2:2" x14ac:dyDescent="0.3">
      <c r="B2873" s="84" t="s">
        <v>5870</v>
      </c>
    </row>
    <row r="2874" spans="2:2" x14ac:dyDescent="0.3">
      <c r="B2874" s="84" t="s">
        <v>5871</v>
      </c>
    </row>
    <row r="2875" spans="2:2" x14ac:dyDescent="0.3">
      <c r="B2875" s="84" t="s">
        <v>1465</v>
      </c>
    </row>
    <row r="2876" spans="2:2" x14ac:dyDescent="0.3">
      <c r="B2876" s="84" t="s">
        <v>1475</v>
      </c>
    </row>
    <row r="2877" spans="2:2" x14ac:dyDescent="0.3">
      <c r="B2877" s="84" t="s">
        <v>2920</v>
      </c>
    </row>
    <row r="2878" spans="2:2" x14ac:dyDescent="0.3">
      <c r="B2878" s="84" t="s">
        <v>2921</v>
      </c>
    </row>
    <row r="2879" spans="2:2" x14ac:dyDescent="0.3">
      <c r="B2879" s="84" t="s">
        <v>2711</v>
      </c>
    </row>
    <row r="2880" spans="2:2" x14ac:dyDescent="0.3">
      <c r="B2880" s="84" t="s">
        <v>2659</v>
      </c>
    </row>
    <row r="2881" spans="2:2" x14ac:dyDescent="0.3">
      <c r="B2881" s="84" t="s">
        <v>2662</v>
      </c>
    </row>
    <row r="2882" spans="2:2" x14ac:dyDescent="0.3">
      <c r="B2882" s="84" t="s">
        <v>2660</v>
      </c>
    </row>
    <row r="2883" spans="2:2" x14ac:dyDescent="0.3">
      <c r="B2883" s="84" t="s">
        <v>2661</v>
      </c>
    </row>
    <row r="2884" spans="2:2" x14ac:dyDescent="0.3">
      <c r="B2884" s="84" t="s">
        <v>1479</v>
      </c>
    </row>
    <row r="2885" spans="2:2" x14ac:dyDescent="0.3">
      <c r="B2885" s="84" t="s">
        <v>1476</v>
      </c>
    </row>
    <row r="2886" spans="2:2" x14ac:dyDescent="0.3">
      <c r="B2886" s="84" t="s">
        <v>2664</v>
      </c>
    </row>
    <row r="2887" spans="2:2" x14ac:dyDescent="0.3">
      <c r="B2887" s="84" t="s">
        <v>2663</v>
      </c>
    </row>
    <row r="2888" spans="2:2" x14ac:dyDescent="0.3">
      <c r="B2888" s="84" t="s">
        <v>1472</v>
      </c>
    </row>
    <row r="2889" spans="2:2" x14ac:dyDescent="0.3">
      <c r="B2889" s="84" t="s">
        <v>1477</v>
      </c>
    </row>
    <row r="2890" spans="2:2" x14ac:dyDescent="0.3">
      <c r="B2890" s="84" t="s">
        <v>1474</v>
      </c>
    </row>
    <row r="2891" spans="2:2" x14ac:dyDescent="0.3">
      <c r="B2891" s="84" t="s">
        <v>2665</v>
      </c>
    </row>
    <row r="2892" spans="2:2" x14ac:dyDescent="0.3">
      <c r="B2892" s="84" t="s">
        <v>1473</v>
      </c>
    </row>
    <row r="2893" spans="2:2" x14ac:dyDescent="0.3">
      <c r="B2893" s="84" t="s">
        <v>2666</v>
      </c>
    </row>
    <row r="2894" spans="2:2" x14ac:dyDescent="0.3">
      <c r="B2894" s="84" t="s">
        <v>5872</v>
      </c>
    </row>
    <row r="2895" spans="2:2" x14ac:dyDescent="0.3">
      <c r="B2895" s="84" t="s">
        <v>5873</v>
      </c>
    </row>
    <row r="2896" spans="2:2" x14ac:dyDescent="0.3">
      <c r="B2896" s="84" t="s">
        <v>5874</v>
      </c>
    </row>
    <row r="2897" spans="2:2" x14ac:dyDescent="0.3">
      <c r="B2897" s="84" t="s">
        <v>5875</v>
      </c>
    </row>
    <row r="2898" spans="2:2" x14ac:dyDescent="0.3">
      <c r="B2898" s="84" t="s">
        <v>2478</v>
      </c>
    </row>
    <row r="2899" spans="2:2" x14ac:dyDescent="0.3">
      <c r="B2899" s="84" t="s">
        <v>2479</v>
      </c>
    </row>
    <row r="2900" spans="2:2" x14ac:dyDescent="0.3">
      <c r="B2900" s="84" t="s">
        <v>2480</v>
      </c>
    </row>
    <row r="2901" spans="2:2" x14ac:dyDescent="0.3">
      <c r="B2901" s="84" t="s">
        <v>2846</v>
      </c>
    </row>
    <row r="2902" spans="2:2" x14ac:dyDescent="0.3">
      <c r="B2902" s="84" t="s">
        <v>2481</v>
      </c>
    </row>
    <row r="2903" spans="2:2" x14ac:dyDescent="0.3">
      <c r="B2903" s="84" t="s">
        <v>2482</v>
      </c>
    </row>
    <row r="2904" spans="2:2" x14ac:dyDescent="0.3">
      <c r="B2904" s="84" t="s">
        <v>1783</v>
      </c>
    </row>
    <row r="2905" spans="2:2" x14ac:dyDescent="0.3">
      <c r="B2905" s="84" t="s">
        <v>2483</v>
      </c>
    </row>
    <row r="2906" spans="2:2" x14ac:dyDescent="0.3">
      <c r="B2906" s="84" t="s">
        <v>2484</v>
      </c>
    </row>
    <row r="2907" spans="2:2" x14ac:dyDescent="0.3">
      <c r="B2907" s="84" t="s">
        <v>2485</v>
      </c>
    </row>
    <row r="2908" spans="2:2" x14ac:dyDescent="0.3">
      <c r="B2908" s="84" t="s">
        <v>2486</v>
      </c>
    </row>
    <row r="2909" spans="2:2" x14ac:dyDescent="0.3">
      <c r="B2909" s="84" t="s">
        <v>2487</v>
      </c>
    </row>
    <row r="2910" spans="2:2" x14ac:dyDescent="0.3">
      <c r="B2910" s="84" t="s">
        <v>1786</v>
      </c>
    </row>
    <row r="2911" spans="2:2" x14ac:dyDescent="0.3">
      <c r="B2911" s="84" t="s">
        <v>2488</v>
      </c>
    </row>
    <row r="2912" spans="2:2" x14ac:dyDescent="0.3">
      <c r="B2912" s="84" t="s">
        <v>2489</v>
      </c>
    </row>
    <row r="2913" spans="2:2" x14ac:dyDescent="0.3">
      <c r="B2913" s="84" t="s">
        <v>2490</v>
      </c>
    </row>
    <row r="2914" spans="2:2" x14ac:dyDescent="0.3">
      <c r="B2914" s="84" t="s">
        <v>2491</v>
      </c>
    </row>
    <row r="2915" spans="2:2" x14ac:dyDescent="0.3">
      <c r="B2915" s="84" t="s">
        <v>2492</v>
      </c>
    </row>
    <row r="2916" spans="2:2" x14ac:dyDescent="0.3">
      <c r="B2916" s="84" t="s">
        <v>2493</v>
      </c>
    </row>
    <row r="2917" spans="2:2" x14ac:dyDescent="0.3">
      <c r="B2917" s="84" t="s">
        <v>2494</v>
      </c>
    </row>
    <row r="2918" spans="2:2" x14ac:dyDescent="0.3">
      <c r="B2918" s="84" t="s">
        <v>2495</v>
      </c>
    </row>
    <row r="2919" spans="2:2" x14ac:dyDescent="0.3">
      <c r="B2919" s="84" t="s">
        <v>2496</v>
      </c>
    </row>
    <row r="2920" spans="2:2" x14ac:dyDescent="0.3">
      <c r="B2920" s="84" t="s">
        <v>2497</v>
      </c>
    </row>
    <row r="2921" spans="2:2" x14ac:dyDescent="0.3">
      <c r="B2921" s="84" t="s">
        <v>2498</v>
      </c>
    </row>
    <row r="2922" spans="2:2" x14ac:dyDescent="0.3">
      <c r="B2922" s="84" t="s">
        <v>2499</v>
      </c>
    </row>
    <row r="2923" spans="2:2" x14ac:dyDescent="0.3">
      <c r="B2923" s="84" t="s">
        <v>2500</v>
      </c>
    </row>
    <row r="2924" spans="2:2" x14ac:dyDescent="0.3">
      <c r="B2924" s="84" t="s">
        <v>1886</v>
      </c>
    </row>
    <row r="2925" spans="2:2" x14ac:dyDescent="0.3">
      <c r="B2925" s="84" t="s">
        <v>4698</v>
      </c>
    </row>
    <row r="2926" spans="2:2" x14ac:dyDescent="0.3">
      <c r="B2926" s="84" t="s">
        <v>5876</v>
      </c>
    </row>
    <row r="2927" spans="2:2" x14ac:dyDescent="0.3">
      <c r="B2927" s="84" t="s">
        <v>1242</v>
      </c>
    </row>
    <row r="2928" spans="2:2" x14ac:dyDescent="0.3">
      <c r="B2928" s="84" t="s">
        <v>5877</v>
      </c>
    </row>
    <row r="2929" spans="2:2" x14ac:dyDescent="0.3">
      <c r="B2929" s="84" t="s">
        <v>5878</v>
      </c>
    </row>
    <row r="2930" spans="2:2" x14ac:dyDescent="0.3">
      <c r="B2930" s="84" t="s">
        <v>5879</v>
      </c>
    </row>
    <row r="2931" spans="2:2" x14ac:dyDescent="0.3">
      <c r="B2931" s="84" t="s">
        <v>1880</v>
      </c>
    </row>
    <row r="2932" spans="2:2" x14ac:dyDescent="0.3">
      <c r="B2932" s="84" t="s">
        <v>380</v>
      </c>
    </row>
    <row r="2933" spans="2:2" x14ac:dyDescent="0.3">
      <c r="B2933" s="84" t="s">
        <v>5880</v>
      </c>
    </row>
    <row r="2934" spans="2:2" x14ac:dyDescent="0.3">
      <c r="B2934" s="84" t="s">
        <v>5881</v>
      </c>
    </row>
    <row r="2935" spans="2:2" x14ac:dyDescent="0.3">
      <c r="B2935" s="84" t="s">
        <v>5882</v>
      </c>
    </row>
    <row r="2936" spans="2:2" x14ac:dyDescent="0.3">
      <c r="B2936" s="84" t="s">
        <v>5883</v>
      </c>
    </row>
    <row r="2937" spans="2:2" x14ac:dyDescent="0.3">
      <c r="B2937" s="84" t="s">
        <v>5884</v>
      </c>
    </row>
    <row r="2938" spans="2:2" x14ac:dyDescent="0.3">
      <c r="B2938" s="84" t="s">
        <v>5885</v>
      </c>
    </row>
    <row r="2939" spans="2:2" x14ac:dyDescent="0.3">
      <c r="B2939" s="84" t="s">
        <v>5886</v>
      </c>
    </row>
    <row r="2940" spans="2:2" x14ac:dyDescent="0.3">
      <c r="B2940" s="84" t="s">
        <v>5887</v>
      </c>
    </row>
    <row r="2941" spans="2:2" x14ac:dyDescent="0.3">
      <c r="B2941" s="84" t="s">
        <v>5888</v>
      </c>
    </row>
    <row r="2942" spans="2:2" x14ac:dyDescent="0.3">
      <c r="B2942" s="84" t="s">
        <v>5889</v>
      </c>
    </row>
    <row r="2943" spans="2:2" x14ac:dyDescent="0.3">
      <c r="B2943" s="84" t="s">
        <v>5890</v>
      </c>
    </row>
    <row r="2944" spans="2:2" x14ac:dyDescent="0.3">
      <c r="B2944" s="84" t="s">
        <v>5891</v>
      </c>
    </row>
    <row r="2945" spans="2:2" x14ac:dyDescent="0.3">
      <c r="B2945" s="84" t="s">
        <v>5892</v>
      </c>
    </row>
    <row r="2946" spans="2:2" x14ac:dyDescent="0.3">
      <c r="B2946" s="84" t="s">
        <v>5893</v>
      </c>
    </row>
    <row r="2947" spans="2:2" x14ac:dyDescent="0.3">
      <c r="B2947" s="84" t="s">
        <v>5603</v>
      </c>
    </row>
    <row r="2948" spans="2:2" x14ac:dyDescent="0.3">
      <c r="B2948" s="84" t="s">
        <v>5603</v>
      </c>
    </row>
    <row r="2949" spans="2:2" x14ac:dyDescent="0.3">
      <c r="B2949" s="84" t="s">
        <v>5894</v>
      </c>
    </row>
    <row r="2950" spans="2:2" x14ac:dyDescent="0.3">
      <c r="B2950" s="84" t="s">
        <v>5895</v>
      </c>
    </row>
    <row r="2951" spans="2:2" x14ac:dyDescent="0.3">
      <c r="B2951" s="84" t="s">
        <v>5896</v>
      </c>
    </row>
    <row r="2952" spans="2:2" x14ac:dyDescent="0.3">
      <c r="B2952" s="84" t="s">
        <v>5897</v>
      </c>
    </row>
    <row r="2953" spans="2:2" x14ac:dyDescent="0.3">
      <c r="B2953" s="84" t="s">
        <v>5898</v>
      </c>
    </row>
    <row r="2954" spans="2:2" x14ac:dyDescent="0.3">
      <c r="B2954" s="84" t="s">
        <v>5899</v>
      </c>
    </row>
    <row r="2955" spans="2:2" x14ac:dyDescent="0.3">
      <c r="B2955" s="84" t="s">
        <v>5900</v>
      </c>
    </row>
    <row r="2956" spans="2:2" x14ac:dyDescent="0.3">
      <c r="B2956" s="84" t="s">
        <v>5901</v>
      </c>
    </row>
    <row r="2957" spans="2:2" x14ac:dyDescent="0.3">
      <c r="B2957" s="84" t="s">
        <v>606</v>
      </c>
    </row>
    <row r="2958" spans="2:2" x14ac:dyDescent="0.3">
      <c r="B2958" s="84" t="s">
        <v>605</v>
      </c>
    </row>
    <row r="2959" spans="2:2" x14ac:dyDescent="0.3">
      <c r="B2959" s="84" t="s">
        <v>626</v>
      </c>
    </row>
    <row r="2960" spans="2:2" x14ac:dyDescent="0.3">
      <c r="B2960" s="84" t="s">
        <v>616</v>
      </c>
    </row>
    <row r="2961" spans="2:2" x14ac:dyDescent="0.3">
      <c r="B2961" s="84" t="s">
        <v>627</v>
      </c>
    </row>
    <row r="2962" spans="2:2" x14ac:dyDescent="0.3">
      <c r="B2962" s="84" t="s">
        <v>628</v>
      </c>
    </row>
    <row r="2963" spans="2:2" x14ac:dyDescent="0.3">
      <c r="B2963" s="84" t="s">
        <v>607</v>
      </c>
    </row>
    <row r="2964" spans="2:2" x14ac:dyDescent="0.3">
      <c r="B2964" s="84" t="s">
        <v>1398</v>
      </c>
    </row>
    <row r="2965" spans="2:2" x14ac:dyDescent="0.3">
      <c r="B2965" s="84" t="s">
        <v>617</v>
      </c>
    </row>
    <row r="2966" spans="2:2" x14ac:dyDescent="0.3">
      <c r="B2966" s="84" t="s">
        <v>629</v>
      </c>
    </row>
    <row r="2967" spans="2:2" x14ac:dyDescent="0.3">
      <c r="B2967" s="84" t="s">
        <v>630</v>
      </c>
    </row>
    <row r="2968" spans="2:2" x14ac:dyDescent="0.3">
      <c r="B2968" s="84" t="s">
        <v>608</v>
      </c>
    </row>
    <row r="2969" spans="2:2" x14ac:dyDescent="0.3">
      <c r="B2969" s="84" t="s">
        <v>1679</v>
      </c>
    </row>
    <row r="2970" spans="2:2" x14ac:dyDescent="0.3">
      <c r="B2970" s="84" t="s">
        <v>618</v>
      </c>
    </row>
    <row r="2971" spans="2:2" x14ac:dyDescent="0.3">
      <c r="B2971" s="84" t="s">
        <v>631</v>
      </c>
    </row>
    <row r="2972" spans="2:2" x14ac:dyDescent="0.3">
      <c r="B2972" s="84" t="s">
        <v>609</v>
      </c>
    </row>
    <row r="2973" spans="2:2" x14ac:dyDescent="0.3">
      <c r="B2973" s="84" t="s">
        <v>1680</v>
      </c>
    </row>
    <row r="2974" spans="2:2" x14ac:dyDescent="0.3">
      <c r="B2974" s="84" t="s">
        <v>619</v>
      </c>
    </row>
    <row r="2975" spans="2:2" x14ac:dyDescent="0.3">
      <c r="B2975" s="84" t="s">
        <v>1681</v>
      </c>
    </row>
    <row r="2976" spans="2:2" x14ac:dyDescent="0.3">
      <c r="B2976" s="84" t="s">
        <v>610</v>
      </c>
    </row>
    <row r="2977" spans="2:2" x14ac:dyDescent="0.3">
      <c r="B2977" s="84" t="s">
        <v>620</v>
      </c>
    </row>
    <row r="2978" spans="2:2" x14ac:dyDescent="0.3">
      <c r="B2978" s="84" t="s">
        <v>1682</v>
      </c>
    </row>
    <row r="2979" spans="2:2" x14ac:dyDescent="0.3">
      <c r="B2979" s="84" t="s">
        <v>611</v>
      </c>
    </row>
    <row r="2980" spans="2:2" x14ac:dyDescent="0.3">
      <c r="B2980" s="84" t="s">
        <v>621</v>
      </c>
    </row>
    <row r="2981" spans="2:2" x14ac:dyDescent="0.3">
      <c r="B2981" s="84" t="s">
        <v>612</v>
      </c>
    </row>
    <row r="2982" spans="2:2" x14ac:dyDescent="0.3">
      <c r="B2982" s="84" t="s">
        <v>622</v>
      </c>
    </row>
    <row r="2983" spans="2:2" x14ac:dyDescent="0.3">
      <c r="B2983" s="84" t="s">
        <v>613</v>
      </c>
    </row>
    <row r="2984" spans="2:2" x14ac:dyDescent="0.3">
      <c r="B2984" s="84" t="s">
        <v>623</v>
      </c>
    </row>
    <row r="2985" spans="2:2" x14ac:dyDescent="0.3">
      <c r="B2985" s="84" t="s">
        <v>614</v>
      </c>
    </row>
    <row r="2986" spans="2:2" x14ac:dyDescent="0.3">
      <c r="B2986" s="84" t="s">
        <v>624</v>
      </c>
    </row>
    <row r="2987" spans="2:2" x14ac:dyDescent="0.3">
      <c r="B2987" s="84" t="s">
        <v>615</v>
      </c>
    </row>
    <row r="2988" spans="2:2" x14ac:dyDescent="0.3">
      <c r="B2988" s="84" t="s">
        <v>625</v>
      </c>
    </row>
    <row r="2989" spans="2:2" x14ac:dyDescent="0.3">
      <c r="B2989" s="84" t="s">
        <v>5902</v>
      </c>
    </row>
    <row r="2990" spans="2:2" x14ac:dyDescent="0.3">
      <c r="B2990" s="84" t="s">
        <v>5903</v>
      </c>
    </row>
    <row r="2991" spans="2:2" x14ac:dyDescent="0.3">
      <c r="B2991" s="84" t="s">
        <v>5904</v>
      </c>
    </row>
    <row r="2992" spans="2:2" x14ac:dyDescent="0.3">
      <c r="B2992" s="84" t="s">
        <v>5905</v>
      </c>
    </row>
    <row r="2993" spans="2:2" x14ac:dyDescent="0.3">
      <c r="B2993" s="84" t="s">
        <v>5906</v>
      </c>
    </row>
    <row r="2994" spans="2:2" x14ac:dyDescent="0.3">
      <c r="B2994" s="84" t="s">
        <v>1835</v>
      </c>
    </row>
    <row r="2995" spans="2:2" x14ac:dyDescent="0.3">
      <c r="B2995" s="84" t="s">
        <v>5907</v>
      </c>
    </row>
    <row r="2996" spans="2:2" x14ac:dyDescent="0.3">
      <c r="B2996" s="84" t="s">
        <v>5908</v>
      </c>
    </row>
    <row r="2997" spans="2:2" x14ac:dyDescent="0.3">
      <c r="B2997" s="84" t="s">
        <v>5909</v>
      </c>
    </row>
    <row r="2998" spans="2:2" x14ac:dyDescent="0.3">
      <c r="B2998" s="84" t="s">
        <v>5910</v>
      </c>
    </row>
    <row r="2999" spans="2:2" x14ac:dyDescent="0.3">
      <c r="B2999" s="84" t="s">
        <v>5911</v>
      </c>
    </row>
    <row r="3000" spans="2:2" x14ac:dyDescent="0.3">
      <c r="B3000" s="84" t="s">
        <v>5912</v>
      </c>
    </row>
    <row r="3001" spans="2:2" x14ac:dyDescent="0.3">
      <c r="B3001" s="84" t="s">
        <v>5913</v>
      </c>
    </row>
    <row r="3002" spans="2:2" x14ac:dyDescent="0.3">
      <c r="B3002" s="84" t="s">
        <v>5914</v>
      </c>
    </row>
    <row r="3003" spans="2:2" x14ac:dyDescent="0.3">
      <c r="B3003" s="84" t="s">
        <v>5915</v>
      </c>
    </row>
    <row r="3004" spans="2:2" x14ac:dyDescent="0.3">
      <c r="B3004" s="84" t="s">
        <v>5916</v>
      </c>
    </row>
    <row r="3005" spans="2:2" x14ac:dyDescent="0.3">
      <c r="B3005" s="84" t="s">
        <v>5917</v>
      </c>
    </row>
    <row r="3006" spans="2:2" x14ac:dyDescent="0.3">
      <c r="B3006" s="84" t="s">
        <v>5918</v>
      </c>
    </row>
    <row r="3007" spans="2:2" x14ac:dyDescent="0.3">
      <c r="B3007" s="84" t="s">
        <v>5919</v>
      </c>
    </row>
    <row r="3008" spans="2:2" x14ac:dyDescent="0.3">
      <c r="B3008" s="84" t="s">
        <v>5920</v>
      </c>
    </row>
    <row r="3009" spans="2:2" x14ac:dyDescent="0.3">
      <c r="B3009" s="84" t="s">
        <v>5921</v>
      </c>
    </row>
    <row r="3010" spans="2:2" x14ac:dyDescent="0.3">
      <c r="B3010" s="84" t="s">
        <v>5922</v>
      </c>
    </row>
    <row r="3011" spans="2:2" x14ac:dyDescent="0.3">
      <c r="B3011" s="84" t="s">
        <v>5923</v>
      </c>
    </row>
    <row r="3012" spans="2:2" x14ac:dyDescent="0.3">
      <c r="B3012" s="84" t="s">
        <v>5924</v>
      </c>
    </row>
    <row r="3013" spans="2:2" x14ac:dyDescent="0.3">
      <c r="B3013" s="84" t="s">
        <v>5925</v>
      </c>
    </row>
    <row r="3014" spans="2:2" x14ac:dyDescent="0.3">
      <c r="B3014" s="84" t="s">
        <v>5926</v>
      </c>
    </row>
    <row r="3015" spans="2:2" x14ac:dyDescent="0.3">
      <c r="B3015" s="84" t="s">
        <v>5927</v>
      </c>
    </row>
    <row r="3016" spans="2:2" x14ac:dyDescent="0.3">
      <c r="B3016" s="84" t="s">
        <v>5928</v>
      </c>
    </row>
    <row r="3017" spans="2:2" x14ac:dyDescent="0.3">
      <c r="B3017" s="84" t="s">
        <v>5929</v>
      </c>
    </row>
    <row r="3018" spans="2:2" x14ac:dyDescent="0.3">
      <c r="B3018" s="84" t="s">
        <v>5930</v>
      </c>
    </row>
    <row r="3019" spans="2:2" x14ac:dyDescent="0.3">
      <c r="B3019" s="84" t="s">
        <v>5931</v>
      </c>
    </row>
    <row r="3020" spans="2:2" x14ac:dyDescent="0.3">
      <c r="B3020" s="84" t="s">
        <v>5932</v>
      </c>
    </row>
    <row r="3021" spans="2:2" x14ac:dyDescent="0.3">
      <c r="B3021" s="84" t="s">
        <v>5933</v>
      </c>
    </row>
    <row r="3022" spans="2:2" x14ac:dyDescent="0.3">
      <c r="B3022" s="84" t="s">
        <v>5934</v>
      </c>
    </row>
    <row r="3023" spans="2:2" x14ac:dyDescent="0.3">
      <c r="B3023" s="84" t="s">
        <v>1836</v>
      </c>
    </row>
    <row r="3024" spans="2:2" x14ac:dyDescent="0.3">
      <c r="B3024" s="84" t="s">
        <v>5935</v>
      </c>
    </row>
    <row r="3025" spans="2:2" x14ac:dyDescent="0.3">
      <c r="B3025" s="84" t="s">
        <v>5936</v>
      </c>
    </row>
    <row r="3026" spans="2:2" x14ac:dyDescent="0.3">
      <c r="B3026" s="84" t="s">
        <v>5937</v>
      </c>
    </row>
    <row r="3027" spans="2:2" x14ac:dyDescent="0.3">
      <c r="B3027" s="84" t="s">
        <v>5938</v>
      </c>
    </row>
    <row r="3028" spans="2:2" x14ac:dyDescent="0.3">
      <c r="B3028" s="84" t="s">
        <v>5939</v>
      </c>
    </row>
    <row r="3029" spans="2:2" x14ac:dyDescent="0.3">
      <c r="B3029" s="84" t="s">
        <v>5940</v>
      </c>
    </row>
    <row r="3030" spans="2:2" x14ac:dyDescent="0.3">
      <c r="B3030" s="84" t="s">
        <v>5941</v>
      </c>
    </row>
    <row r="3031" spans="2:2" x14ac:dyDescent="0.3">
      <c r="B3031" s="84" t="s">
        <v>5942</v>
      </c>
    </row>
    <row r="3032" spans="2:2" x14ac:dyDescent="0.3">
      <c r="B3032" s="84" t="s">
        <v>5943</v>
      </c>
    </row>
    <row r="3033" spans="2:2" x14ac:dyDescent="0.3">
      <c r="B3033" s="84" t="s">
        <v>5944</v>
      </c>
    </row>
    <row r="3034" spans="2:2" x14ac:dyDescent="0.3">
      <c r="B3034" s="84" t="s">
        <v>5945</v>
      </c>
    </row>
    <row r="3035" spans="2:2" x14ac:dyDescent="0.3">
      <c r="B3035" s="84" t="s">
        <v>5946</v>
      </c>
    </row>
    <row r="3036" spans="2:2" x14ac:dyDescent="0.3">
      <c r="B3036" s="84" t="s">
        <v>5947</v>
      </c>
    </row>
    <row r="3037" spans="2:2" x14ac:dyDescent="0.3">
      <c r="B3037" s="84" t="s">
        <v>5948</v>
      </c>
    </row>
    <row r="3038" spans="2:2" x14ac:dyDescent="0.3">
      <c r="B3038" s="84" t="s">
        <v>5949</v>
      </c>
    </row>
    <row r="3039" spans="2:2" x14ac:dyDescent="0.3">
      <c r="B3039" s="84" t="s">
        <v>5950</v>
      </c>
    </row>
    <row r="3040" spans="2:2" x14ac:dyDescent="0.3">
      <c r="B3040" s="84" t="s">
        <v>5951</v>
      </c>
    </row>
    <row r="3041" spans="2:2" x14ac:dyDescent="0.3">
      <c r="B3041" s="84" t="s">
        <v>5952</v>
      </c>
    </row>
    <row r="3042" spans="2:2" x14ac:dyDescent="0.3">
      <c r="B3042" s="84" t="s">
        <v>5953</v>
      </c>
    </row>
    <row r="3043" spans="2:2" x14ac:dyDescent="0.3">
      <c r="B3043" s="84" t="s">
        <v>5954</v>
      </c>
    </row>
    <row r="3044" spans="2:2" x14ac:dyDescent="0.3">
      <c r="B3044" s="84" t="s">
        <v>5955</v>
      </c>
    </row>
    <row r="3045" spans="2:2" x14ac:dyDescent="0.3">
      <c r="B3045" s="84" t="s">
        <v>5956</v>
      </c>
    </row>
    <row r="3046" spans="2:2" x14ac:dyDescent="0.3">
      <c r="B3046" s="84" t="s">
        <v>5957</v>
      </c>
    </row>
    <row r="3047" spans="2:2" x14ac:dyDescent="0.3">
      <c r="B3047" s="84" t="s">
        <v>5958</v>
      </c>
    </row>
    <row r="3048" spans="2:2" x14ac:dyDescent="0.3">
      <c r="B3048" s="84" t="s">
        <v>5959</v>
      </c>
    </row>
    <row r="3049" spans="2:2" x14ac:dyDescent="0.3">
      <c r="B3049" s="84" t="s">
        <v>5960</v>
      </c>
    </row>
    <row r="3050" spans="2:2" x14ac:dyDescent="0.3">
      <c r="B3050" s="84" t="s">
        <v>5961</v>
      </c>
    </row>
    <row r="3051" spans="2:2" x14ac:dyDescent="0.3">
      <c r="B3051" s="84" t="s">
        <v>5962</v>
      </c>
    </row>
    <row r="3052" spans="2:2" x14ac:dyDescent="0.3">
      <c r="B3052" s="84" t="s">
        <v>5963</v>
      </c>
    </row>
    <row r="3053" spans="2:2" x14ac:dyDescent="0.3">
      <c r="B3053" s="84" t="s">
        <v>5964</v>
      </c>
    </row>
    <row r="3054" spans="2:2" x14ac:dyDescent="0.3">
      <c r="B3054" s="84" t="s">
        <v>5965</v>
      </c>
    </row>
    <row r="3055" spans="2:2" x14ac:dyDescent="0.3">
      <c r="B3055" s="84" t="s">
        <v>1879</v>
      </c>
    </row>
    <row r="3056" spans="2:2" x14ac:dyDescent="0.3">
      <c r="B3056" s="84" t="s">
        <v>5966</v>
      </c>
    </row>
    <row r="3057" spans="2:2" x14ac:dyDescent="0.3">
      <c r="B3057" s="84" t="s">
        <v>5967</v>
      </c>
    </row>
    <row r="3058" spans="2:2" x14ac:dyDescent="0.3">
      <c r="B3058" s="84" t="s">
        <v>5968</v>
      </c>
    </row>
    <row r="3059" spans="2:2" x14ac:dyDescent="0.3">
      <c r="B3059" s="84" t="s">
        <v>5969</v>
      </c>
    </row>
    <row r="3060" spans="2:2" x14ac:dyDescent="0.3">
      <c r="B3060" s="84" t="s">
        <v>5970</v>
      </c>
    </row>
    <row r="3061" spans="2:2" x14ac:dyDescent="0.3">
      <c r="B3061" s="84" t="s">
        <v>5971</v>
      </c>
    </row>
    <row r="3062" spans="2:2" x14ac:dyDescent="0.3">
      <c r="B3062" s="84" t="s">
        <v>5972</v>
      </c>
    </row>
    <row r="3063" spans="2:2" x14ac:dyDescent="0.3">
      <c r="B3063" s="84" t="s">
        <v>5973</v>
      </c>
    </row>
    <row r="3064" spans="2:2" x14ac:dyDescent="0.3">
      <c r="B3064" s="84" t="s">
        <v>5974</v>
      </c>
    </row>
    <row r="3065" spans="2:2" x14ac:dyDescent="0.3">
      <c r="B3065" s="84" t="s">
        <v>5975</v>
      </c>
    </row>
    <row r="3066" spans="2:2" x14ac:dyDescent="0.3">
      <c r="B3066" s="84" t="s">
        <v>5976</v>
      </c>
    </row>
    <row r="3067" spans="2:2" x14ac:dyDescent="0.3">
      <c r="B3067" s="84" t="s">
        <v>5977</v>
      </c>
    </row>
    <row r="3068" spans="2:2" x14ac:dyDescent="0.3">
      <c r="B3068" s="84" t="s">
        <v>5978</v>
      </c>
    </row>
    <row r="3069" spans="2:2" x14ac:dyDescent="0.3">
      <c r="B3069" s="84" t="s">
        <v>5979</v>
      </c>
    </row>
    <row r="3070" spans="2:2" x14ac:dyDescent="0.3">
      <c r="B3070" s="84" t="s">
        <v>5980</v>
      </c>
    </row>
    <row r="3071" spans="2:2" x14ac:dyDescent="0.3">
      <c r="B3071" s="84" t="s">
        <v>5981</v>
      </c>
    </row>
    <row r="3072" spans="2:2" x14ac:dyDescent="0.3">
      <c r="B3072" s="84" t="s">
        <v>5982</v>
      </c>
    </row>
    <row r="3073" spans="2:2" x14ac:dyDescent="0.3">
      <c r="B3073" s="84" t="s">
        <v>5983</v>
      </c>
    </row>
    <row r="3074" spans="2:2" x14ac:dyDescent="0.3">
      <c r="B3074" s="84" t="s">
        <v>5984</v>
      </c>
    </row>
    <row r="3075" spans="2:2" x14ac:dyDescent="0.3">
      <c r="B3075" s="84" t="s">
        <v>5985</v>
      </c>
    </row>
    <row r="3076" spans="2:2" x14ac:dyDescent="0.3">
      <c r="B3076" s="84" t="s">
        <v>1249</v>
      </c>
    </row>
    <row r="3077" spans="2:2" x14ac:dyDescent="0.3">
      <c r="B3077" s="84" t="s">
        <v>1250</v>
      </c>
    </row>
    <row r="3078" spans="2:2" x14ac:dyDescent="0.3">
      <c r="B3078" s="84" t="s">
        <v>1251</v>
      </c>
    </row>
    <row r="3079" spans="2:2" x14ac:dyDescent="0.3">
      <c r="B3079" s="84" t="s">
        <v>1252</v>
      </c>
    </row>
    <row r="3080" spans="2:2" x14ac:dyDescent="0.3">
      <c r="B3080" s="84" t="s">
        <v>1253</v>
      </c>
    </row>
    <row r="3081" spans="2:2" x14ac:dyDescent="0.3">
      <c r="B3081" s="84" t="s">
        <v>1254</v>
      </c>
    </row>
    <row r="3082" spans="2:2" x14ac:dyDescent="0.3">
      <c r="B3082" s="84" t="s">
        <v>1255</v>
      </c>
    </row>
    <row r="3083" spans="2:2" x14ac:dyDescent="0.3">
      <c r="B3083" s="84" t="s">
        <v>1256</v>
      </c>
    </row>
    <row r="3084" spans="2:2" x14ac:dyDescent="0.3">
      <c r="B3084" s="84" t="s">
        <v>1257</v>
      </c>
    </row>
    <row r="3085" spans="2:2" x14ac:dyDescent="0.3">
      <c r="B3085" s="84" t="s">
        <v>1259</v>
      </c>
    </row>
    <row r="3086" spans="2:2" x14ac:dyDescent="0.3">
      <c r="B3086" s="84" t="s">
        <v>1260</v>
      </c>
    </row>
    <row r="3087" spans="2:2" x14ac:dyDescent="0.3">
      <c r="B3087" s="84" t="s">
        <v>1261</v>
      </c>
    </row>
    <row r="3088" spans="2:2" x14ac:dyDescent="0.3">
      <c r="B3088" s="84" t="s">
        <v>1262</v>
      </c>
    </row>
    <row r="3089" spans="2:2" x14ac:dyDescent="0.3">
      <c r="B3089" s="84" t="s">
        <v>1263</v>
      </c>
    </row>
    <row r="3090" spans="2:2" x14ac:dyDescent="0.3">
      <c r="B3090" s="84" t="s">
        <v>1264</v>
      </c>
    </row>
    <row r="3091" spans="2:2" x14ac:dyDescent="0.3">
      <c r="B3091" s="84" t="s">
        <v>1265</v>
      </c>
    </row>
    <row r="3092" spans="2:2" x14ac:dyDescent="0.3">
      <c r="B3092" s="84" t="s">
        <v>1266</v>
      </c>
    </row>
    <row r="3093" spans="2:2" x14ac:dyDescent="0.3">
      <c r="B3093" s="84" t="s">
        <v>1267</v>
      </c>
    </row>
    <row r="3094" spans="2:2" x14ac:dyDescent="0.3">
      <c r="B3094" s="84" t="s">
        <v>1268</v>
      </c>
    </row>
    <row r="3095" spans="2:2" x14ac:dyDescent="0.3">
      <c r="B3095" s="84" t="s">
        <v>1269</v>
      </c>
    </row>
    <row r="3096" spans="2:2" x14ac:dyDescent="0.3">
      <c r="B3096" s="84" t="s">
        <v>1270</v>
      </c>
    </row>
    <row r="3097" spans="2:2" x14ac:dyDescent="0.3">
      <c r="B3097" s="84" t="s">
        <v>1271</v>
      </c>
    </row>
    <row r="3098" spans="2:2" x14ac:dyDescent="0.3">
      <c r="B3098" s="84" t="s">
        <v>1272</v>
      </c>
    </row>
    <row r="3099" spans="2:2" x14ac:dyDescent="0.3">
      <c r="B3099" s="84" t="s">
        <v>1273</v>
      </c>
    </row>
    <row r="3100" spans="2:2" x14ac:dyDescent="0.3">
      <c r="B3100" s="84" t="s">
        <v>1274</v>
      </c>
    </row>
    <row r="3101" spans="2:2" x14ac:dyDescent="0.3">
      <c r="B3101" s="84" t="s">
        <v>1275</v>
      </c>
    </row>
    <row r="3102" spans="2:2" x14ac:dyDescent="0.3">
      <c r="B3102" s="84" t="s">
        <v>1276</v>
      </c>
    </row>
    <row r="3103" spans="2:2" x14ac:dyDescent="0.3">
      <c r="B3103" s="84" t="s">
        <v>1277</v>
      </c>
    </row>
    <row r="3104" spans="2:2" x14ac:dyDescent="0.3">
      <c r="B3104" s="84" t="s">
        <v>1278</v>
      </c>
    </row>
    <row r="3105" spans="2:2" x14ac:dyDescent="0.3">
      <c r="B3105" s="84" t="s">
        <v>1367</v>
      </c>
    </row>
    <row r="3106" spans="2:2" x14ac:dyDescent="0.3">
      <c r="B3106" s="84" t="s">
        <v>1368</v>
      </c>
    </row>
    <row r="3107" spans="2:2" x14ac:dyDescent="0.3">
      <c r="B3107" s="84" t="s">
        <v>1369</v>
      </c>
    </row>
    <row r="3108" spans="2:2" x14ac:dyDescent="0.3">
      <c r="B3108" s="84" t="s">
        <v>1370</v>
      </c>
    </row>
    <row r="3109" spans="2:2" x14ac:dyDescent="0.3">
      <c r="B3109" s="84" t="s">
        <v>1371</v>
      </c>
    </row>
    <row r="3110" spans="2:2" x14ac:dyDescent="0.3">
      <c r="B3110" s="84" t="s">
        <v>1366</v>
      </c>
    </row>
    <row r="3111" spans="2:2" x14ac:dyDescent="0.3">
      <c r="B3111" s="84" t="s">
        <v>1372</v>
      </c>
    </row>
    <row r="3112" spans="2:2" x14ac:dyDescent="0.3">
      <c r="B3112" s="84" t="s">
        <v>1373</v>
      </c>
    </row>
    <row r="3113" spans="2:2" x14ac:dyDescent="0.3">
      <c r="B3113" s="84" t="s">
        <v>1374</v>
      </c>
    </row>
    <row r="3114" spans="2:2" x14ac:dyDescent="0.3">
      <c r="B3114" s="84" t="s">
        <v>1374</v>
      </c>
    </row>
    <row r="3115" spans="2:2" x14ac:dyDescent="0.3">
      <c r="B3115" s="84" t="s">
        <v>1381</v>
      </c>
    </row>
    <row r="3116" spans="2:2" x14ac:dyDescent="0.3">
      <c r="B3116" s="84" t="s">
        <v>1375</v>
      </c>
    </row>
    <row r="3117" spans="2:2" x14ac:dyDescent="0.3">
      <c r="B3117" s="84" t="s">
        <v>1376</v>
      </c>
    </row>
    <row r="3118" spans="2:2" x14ac:dyDescent="0.3">
      <c r="B3118" s="84" t="s">
        <v>1377</v>
      </c>
    </row>
    <row r="3119" spans="2:2" x14ac:dyDescent="0.3">
      <c r="B3119" s="84" t="s">
        <v>1378</v>
      </c>
    </row>
    <row r="3120" spans="2:2" x14ac:dyDescent="0.3">
      <c r="B3120" s="84" t="s">
        <v>1379</v>
      </c>
    </row>
    <row r="3121" spans="2:2" x14ac:dyDescent="0.3">
      <c r="B3121" s="84" t="s">
        <v>1380</v>
      </c>
    </row>
    <row r="3122" spans="2:2" x14ac:dyDescent="0.3">
      <c r="B3122" s="84" t="s">
        <v>1381</v>
      </c>
    </row>
    <row r="3123" spans="2:2" x14ac:dyDescent="0.3">
      <c r="B3123" s="84" t="s">
        <v>1382</v>
      </c>
    </row>
    <row r="3124" spans="2:2" x14ac:dyDescent="0.3">
      <c r="B3124" s="84" t="s">
        <v>1383</v>
      </c>
    </row>
    <row r="3125" spans="2:2" x14ac:dyDescent="0.3">
      <c r="B3125" s="84" t="s">
        <v>1384</v>
      </c>
    </row>
    <row r="3126" spans="2:2" x14ac:dyDescent="0.3">
      <c r="B3126" s="84" t="s">
        <v>1385</v>
      </c>
    </row>
    <row r="3127" spans="2:2" x14ac:dyDescent="0.3">
      <c r="B3127" s="84" t="s">
        <v>1386</v>
      </c>
    </row>
    <row r="3128" spans="2:2" x14ac:dyDescent="0.3">
      <c r="B3128" s="84" t="s">
        <v>1387</v>
      </c>
    </row>
    <row r="3129" spans="2:2" x14ac:dyDescent="0.3">
      <c r="B3129" s="84" t="s">
        <v>1388</v>
      </c>
    </row>
    <row r="3130" spans="2:2" x14ac:dyDescent="0.3">
      <c r="B3130" s="84" t="s">
        <v>1389</v>
      </c>
    </row>
    <row r="3131" spans="2:2" x14ac:dyDescent="0.3">
      <c r="B3131" s="84" t="s">
        <v>1390</v>
      </c>
    </row>
    <row r="3132" spans="2:2" x14ac:dyDescent="0.3">
      <c r="B3132" s="84" t="s">
        <v>1391</v>
      </c>
    </row>
    <row r="3133" spans="2:2" x14ac:dyDescent="0.3">
      <c r="B3133" s="84" t="s">
        <v>1392</v>
      </c>
    </row>
    <row r="3134" spans="2:2" x14ac:dyDescent="0.3">
      <c r="B3134" s="84" t="s">
        <v>1393</v>
      </c>
    </row>
    <row r="3135" spans="2:2" x14ac:dyDescent="0.3">
      <c r="B3135" s="84" t="s">
        <v>1394</v>
      </c>
    </row>
    <row r="3136" spans="2:2" x14ac:dyDescent="0.3">
      <c r="B3136" s="84" t="s">
        <v>1309</v>
      </c>
    </row>
    <row r="3137" spans="2:2" x14ac:dyDescent="0.3">
      <c r="B3137" s="84" t="s">
        <v>1310</v>
      </c>
    </row>
    <row r="3138" spans="2:2" x14ac:dyDescent="0.3">
      <c r="B3138" s="84" t="s">
        <v>1311</v>
      </c>
    </row>
    <row r="3139" spans="2:2" x14ac:dyDescent="0.3">
      <c r="B3139" s="84" t="s">
        <v>1312</v>
      </c>
    </row>
    <row r="3140" spans="2:2" x14ac:dyDescent="0.3">
      <c r="B3140" s="84" t="s">
        <v>1313</v>
      </c>
    </row>
    <row r="3141" spans="2:2" x14ac:dyDescent="0.3">
      <c r="B3141" s="84" t="s">
        <v>1308</v>
      </c>
    </row>
    <row r="3142" spans="2:2" x14ac:dyDescent="0.3">
      <c r="B3142" s="84" t="s">
        <v>1314</v>
      </c>
    </row>
    <row r="3143" spans="2:2" x14ac:dyDescent="0.3">
      <c r="B3143" s="84" t="s">
        <v>1315</v>
      </c>
    </row>
    <row r="3144" spans="2:2" x14ac:dyDescent="0.3">
      <c r="B3144" s="84" t="s">
        <v>1316</v>
      </c>
    </row>
    <row r="3145" spans="2:2" x14ac:dyDescent="0.3">
      <c r="B3145" s="84" t="s">
        <v>1316</v>
      </c>
    </row>
    <row r="3146" spans="2:2" x14ac:dyDescent="0.3">
      <c r="B3146" s="84" t="s">
        <v>1317</v>
      </c>
    </row>
    <row r="3147" spans="2:2" x14ac:dyDescent="0.3">
      <c r="B3147" s="84" t="s">
        <v>1318</v>
      </c>
    </row>
    <row r="3148" spans="2:2" x14ac:dyDescent="0.3">
      <c r="B3148" s="84" t="s">
        <v>1319</v>
      </c>
    </row>
    <row r="3149" spans="2:2" x14ac:dyDescent="0.3">
      <c r="B3149" s="84" t="s">
        <v>1320</v>
      </c>
    </row>
    <row r="3150" spans="2:2" x14ac:dyDescent="0.3">
      <c r="B3150" s="84" t="s">
        <v>1321</v>
      </c>
    </row>
    <row r="3151" spans="2:2" x14ac:dyDescent="0.3">
      <c r="B3151" s="84" t="s">
        <v>1322</v>
      </c>
    </row>
    <row r="3152" spans="2:2" x14ac:dyDescent="0.3">
      <c r="B3152" s="84" t="s">
        <v>1323</v>
      </c>
    </row>
    <row r="3153" spans="2:2" x14ac:dyDescent="0.3">
      <c r="B3153" s="84" t="s">
        <v>1323</v>
      </c>
    </row>
    <row r="3154" spans="2:2" x14ac:dyDescent="0.3">
      <c r="B3154" s="84" t="s">
        <v>1324</v>
      </c>
    </row>
    <row r="3155" spans="2:2" x14ac:dyDescent="0.3">
      <c r="B3155" s="84" t="s">
        <v>1325</v>
      </c>
    </row>
    <row r="3156" spans="2:2" x14ac:dyDescent="0.3">
      <c r="B3156" s="84" t="s">
        <v>1326</v>
      </c>
    </row>
    <row r="3157" spans="2:2" x14ac:dyDescent="0.3">
      <c r="B3157" s="84" t="s">
        <v>1327</v>
      </c>
    </row>
    <row r="3158" spans="2:2" x14ac:dyDescent="0.3">
      <c r="B3158" s="84" t="s">
        <v>1328</v>
      </c>
    </row>
    <row r="3159" spans="2:2" x14ac:dyDescent="0.3">
      <c r="B3159" s="84" t="s">
        <v>1329</v>
      </c>
    </row>
    <row r="3160" spans="2:2" x14ac:dyDescent="0.3">
      <c r="B3160" s="84" t="s">
        <v>1330</v>
      </c>
    </row>
    <row r="3161" spans="2:2" x14ac:dyDescent="0.3">
      <c r="B3161" s="84" t="s">
        <v>1331</v>
      </c>
    </row>
    <row r="3162" spans="2:2" x14ac:dyDescent="0.3">
      <c r="B3162" s="84" t="s">
        <v>1332</v>
      </c>
    </row>
    <row r="3163" spans="2:2" x14ac:dyDescent="0.3">
      <c r="B3163" s="84" t="s">
        <v>1333</v>
      </c>
    </row>
    <row r="3164" spans="2:2" x14ac:dyDescent="0.3">
      <c r="B3164" s="84" t="s">
        <v>1334</v>
      </c>
    </row>
    <row r="3165" spans="2:2" x14ac:dyDescent="0.3">
      <c r="B3165" s="84" t="s">
        <v>1335</v>
      </c>
    </row>
    <row r="3166" spans="2:2" x14ac:dyDescent="0.3">
      <c r="B3166" s="84" t="s">
        <v>1336</v>
      </c>
    </row>
    <row r="3167" spans="2:2" x14ac:dyDescent="0.3">
      <c r="B3167" s="84" t="s">
        <v>1280</v>
      </c>
    </row>
    <row r="3168" spans="2:2" x14ac:dyDescent="0.3">
      <c r="B3168" s="84" t="s">
        <v>1281</v>
      </c>
    </row>
    <row r="3169" spans="2:2" x14ac:dyDescent="0.3">
      <c r="B3169" s="84" t="s">
        <v>1282</v>
      </c>
    </row>
    <row r="3170" spans="2:2" x14ac:dyDescent="0.3">
      <c r="B3170" s="84" t="s">
        <v>1283</v>
      </c>
    </row>
    <row r="3171" spans="2:2" x14ac:dyDescent="0.3">
      <c r="B3171" s="84" t="s">
        <v>1284</v>
      </c>
    </row>
    <row r="3172" spans="2:2" x14ac:dyDescent="0.3">
      <c r="B3172" s="84" t="s">
        <v>1279</v>
      </c>
    </row>
    <row r="3173" spans="2:2" x14ac:dyDescent="0.3">
      <c r="B3173" s="84" t="s">
        <v>1285</v>
      </c>
    </row>
    <row r="3174" spans="2:2" x14ac:dyDescent="0.3">
      <c r="B3174" s="84" t="s">
        <v>1286</v>
      </c>
    </row>
    <row r="3175" spans="2:2" x14ac:dyDescent="0.3">
      <c r="B3175" s="84" t="s">
        <v>1287</v>
      </c>
    </row>
    <row r="3176" spans="2:2" x14ac:dyDescent="0.3">
      <c r="B3176" s="84" t="s">
        <v>1288</v>
      </c>
    </row>
    <row r="3177" spans="2:2" x14ac:dyDescent="0.3">
      <c r="B3177" s="84" t="s">
        <v>1289</v>
      </c>
    </row>
    <row r="3178" spans="2:2" x14ac:dyDescent="0.3">
      <c r="B3178" s="84" t="s">
        <v>1290</v>
      </c>
    </row>
    <row r="3179" spans="2:2" x14ac:dyDescent="0.3">
      <c r="B3179" s="84" t="s">
        <v>1292</v>
      </c>
    </row>
    <row r="3180" spans="2:2" x14ac:dyDescent="0.3">
      <c r="B3180" s="84" t="s">
        <v>1293</v>
      </c>
    </row>
    <row r="3181" spans="2:2" x14ac:dyDescent="0.3">
      <c r="B3181" s="84" t="s">
        <v>1294</v>
      </c>
    </row>
    <row r="3182" spans="2:2" x14ac:dyDescent="0.3">
      <c r="B3182" s="84" t="s">
        <v>1295</v>
      </c>
    </row>
    <row r="3183" spans="2:2" x14ac:dyDescent="0.3">
      <c r="B3183" s="84" t="s">
        <v>1296</v>
      </c>
    </row>
    <row r="3184" spans="2:2" x14ac:dyDescent="0.3">
      <c r="B3184" s="84" t="s">
        <v>1297</v>
      </c>
    </row>
    <row r="3185" spans="2:2" x14ac:dyDescent="0.3">
      <c r="B3185" s="84" t="s">
        <v>1298</v>
      </c>
    </row>
    <row r="3186" spans="2:2" x14ac:dyDescent="0.3">
      <c r="B3186" s="84" t="s">
        <v>1299</v>
      </c>
    </row>
    <row r="3187" spans="2:2" x14ac:dyDescent="0.3">
      <c r="B3187" s="84" t="s">
        <v>1300</v>
      </c>
    </row>
    <row r="3188" spans="2:2" x14ac:dyDescent="0.3">
      <c r="B3188" s="84" t="s">
        <v>1301</v>
      </c>
    </row>
    <row r="3189" spans="2:2" x14ac:dyDescent="0.3">
      <c r="B3189" s="84" t="s">
        <v>1302</v>
      </c>
    </row>
    <row r="3190" spans="2:2" x14ac:dyDescent="0.3">
      <c r="B3190" s="84" t="s">
        <v>1303</v>
      </c>
    </row>
    <row r="3191" spans="2:2" x14ac:dyDescent="0.3">
      <c r="B3191" s="84" t="s">
        <v>1304</v>
      </c>
    </row>
    <row r="3192" spans="2:2" x14ac:dyDescent="0.3">
      <c r="B3192" s="84" t="s">
        <v>1305</v>
      </c>
    </row>
    <row r="3193" spans="2:2" x14ac:dyDescent="0.3">
      <c r="B3193" s="84" t="s">
        <v>1306</v>
      </c>
    </row>
    <row r="3194" spans="2:2" x14ac:dyDescent="0.3">
      <c r="B3194" s="84" t="s">
        <v>1307</v>
      </c>
    </row>
    <row r="3195" spans="2:2" x14ac:dyDescent="0.3">
      <c r="B3195" s="84" t="s">
        <v>1291</v>
      </c>
    </row>
    <row r="3196" spans="2:2" x14ac:dyDescent="0.3">
      <c r="B3196" s="84" t="s">
        <v>1338</v>
      </c>
    </row>
    <row r="3197" spans="2:2" x14ac:dyDescent="0.3">
      <c r="B3197" s="84" t="s">
        <v>1339</v>
      </c>
    </row>
    <row r="3198" spans="2:2" x14ac:dyDescent="0.3">
      <c r="B3198" s="84" t="s">
        <v>1340</v>
      </c>
    </row>
    <row r="3199" spans="2:2" x14ac:dyDescent="0.3">
      <c r="B3199" s="84" t="s">
        <v>1341</v>
      </c>
    </row>
    <row r="3200" spans="2:2" x14ac:dyDescent="0.3">
      <c r="B3200" s="84" t="s">
        <v>1342</v>
      </c>
    </row>
    <row r="3201" spans="2:2" x14ac:dyDescent="0.3">
      <c r="B3201" s="84" t="s">
        <v>1337</v>
      </c>
    </row>
    <row r="3202" spans="2:2" x14ac:dyDescent="0.3">
      <c r="B3202" s="84" t="s">
        <v>1343</v>
      </c>
    </row>
    <row r="3203" spans="2:2" x14ac:dyDescent="0.3">
      <c r="B3203" s="84" t="s">
        <v>1344</v>
      </c>
    </row>
    <row r="3204" spans="2:2" x14ac:dyDescent="0.3">
      <c r="B3204" s="84" t="s">
        <v>1345</v>
      </c>
    </row>
    <row r="3205" spans="2:2" x14ac:dyDescent="0.3">
      <c r="B3205" s="84" t="s">
        <v>1346</v>
      </c>
    </row>
    <row r="3206" spans="2:2" x14ac:dyDescent="0.3">
      <c r="B3206" s="84" t="s">
        <v>1347</v>
      </c>
    </row>
    <row r="3207" spans="2:2" x14ac:dyDescent="0.3">
      <c r="B3207" s="84" t="s">
        <v>1348</v>
      </c>
    </row>
    <row r="3208" spans="2:2" x14ac:dyDescent="0.3">
      <c r="B3208" s="84" t="s">
        <v>1350</v>
      </c>
    </row>
    <row r="3209" spans="2:2" x14ac:dyDescent="0.3">
      <c r="B3209" s="84" t="s">
        <v>1351</v>
      </c>
    </row>
    <row r="3210" spans="2:2" x14ac:dyDescent="0.3">
      <c r="B3210" s="84" t="s">
        <v>1352</v>
      </c>
    </row>
    <row r="3211" spans="2:2" x14ac:dyDescent="0.3">
      <c r="B3211" s="84" t="s">
        <v>1353</v>
      </c>
    </row>
    <row r="3212" spans="2:2" x14ac:dyDescent="0.3">
      <c r="B3212" s="84" t="s">
        <v>1354</v>
      </c>
    </row>
    <row r="3213" spans="2:2" x14ac:dyDescent="0.3">
      <c r="B3213" s="84" t="s">
        <v>1355</v>
      </c>
    </row>
    <row r="3214" spans="2:2" x14ac:dyDescent="0.3">
      <c r="B3214" s="84" t="s">
        <v>1356</v>
      </c>
    </row>
    <row r="3215" spans="2:2" x14ac:dyDescent="0.3">
      <c r="B3215" s="84" t="s">
        <v>1357</v>
      </c>
    </row>
    <row r="3216" spans="2:2" x14ac:dyDescent="0.3">
      <c r="B3216" s="84" t="s">
        <v>1358</v>
      </c>
    </row>
    <row r="3217" spans="2:2" x14ac:dyDescent="0.3">
      <c r="B3217" s="84" t="s">
        <v>1359</v>
      </c>
    </row>
    <row r="3218" spans="2:2" x14ac:dyDescent="0.3">
      <c r="B3218" s="84" t="s">
        <v>1360</v>
      </c>
    </row>
    <row r="3219" spans="2:2" x14ac:dyDescent="0.3">
      <c r="B3219" s="84" t="s">
        <v>1361</v>
      </c>
    </row>
    <row r="3220" spans="2:2" x14ac:dyDescent="0.3">
      <c r="B3220" s="84" t="s">
        <v>1362</v>
      </c>
    </row>
    <row r="3221" spans="2:2" x14ac:dyDescent="0.3">
      <c r="B3221" s="84" t="s">
        <v>1363</v>
      </c>
    </row>
    <row r="3222" spans="2:2" x14ac:dyDescent="0.3">
      <c r="B3222" s="84" t="s">
        <v>1364</v>
      </c>
    </row>
    <row r="3223" spans="2:2" x14ac:dyDescent="0.3">
      <c r="B3223" s="84" t="s">
        <v>1365</v>
      </c>
    </row>
    <row r="3224" spans="2:2" x14ac:dyDescent="0.3">
      <c r="B3224" s="84" t="s">
        <v>1349</v>
      </c>
    </row>
    <row r="3225" spans="2:2" x14ac:dyDescent="0.3">
      <c r="B3225" s="84" t="s">
        <v>5986</v>
      </c>
    </row>
    <row r="3226" spans="2:2" x14ac:dyDescent="0.3">
      <c r="B3226" s="84" t="s">
        <v>5987</v>
      </c>
    </row>
    <row r="3227" spans="2:2" x14ac:dyDescent="0.3">
      <c r="B3227" s="84" t="s">
        <v>1602</v>
      </c>
    </row>
    <row r="3228" spans="2:2" x14ac:dyDescent="0.3">
      <c r="B3228" s="84" t="s">
        <v>1605</v>
      </c>
    </row>
    <row r="3229" spans="2:2" x14ac:dyDescent="0.3">
      <c r="B3229" s="84" t="s">
        <v>1609</v>
      </c>
    </row>
    <row r="3230" spans="2:2" x14ac:dyDescent="0.3">
      <c r="B3230" s="84" t="s">
        <v>5988</v>
      </c>
    </row>
    <row r="3231" spans="2:2" x14ac:dyDescent="0.3">
      <c r="B3231" s="84" t="s">
        <v>1612</v>
      </c>
    </row>
    <row r="3232" spans="2:2" x14ac:dyDescent="0.3">
      <c r="B3232" s="84" t="s">
        <v>1616</v>
      </c>
    </row>
    <row r="3233" spans="2:2" x14ac:dyDescent="0.3">
      <c r="B3233" s="84" t="s">
        <v>5989</v>
      </c>
    </row>
    <row r="3234" spans="2:2" x14ac:dyDescent="0.3">
      <c r="B3234" s="84" t="s">
        <v>5990</v>
      </c>
    </row>
    <row r="3235" spans="2:2" x14ac:dyDescent="0.3">
      <c r="B3235" s="84" t="s">
        <v>1959</v>
      </c>
    </row>
    <row r="3236" spans="2:2" x14ac:dyDescent="0.3">
      <c r="B3236" s="84" t="s">
        <v>1942</v>
      </c>
    </row>
    <row r="3237" spans="2:2" x14ac:dyDescent="0.3">
      <c r="B3237" s="84" t="s">
        <v>1980</v>
      </c>
    </row>
    <row r="3238" spans="2:2" x14ac:dyDescent="0.3">
      <c r="B3238" s="84" t="s">
        <v>5991</v>
      </c>
    </row>
    <row r="3239" spans="2:2" x14ac:dyDescent="0.3">
      <c r="B3239" s="84" t="s">
        <v>1993</v>
      </c>
    </row>
    <row r="3240" spans="2:2" x14ac:dyDescent="0.3">
      <c r="B3240" s="84" t="s">
        <v>1969</v>
      </c>
    </row>
    <row r="3241" spans="2:2" x14ac:dyDescent="0.3">
      <c r="B3241" s="84" t="s">
        <v>5992</v>
      </c>
    </row>
    <row r="3242" spans="2:2" x14ac:dyDescent="0.3">
      <c r="B3242" s="84" t="s">
        <v>5993</v>
      </c>
    </row>
    <row r="3243" spans="2:2" x14ac:dyDescent="0.3">
      <c r="B3243" s="84" t="s">
        <v>1961</v>
      </c>
    </row>
    <row r="3244" spans="2:2" x14ac:dyDescent="0.3">
      <c r="B3244" s="84" t="s">
        <v>1945</v>
      </c>
    </row>
    <row r="3245" spans="2:2" x14ac:dyDescent="0.3">
      <c r="B3245" s="84" t="s">
        <v>1983</v>
      </c>
    </row>
    <row r="3246" spans="2:2" x14ac:dyDescent="0.3">
      <c r="B3246" s="84" t="s">
        <v>5994</v>
      </c>
    </row>
    <row r="3247" spans="2:2" x14ac:dyDescent="0.3">
      <c r="B3247" s="84" t="s">
        <v>1996</v>
      </c>
    </row>
    <row r="3248" spans="2:2" x14ac:dyDescent="0.3">
      <c r="B3248" s="84" t="s">
        <v>1972</v>
      </c>
    </row>
    <row r="3249" spans="2:2" x14ac:dyDescent="0.3">
      <c r="B3249" s="84" t="s">
        <v>2865</v>
      </c>
    </row>
    <row r="3250" spans="2:2" x14ac:dyDescent="0.3">
      <c r="B3250" s="84" t="s">
        <v>2877</v>
      </c>
    </row>
    <row r="3251" spans="2:2" x14ac:dyDescent="0.3">
      <c r="B3251" s="84" t="s">
        <v>1598</v>
      </c>
    </row>
    <row r="3252" spans="2:2" x14ac:dyDescent="0.3">
      <c r="B3252" s="84" t="s">
        <v>1941</v>
      </c>
    </row>
    <row r="3253" spans="2:2" x14ac:dyDescent="0.3">
      <c r="B3253" s="84" t="s">
        <v>1606</v>
      </c>
    </row>
    <row r="3254" spans="2:2" x14ac:dyDescent="0.3">
      <c r="B3254" s="84" t="s">
        <v>5995</v>
      </c>
    </row>
    <row r="3255" spans="2:2" x14ac:dyDescent="0.3">
      <c r="B3255" s="84" t="s">
        <v>1992</v>
      </c>
    </row>
    <row r="3256" spans="2:2" x14ac:dyDescent="0.3">
      <c r="B3256" s="84" t="s">
        <v>1613</v>
      </c>
    </row>
    <row r="3257" spans="2:2" x14ac:dyDescent="0.3">
      <c r="B3257" s="84" t="s">
        <v>2866</v>
      </c>
    </row>
    <row r="3258" spans="2:2" x14ac:dyDescent="0.3">
      <c r="B3258" s="84" t="s">
        <v>2878</v>
      </c>
    </row>
    <row r="3259" spans="2:2" x14ac:dyDescent="0.3">
      <c r="B3259" s="84" t="s">
        <v>1960</v>
      </c>
    </row>
    <row r="3260" spans="2:2" x14ac:dyDescent="0.3">
      <c r="B3260" s="84" t="s">
        <v>1944</v>
      </c>
    </row>
    <row r="3261" spans="2:2" x14ac:dyDescent="0.3">
      <c r="B3261" s="84" t="s">
        <v>1982</v>
      </c>
    </row>
    <row r="3262" spans="2:2" x14ac:dyDescent="0.3">
      <c r="B3262" s="84" t="s">
        <v>5996</v>
      </c>
    </row>
    <row r="3263" spans="2:2" x14ac:dyDescent="0.3">
      <c r="B3263" s="84" t="s">
        <v>1995</v>
      </c>
    </row>
    <row r="3264" spans="2:2" x14ac:dyDescent="0.3">
      <c r="B3264" s="84" t="s">
        <v>1971</v>
      </c>
    </row>
    <row r="3265" spans="2:2" x14ac:dyDescent="0.3">
      <c r="B3265" s="84" t="s">
        <v>2867</v>
      </c>
    </row>
    <row r="3266" spans="2:2" x14ac:dyDescent="0.3">
      <c r="B3266" s="84" t="s">
        <v>2879</v>
      </c>
    </row>
    <row r="3267" spans="2:2" x14ac:dyDescent="0.3">
      <c r="B3267" s="84" t="s">
        <v>1600</v>
      </c>
    </row>
    <row r="3268" spans="2:2" x14ac:dyDescent="0.3">
      <c r="B3268" s="84" t="s">
        <v>1603</v>
      </c>
    </row>
    <row r="3269" spans="2:2" x14ac:dyDescent="0.3">
      <c r="B3269" s="84" t="s">
        <v>1607</v>
      </c>
    </row>
    <row r="3270" spans="2:2" x14ac:dyDescent="0.3">
      <c r="B3270" s="84" t="s">
        <v>5997</v>
      </c>
    </row>
    <row r="3271" spans="2:2" x14ac:dyDescent="0.3">
      <c r="B3271" s="84" t="s">
        <v>1610</v>
      </c>
    </row>
    <row r="3272" spans="2:2" x14ac:dyDescent="0.3">
      <c r="B3272" s="84" t="s">
        <v>1614</v>
      </c>
    </row>
    <row r="3273" spans="2:2" x14ac:dyDescent="0.3">
      <c r="B3273" s="84" t="s">
        <v>2868</v>
      </c>
    </row>
    <row r="3274" spans="2:2" x14ac:dyDescent="0.3">
      <c r="B3274" s="84" t="s">
        <v>2880</v>
      </c>
    </row>
    <row r="3275" spans="2:2" x14ac:dyDescent="0.3">
      <c r="B3275" s="84" t="s">
        <v>1962</v>
      </c>
    </row>
    <row r="3276" spans="2:2" x14ac:dyDescent="0.3">
      <c r="B3276" s="84" t="s">
        <v>1946</v>
      </c>
    </row>
    <row r="3277" spans="2:2" x14ac:dyDescent="0.3">
      <c r="B3277" s="84" t="s">
        <v>1984</v>
      </c>
    </row>
    <row r="3278" spans="2:2" x14ac:dyDescent="0.3">
      <c r="B3278" s="84" t="s">
        <v>5998</v>
      </c>
    </row>
    <row r="3279" spans="2:2" x14ac:dyDescent="0.3">
      <c r="B3279" s="84" t="s">
        <v>1997</v>
      </c>
    </row>
    <row r="3280" spans="2:2" x14ac:dyDescent="0.3">
      <c r="B3280" s="84" t="s">
        <v>1973</v>
      </c>
    </row>
    <row r="3281" spans="2:2" x14ac:dyDescent="0.3">
      <c r="B3281" s="84" t="s">
        <v>2869</v>
      </c>
    </row>
    <row r="3282" spans="2:2" x14ac:dyDescent="0.3">
      <c r="B3282" s="84" t="s">
        <v>2881</v>
      </c>
    </row>
    <row r="3283" spans="2:2" x14ac:dyDescent="0.3">
      <c r="B3283" s="84" t="s">
        <v>1963</v>
      </c>
    </row>
    <row r="3284" spans="2:2" x14ac:dyDescent="0.3">
      <c r="B3284" s="84" t="s">
        <v>1947</v>
      </c>
    </row>
    <row r="3285" spans="2:2" x14ac:dyDescent="0.3">
      <c r="B3285" s="84" t="s">
        <v>1985</v>
      </c>
    </row>
    <row r="3286" spans="2:2" x14ac:dyDescent="0.3">
      <c r="B3286" s="84" t="s">
        <v>5999</v>
      </c>
    </row>
    <row r="3287" spans="2:2" x14ac:dyDescent="0.3">
      <c r="B3287" s="84" t="s">
        <v>1998</v>
      </c>
    </row>
    <row r="3288" spans="2:2" x14ac:dyDescent="0.3">
      <c r="B3288" s="84" t="s">
        <v>1974</v>
      </c>
    </row>
    <row r="3289" spans="2:2" x14ac:dyDescent="0.3">
      <c r="B3289" s="84" t="s">
        <v>2870</v>
      </c>
    </row>
    <row r="3290" spans="2:2" x14ac:dyDescent="0.3">
      <c r="B3290" s="84" t="s">
        <v>2882</v>
      </c>
    </row>
    <row r="3291" spans="2:2" x14ac:dyDescent="0.3">
      <c r="B3291" s="84" t="s">
        <v>1601</v>
      </c>
    </row>
    <row r="3292" spans="2:2" x14ac:dyDescent="0.3">
      <c r="B3292" s="84" t="s">
        <v>1604</v>
      </c>
    </row>
    <row r="3293" spans="2:2" x14ac:dyDescent="0.3">
      <c r="B3293" s="84" t="s">
        <v>1608</v>
      </c>
    </row>
    <row r="3294" spans="2:2" x14ac:dyDescent="0.3">
      <c r="B3294" s="84" t="s">
        <v>6000</v>
      </c>
    </row>
    <row r="3295" spans="2:2" x14ac:dyDescent="0.3">
      <c r="B3295" s="84" t="s">
        <v>1611</v>
      </c>
    </row>
    <row r="3296" spans="2:2" x14ac:dyDescent="0.3">
      <c r="B3296" s="84" t="s">
        <v>1615</v>
      </c>
    </row>
    <row r="3297" spans="2:2" x14ac:dyDescent="0.3">
      <c r="B3297" s="84" t="s">
        <v>2871</v>
      </c>
    </row>
    <row r="3298" spans="2:2" x14ac:dyDescent="0.3">
      <c r="B3298" s="84" t="s">
        <v>2883</v>
      </c>
    </row>
    <row r="3299" spans="2:2" x14ac:dyDescent="0.3">
      <c r="B3299" s="84" t="s">
        <v>1964</v>
      </c>
    </row>
    <row r="3300" spans="2:2" x14ac:dyDescent="0.3">
      <c r="B3300" s="84" t="s">
        <v>1948</v>
      </c>
    </row>
    <row r="3301" spans="2:2" x14ac:dyDescent="0.3">
      <c r="B3301" s="84" t="s">
        <v>1986</v>
      </c>
    </row>
    <row r="3302" spans="2:2" x14ac:dyDescent="0.3">
      <c r="B3302" s="84" t="s">
        <v>6001</v>
      </c>
    </row>
    <row r="3303" spans="2:2" x14ac:dyDescent="0.3">
      <c r="B3303" s="84" t="s">
        <v>1999</v>
      </c>
    </row>
    <row r="3304" spans="2:2" x14ac:dyDescent="0.3">
      <c r="B3304" s="84" t="s">
        <v>1975</v>
      </c>
    </row>
    <row r="3305" spans="2:2" x14ac:dyDescent="0.3">
      <c r="B3305" s="84" t="s">
        <v>2872</v>
      </c>
    </row>
    <row r="3306" spans="2:2" x14ac:dyDescent="0.3">
      <c r="B3306" s="84" t="s">
        <v>2884</v>
      </c>
    </row>
    <row r="3307" spans="2:2" x14ac:dyDescent="0.3">
      <c r="B3307" s="84" t="s">
        <v>1965</v>
      </c>
    </row>
    <row r="3308" spans="2:2" x14ac:dyDescent="0.3">
      <c r="B3308" s="84" t="s">
        <v>1949</v>
      </c>
    </row>
    <row r="3309" spans="2:2" x14ac:dyDescent="0.3">
      <c r="B3309" s="84" t="s">
        <v>1987</v>
      </c>
    </row>
    <row r="3310" spans="2:2" x14ac:dyDescent="0.3">
      <c r="B3310" s="84" t="s">
        <v>6002</v>
      </c>
    </row>
    <row r="3311" spans="2:2" x14ac:dyDescent="0.3">
      <c r="B3311" s="84" t="s">
        <v>2000</v>
      </c>
    </row>
    <row r="3312" spans="2:2" x14ac:dyDescent="0.3">
      <c r="B3312" s="84" t="s">
        <v>1976</v>
      </c>
    </row>
    <row r="3313" spans="2:2" x14ac:dyDescent="0.3">
      <c r="B3313" s="84" t="s">
        <v>2873</v>
      </c>
    </row>
    <row r="3314" spans="2:2" x14ac:dyDescent="0.3">
      <c r="B3314" s="84" t="s">
        <v>2885</v>
      </c>
    </row>
    <row r="3315" spans="2:2" x14ac:dyDescent="0.3">
      <c r="B3315" s="84" t="s">
        <v>1966</v>
      </c>
    </row>
    <row r="3316" spans="2:2" x14ac:dyDescent="0.3">
      <c r="B3316" s="84" t="s">
        <v>1950</v>
      </c>
    </row>
    <row r="3317" spans="2:2" x14ac:dyDescent="0.3">
      <c r="B3317" s="84" t="s">
        <v>1988</v>
      </c>
    </row>
    <row r="3318" spans="2:2" x14ac:dyDescent="0.3">
      <c r="B3318" s="84" t="s">
        <v>6003</v>
      </c>
    </row>
    <row r="3319" spans="2:2" x14ac:dyDescent="0.3">
      <c r="B3319" s="84" t="s">
        <v>2001</v>
      </c>
    </row>
    <row r="3320" spans="2:2" x14ac:dyDescent="0.3">
      <c r="B3320" s="84" t="s">
        <v>1977</v>
      </c>
    </row>
    <row r="3321" spans="2:2" x14ac:dyDescent="0.3">
      <c r="B3321" s="84" t="s">
        <v>2874</v>
      </c>
    </row>
    <row r="3322" spans="2:2" x14ac:dyDescent="0.3">
      <c r="B3322" s="84" t="s">
        <v>2886</v>
      </c>
    </row>
    <row r="3323" spans="2:2" x14ac:dyDescent="0.3">
      <c r="B3323" s="84" t="s">
        <v>1957</v>
      </c>
    </row>
    <row r="3324" spans="2:2" x14ac:dyDescent="0.3">
      <c r="B3324" s="84" t="s">
        <v>1939</v>
      </c>
    </row>
    <row r="3325" spans="2:2" x14ac:dyDescent="0.3">
      <c r="B3325" s="84" t="s">
        <v>1978</v>
      </c>
    </row>
    <row r="3326" spans="2:2" x14ac:dyDescent="0.3">
      <c r="B3326" s="84" t="s">
        <v>6004</v>
      </c>
    </row>
    <row r="3327" spans="2:2" x14ac:dyDescent="0.3">
      <c r="B3327" s="84" t="s">
        <v>1990</v>
      </c>
    </row>
    <row r="3328" spans="2:2" x14ac:dyDescent="0.3">
      <c r="B3328" s="84" t="s">
        <v>1967</v>
      </c>
    </row>
    <row r="3329" spans="2:2" x14ac:dyDescent="0.3">
      <c r="B3329" s="84" t="s">
        <v>2875</v>
      </c>
    </row>
    <row r="3330" spans="2:2" x14ac:dyDescent="0.3">
      <c r="B3330" s="84" t="s">
        <v>2887</v>
      </c>
    </row>
    <row r="3331" spans="2:2" x14ac:dyDescent="0.3">
      <c r="B3331" s="84" t="s">
        <v>1958</v>
      </c>
    </row>
    <row r="3332" spans="2:2" x14ac:dyDescent="0.3">
      <c r="B3332" s="84" t="s">
        <v>1940</v>
      </c>
    </row>
    <row r="3333" spans="2:2" x14ac:dyDescent="0.3">
      <c r="B3333" s="84" t="s">
        <v>1979</v>
      </c>
    </row>
    <row r="3334" spans="2:2" x14ac:dyDescent="0.3">
      <c r="B3334" s="84" t="s">
        <v>6005</v>
      </c>
    </row>
    <row r="3335" spans="2:2" x14ac:dyDescent="0.3">
      <c r="B3335" s="84" t="s">
        <v>1991</v>
      </c>
    </row>
    <row r="3336" spans="2:2" x14ac:dyDescent="0.3">
      <c r="B3336" s="84" t="s">
        <v>1968</v>
      </c>
    </row>
    <row r="3337" spans="2:2" x14ac:dyDescent="0.3">
      <c r="B3337" s="84" t="s">
        <v>2876</v>
      </c>
    </row>
    <row r="3338" spans="2:2" x14ac:dyDescent="0.3">
      <c r="B3338" s="84" t="s">
        <v>2888</v>
      </c>
    </row>
    <row r="3339" spans="2:2" x14ac:dyDescent="0.3">
      <c r="B3339" s="84" t="s">
        <v>1599</v>
      </c>
    </row>
    <row r="3340" spans="2:2" x14ac:dyDescent="0.3">
      <c r="B3340" s="84" t="s">
        <v>1943</v>
      </c>
    </row>
    <row r="3341" spans="2:2" x14ac:dyDescent="0.3">
      <c r="B3341" s="84" t="s">
        <v>1981</v>
      </c>
    </row>
    <row r="3342" spans="2:2" x14ac:dyDescent="0.3">
      <c r="B3342" s="84" t="s">
        <v>6006</v>
      </c>
    </row>
    <row r="3343" spans="2:2" x14ac:dyDescent="0.3">
      <c r="B3343" s="84" t="s">
        <v>1994</v>
      </c>
    </row>
    <row r="3344" spans="2:2" x14ac:dyDescent="0.3">
      <c r="B3344" s="84" t="s">
        <v>1970</v>
      </c>
    </row>
    <row r="3345" spans="2:2" x14ac:dyDescent="0.3">
      <c r="B3345" s="84" t="s">
        <v>2100</v>
      </c>
    </row>
    <row r="3346" spans="2:2" x14ac:dyDescent="0.3">
      <c r="B3346" s="84" t="s">
        <v>2101</v>
      </c>
    </row>
    <row r="3347" spans="2:2" x14ac:dyDescent="0.3">
      <c r="B3347" s="84" t="s">
        <v>2104</v>
      </c>
    </row>
    <row r="3348" spans="2:2" x14ac:dyDescent="0.3">
      <c r="B3348" s="84" t="s">
        <v>2102</v>
      </c>
    </row>
    <row r="3349" spans="2:2" x14ac:dyDescent="0.3">
      <c r="B3349" s="84" t="s">
        <v>2103</v>
      </c>
    </row>
    <row r="3350" spans="2:2" x14ac:dyDescent="0.3">
      <c r="B3350" s="84" t="s">
        <v>2105</v>
      </c>
    </row>
    <row r="3351" spans="2:2" x14ac:dyDescent="0.3">
      <c r="B3351" s="84" t="s">
        <v>2106</v>
      </c>
    </row>
    <row r="3352" spans="2:2" x14ac:dyDescent="0.3">
      <c r="B3352" s="84" t="s">
        <v>2107</v>
      </c>
    </row>
    <row r="3353" spans="2:2" x14ac:dyDescent="0.3">
      <c r="B3353" s="84" t="s">
        <v>1878</v>
      </c>
    </row>
    <row r="3354" spans="2:2" x14ac:dyDescent="0.3">
      <c r="B3354" s="84" t="s">
        <v>1625</v>
      </c>
    </row>
    <row r="3355" spans="2:2" x14ac:dyDescent="0.3">
      <c r="B3355" s="84" t="s">
        <v>6007</v>
      </c>
    </row>
    <row r="3356" spans="2:2" x14ac:dyDescent="0.3">
      <c r="B3356" s="84" t="s">
        <v>6007</v>
      </c>
    </row>
    <row r="3357" spans="2:2" x14ac:dyDescent="0.3">
      <c r="B3357" s="84" t="s">
        <v>6007</v>
      </c>
    </row>
    <row r="3358" spans="2:2" x14ac:dyDescent="0.3">
      <c r="B3358" s="84" t="s">
        <v>6007</v>
      </c>
    </row>
    <row r="3359" spans="2:2" x14ac:dyDescent="0.3">
      <c r="B3359" s="84" t="s">
        <v>6007</v>
      </c>
    </row>
    <row r="3360" spans="2:2" x14ac:dyDescent="0.3">
      <c r="B3360" s="84" t="s">
        <v>6007</v>
      </c>
    </row>
    <row r="3361" spans="2:2" x14ac:dyDescent="0.3">
      <c r="B3361" s="84" t="s">
        <v>6007</v>
      </c>
    </row>
    <row r="3362" spans="2:2" x14ac:dyDescent="0.3">
      <c r="B3362" s="84" t="s">
        <v>6007</v>
      </c>
    </row>
    <row r="3363" spans="2:2" x14ac:dyDescent="0.3">
      <c r="B3363" s="84" t="s">
        <v>6007</v>
      </c>
    </row>
    <row r="3364" spans="2:2" x14ac:dyDescent="0.3">
      <c r="B3364" s="84" t="s">
        <v>6007</v>
      </c>
    </row>
    <row r="3365" spans="2:2" x14ac:dyDescent="0.3">
      <c r="B3365" s="84" t="s">
        <v>6007</v>
      </c>
    </row>
    <row r="3366" spans="2:2" x14ac:dyDescent="0.3">
      <c r="B3366" s="84" t="s">
        <v>6007</v>
      </c>
    </row>
    <row r="3367" spans="2:2" x14ac:dyDescent="0.3">
      <c r="B3367" s="84" t="s">
        <v>6007</v>
      </c>
    </row>
    <row r="3368" spans="2:2" x14ac:dyDescent="0.3">
      <c r="B3368" s="84" t="s">
        <v>6007</v>
      </c>
    </row>
    <row r="3369" spans="2:2" x14ac:dyDescent="0.3">
      <c r="B3369" s="84" t="s">
        <v>6007</v>
      </c>
    </row>
    <row r="3370" spans="2:2" x14ac:dyDescent="0.3">
      <c r="B3370" s="84" t="s">
        <v>6007</v>
      </c>
    </row>
    <row r="3371" spans="2:2" x14ac:dyDescent="0.3">
      <c r="B3371" s="84" t="s">
        <v>6007</v>
      </c>
    </row>
    <row r="3372" spans="2:2" x14ac:dyDescent="0.3">
      <c r="B3372" s="84" t="s">
        <v>6007</v>
      </c>
    </row>
    <row r="3373" spans="2:2" x14ac:dyDescent="0.3">
      <c r="B3373" s="84" t="s">
        <v>6007</v>
      </c>
    </row>
    <row r="3374" spans="2:2" x14ac:dyDescent="0.3">
      <c r="B3374" s="84" t="s">
        <v>6007</v>
      </c>
    </row>
    <row r="3375" spans="2:2" x14ac:dyDescent="0.3">
      <c r="B3375" s="84" t="s">
        <v>6007</v>
      </c>
    </row>
    <row r="3376" spans="2:2" x14ac:dyDescent="0.3">
      <c r="B3376" s="84" t="s">
        <v>6007</v>
      </c>
    </row>
    <row r="3377" spans="2:2" x14ac:dyDescent="0.3">
      <c r="B3377" s="84" t="s">
        <v>6007</v>
      </c>
    </row>
    <row r="3378" spans="2:2" x14ac:dyDescent="0.3">
      <c r="B3378" s="84" t="s">
        <v>6007</v>
      </c>
    </row>
    <row r="3379" spans="2:2" x14ac:dyDescent="0.3">
      <c r="B3379" s="84" t="s">
        <v>6007</v>
      </c>
    </row>
    <row r="3380" spans="2:2" x14ac:dyDescent="0.3">
      <c r="B3380" s="84" t="s">
        <v>6007</v>
      </c>
    </row>
    <row r="3381" spans="2:2" x14ac:dyDescent="0.3">
      <c r="B3381" s="84" t="s">
        <v>6007</v>
      </c>
    </row>
    <row r="3382" spans="2:2" x14ac:dyDescent="0.3">
      <c r="B3382" s="84" t="s">
        <v>6007</v>
      </c>
    </row>
    <row r="3383" spans="2:2" x14ac:dyDescent="0.3">
      <c r="B3383" s="84" t="s">
        <v>6007</v>
      </c>
    </row>
    <row r="3384" spans="2:2" x14ac:dyDescent="0.3">
      <c r="B3384" s="84" t="s">
        <v>6007</v>
      </c>
    </row>
    <row r="3385" spans="2:2" x14ac:dyDescent="0.3">
      <c r="B3385" s="84" t="s">
        <v>6007</v>
      </c>
    </row>
    <row r="3386" spans="2:2" x14ac:dyDescent="0.3">
      <c r="B3386" s="84" t="s">
        <v>6007</v>
      </c>
    </row>
    <row r="3387" spans="2:2" x14ac:dyDescent="0.3">
      <c r="B3387" s="84" t="s">
        <v>6007</v>
      </c>
    </row>
    <row r="3388" spans="2:2" x14ac:dyDescent="0.3">
      <c r="B3388" s="84" t="s">
        <v>6007</v>
      </c>
    </row>
    <row r="3389" spans="2:2" x14ac:dyDescent="0.3">
      <c r="B3389" s="84" t="s">
        <v>6007</v>
      </c>
    </row>
    <row r="3390" spans="2:2" x14ac:dyDescent="0.3">
      <c r="B3390" s="84" t="s">
        <v>6007</v>
      </c>
    </row>
    <row r="3391" spans="2:2" x14ac:dyDescent="0.3">
      <c r="B3391" s="84" t="s">
        <v>6007</v>
      </c>
    </row>
    <row r="3392" spans="2:2" x14ac:dyDescent="0.3">
      <c r="B3392" s="84" t="s">
        <v>6007</v>
      </c>
    </row>
    <row r="3393" spans="2:2" x14ac:dyDescent="0.3">
      <c r="B3393" s="84" t="s">
        <v>6007</v>
      </c>
    </row>
    <row r="3394" spans="2:2" x14ac:dyDescent="0.3">
      <c r="B3394" s="84" t="s">
        <v>6007</v>
      </c>
    </row>
    <row r="3395" spans="2:2" x14ac:dyDescent="0.3">
      <c r="B3395" s="84" t="s">
        <v>6007</v>
      </c>
    </row>
    <row r="3396" spans="2:2" x14ac:dyDescent="0.3">
      <c r="B3396" s="84" t="s">
        <v>6007</v>
      </c>
    </row>
    <row r="3397" spans="2:2" x14ac:dyDescent="0.3">
      <c r="B3397" s="84" t="s">
        <v>6007</v>
      </c>
    </row>
    <row r="3398" spans="2:2" x14ac:dyDescent="0.3">
      <c r="B3398" s="84" t="s">
        <v>6007</v>
      </c>
    </row>
    <row r="3399" spans="2:2" x14ac:dyDescent="0.3">
      <c r="B3399" s="84" t="s">
        <v>6007</v>
      </c>
    </row>
    <row r="3400" spans="2:2" x14ac:dyDescent="0.3">
      <c r="B3400" s="84" t="s">
        <v>6007</v>
      </c>
    </row>
    <row r="3401" spans="2:2" x14ac:dyDescent="0.3">
      <c r="B3401" s="84" t="s">
        <v>6007</v>
      </c>
    </row>
    <row r="3402" spans="2:2" x14ac:dyDescent="0.3">
      <c r="B3402" s="84" t="s">
        <v>6007</v>
      </c>
    </row>
    <row r="3403" spans="2:2" x14ac:dyDescent="0.3">
      <c r="B3403" s="84" t="s">
        <v>6007</v>
      </c>
    </row>
    <row r="3404" spans="2:2" x14ac:dyDescent="0.3">
      <c r="B3404" s="84" t="s">
        <v>6007</v>
      </c>
    </row>
    <row r="3405" spans="2:2" x14ac:dyDescent="0.3">
      <c r="B3405" s="84" t="s">
        <v>6007</v>
      </c>
    </row>
    <row r="3406" spans="2:2" x14ac:dyDescent="0.3">
      <c r="B3406" s="84" t="s">
        <v>6007</v>
      </c>
    </row>
    <row r="3407" spans="2:2" x14ac:dyDescent="0.3">
      <c r="B3407" s="84" t="s">
        <v>6007</v>
      </c>
    </row>
    <row r="3408" spans="2:2" x14ac:dyDescent="0.3">
      <c r="B3408" s="84" t="s">
        <v>6007</v>
      </c>
    </row>
    <row r="3409" spans="2:2" x14ac:dyDescent="0.3">
      <c r="B3409" s="84" t="s">
        <v>6007</v>
      </c>
    </row>
    <row r="3410" spans="2:2" x14ac:dyDescent="0.3">
      <c r="B3410" s="84" t="s">
        <v>6007</v>
      </c>
    </row>
    <row r="3411" spans="2:2" x14ac:dyDescent="0.3">
      <c r="B3411" s="84" t="s">
        <v>6007</v>
      </c>
    </row>
    <row r="3412" spans="2:2" x14ac:dyDescent="0.3">
      <c r="B3412" s="84" t="s">
        <v>6007</v>
      </c>
    </row>
    <row r="3413" spans="2:2" x14ac:dyDescent="0.3">
      <c r="B3413" s="84" t="s">
        <v>6007</v>
      </c>
    </row>
    <row r="3414" spans="2:2" x14ac:dyDescent="0.3">
      <c r="B3414" s="84" t="s">
        <v>6007</v>
      </c>
    </row>
    <row r="3415" spans="2:2" x14ac:dyDescent="0.3">
      <c r="B3415" s="84" t="s">
        <v>6007</v>
      </c>
    </row>
    <row r="3416" spans="2:2" x14ac:dyDescent="0.3">
      <c r="B3416" s="84" t="s">
        <v>6007</v>
      </c>
    </row>
    <row r="3417" spans="2:2" x14ac:dyDescent="0.3">
      <c r="B3417" s="84" t="s">
        <v>6007</v>
      </c>
    </row>
    <row r="3418" spans="2:2" x14ac:dyDescent="0.3">
      <c r="B3418" s="84" t="s">
        <v>6007</v>
      </c>
    </row>
    <row r="3419" spans="2:2" x14ac:dyDescent="0.3">
      <c r="B3419" s="84" t="s">
        <v>6007</v>
      </c>
    </row>
    <row r="3420" spans="2:2" x14ac:dyDescent="0.3">
      <c r="B3420" s="84" t="s">
        <v>6007</v>
      </c>
    </row>
    <row r="3421" spans="2:2" x14ac:dyDescent="0.3">
      <c r="B3421" s="84" t="s">
        <v>6007</v>
      </c>
    </row>
    <row r="3422" spans="2:2" x14ac:dyDescent="0.3">
      <c r="B3422" s="84" t="s">
        <v>6007</v>
      </c>
    </row>
    <row r="3423" spans="2:2" x14ac:dyDescent="0.3">
      <c r="B3423" s="84" t="s">
        <v>6007</v>
      </c>
    </row>
    <row r="3424" spans="2:2" x14ac:dyDescent="0.3">
      <c r="B3424" s="84" t="s">
        <v>6007</v>
      </c>
    </row>
    <row r="3425" spans="2:2" x14ac:dyDescent="0.3">
      <c r="B3425" s="84" t="s">
        <v>6007</v>
      </c>
    </row>
    <row r="3426" spans="2:2" x14ac:dyDescent="0.3">
      <c r="B3426" s="84" t="s">
        <v>6007</v>
      </c>
    </row>
    <row r="3427" spans="2:2" x14ac:dyDescent="0.3">
      <c r="B3427" s="84" t="s">
        <v>6007</v>
      </c>
    </row>
    <row r="3428" spans="2:2" x14ac:dyDescent="0.3">
      <c r="B3428" s="84" t="s">
        <v>6007</v>
      </c>
    </row>
    <row r="3429" spans="2:2" x14ac:dyDescent="0.3">
      <c r="B3429" s="84" t="s">
        <v>6007</v>
      </c>
    </row>
    <row r="3430" spans="2:2" x14ac:dyDescent="0.3">
      <c r="B3430" s="84" t="s">
        <v>6007</v>
      </c>
    </row>
    <row r="3431" spans="2:2" x14ac:dyDescent="0.3">
      <c r="B3431" s="84" t="s">
        <v>6007</v>
      </c>
    </row>
    <row r="3432" spans="2:2" x14ac:dyDescent="0.3">
      <c r="B3432" s="84" t="s">
        <v>6007</v>
      </c>
    </row>
    <row r="3433" spans="2:2" x14ac:dyDescent="0.3">
      <c r="B3433" s="84" t="s">
        <v>6007</v>
      </c>
    </row>
    <row r="3434" spans="2:2" x14ac:dyDescent="0.3">
      <c r="B3434" s="84" t="s">
        <v>6007</v>
      </c>
    </row>
    <row r="3435" spans="2:2" x14ac:dyDescent="0.3">
      <c r="B3435" s="84" t="s">
        <v>6007</v>
      </c>
    </row>
    <row r="3436" spans="2:2" x14ac:dyDescent="0.3">
      <c r="B3436" s="84" t="s">
        <v>6007</v>
      </c>
    </row>
    <row r="3437" spans="2:2" x14ac:dyDescent="0.3">
      <c r="B3437" s="84" t="s">
        <v>6007</v>
      </c>
    </row>
    <row r="3438" spans="2:2" x14ac:dyDescent="0.3">
      <c r="B3438" s="84" t="s">
        <v>6007</v>
      </c>
    </row>
    <row r="3439" spans="2:2" x14ac:dyDescent="0.3">
      <c r="B3439" s="84" t="s">
        <v>6007</v>
      </c>
    </row>
    <row r="3440" spans="2:2" x14ac:dyDescent="0.3">
      <c r="B3440" s="84" t="s">
        <v>6007</v>
      </c>
    </row>
    <row r="3441" spans="2:2" x14ac:dyDescent="0.3">
      <c r="B3441" s="84" t="s">
        <v>6007</v>
      </c>
    </row>
    <row r="3442" spans="2:2" x14ac:dyDescent="0.3">
      <c r="B3442" s="84" t="s">
        <v>6007</v>
      </c>
    </row>
    <row r="3443" spans="2:2" x14ac:dyDescent="0.3">
      <c r="B3443" s="84" t="s">
        <v>6007</v>
      </c>
    </row>
    <row r="3444" spans="2:2" x14ac:dyDescent="0.3">
      <c r="B3444" s="84" t="s">
        <v>6007</v>
      </c>
    </row>
    <row r="3445" spans="2:2" x14ac:dyDescent="0.3">
      <c r="B3445" s="84" t="s">
        <v>6008</v>
      </c>
    </row>
    <row r="3446" spans="2:2" x14ac:dyDescent="0.3">
      <c r="B3446" s="84" t="s">
        <v>6007</v>
      </c>
    </row>
    <row r="3447" spans="2:2" x14ac:dyDescent="0.3">
      <c r="B3447" s="84" t="s">
        <v>2470</v>
      </c>
    </row>
    <row r="3448" spans="2:2" x14ac:dyDescent="0.3">
      <c r="B3448" s="84" t="s">
        <v>2471</v>
      </c>
    </row>
    <row r="3449" spans="2:2" x14ac:dyDescent="0.3">
      <c r="B3449" s="84" t="s">
        <v>2473</v>
      </c>
    </row>
    <row r="3450" spans="2:2" x14ac:dyDescent="0.3">
      <c r="B3450" s="84" t="s">
        <v>2474</v>
      </c>
    </row>
    <row r="3451" spans="2:2" x14ac:dyDescent="0.3">
      <c r="B3451" s="84" t="s">
        <v>2475</v>
      </c>
    </row>
    <row r="3452" spans="2:2" x14ac:dyDescent="0.3">
      <c r="B3452" s="84" t="s">
        <v>2476</v>
      </c>
    </row>
    <row r="3453" spans="2:2" x14ac:dyDescent="0.3">
      <c r="B3453" s="84" t="s">
        <v>2472</v>
      </c>
    </row>
    <row r="3454" spans="2:2" x14ac:dyDescent="0.3">
      <c r="B3454" s="84" t="s">
        <v>5603</v>
      </c>
    </row>
    <row r="3455" spans="2:2" x14ac:dyDescent="0.3">
      <c r="B3455" s="84" t="s">
        <v>5603</v>
      </c>
    </row>
    <row r="3456" spans="2:2" x14ac:dyDescent="0.3">
      <c r="B3456" s="84" t="s">
        <v>5603</v>
      </c>
    </row>
    <row r="3457" spans="2:2" x14ac:dyDescent="0.3">
      <c r="B3457" s="84" t="s">
        <v>5603</v>
      </c>
    </row>
    <row r="3458" spans="2:2" x14ac:dyDescent="0.3">
      <c r="B3458" s="84" t="s">
        <v>5603</v>
      </c>
    </row>
    <row r="3459" spans="2:2" x14ac:dyDescent="0.3">
      <c r="B3459" s="84" t="s">
        <v>1747</v>
      </c>
    </row>
    <row r="3460" spans="2:2" x14ac:dyDescent="0.3">
      <c r="B3460" s="84" t="s">
        <v>2377</v>
      </c>
    </row>
    <row r="3461" spans="2:2" x14ac:dyDescent="0.3">
      <c r="B3461" s="84" t="s">
        <v>2379</v>
      </c>
    </row>
    <row r="3462" spans="2:2" x14ac:dyDescent="0.3">
      <c r="B3462" s="84" t="s">
        <v>2380</v>
      </c>
    </row>
    <row r="3463" spans="2:2" x14ac:dyDescent="0.3">
      <c r="B3463" s="84" t="s">
        <v>2381</v>
      </c>
    </row>
    <row r="3464" spans="2:2" x14ac:dyDescent="0.3">
      <c r="B3464" s="84" t="s">
        <v>2382</v>
      </c>
    </row>
    <row r="3465" spans="2:2" x14ac:dyDescent="0.3">
      <c r="B3465" s="84" t="s">
        <v>2378</v>
      </c>
    </row>
    <row r="3466" spans="2:2" x14ac:dyDescent="0.3">
      <c r="B3466" s="84" t="s">
        <v>1815</v>
      </c>
    </row>
    <row r="3467" spans="2:2" x14ac:dyDescent="0.3">
      <c r="B3467" s="84" t="s">
        <v>2560</v>
      </c>
    </row>
    <row r="3468" spans="2:2" x14ac:dyDescent="0.3">
      <c r="B3468" s="84" t="s">
        <v>2562</v>
      </c>
    </row>
    <row r="3469" spans="2:2" x14ac:dyDescent="0.3">
      <c r="B3469" s="84" t="s">
        <v>1818</v>
      </c>
    </row>
    <row r="3470" spans="2:2" x14ac:dyDescent="0.3">
      <c r="B3470" s="84" t="s">
        <v>2563</v>
      </c>
    </row>
    <row r="3471" spans="2:2" x14ac:dyDescent="0.3">
      <c r="B3471" s="84" t="s">
        <v>2564</v>
      </c>
    </row>
    <row r="3472" spans="2:2" x14ac:dyDescent="0.3">
      <c r="B3472" s="84" t="s">
        <v>2561</v>
      </c>
    </row>
    <row r="3473" spans="2:2" x14ac:dyDescent="0.3">
      <c r="B3473" s="84" t="s">
        <v>1463</v>
      </c>
    </row>
    <row r="3474" spans="2:2" x14ac:dyDescent="0.3">
      <c r="B3474" s="84" t="s">
        <v>1744</v>
      </c>
    </row>
    <row r="3475" spans="2:2" x14ac:dyDescent="0.3">
      <c r="B3475" s="84" t="s">
        <v>2845</v>
      </c>
    </row>
    <row r="3476" spans="2:2" x14ac:dyDescent="0.3">
      <c r="B3476" s="84" t="s">
        <v>5603</v>
      </c>
    </row>
    <row r="3477" spans="2:2" x14ac:dyDescent="0.3">
      <c r="B3477" s="84" t="s">
        <v>6009</v>
      </c>
    </row>
    <row r="3478" spans="2:2" x14ac:dyDescent="0.3">
      <c r="B3478" s="84" t="s">
        <v>6010</v>
      </c>
    </row>
    <row r="3479" spans="2:2" x14ac:dyDescent="0.3">
      <c r="B3479" s="84" t="s">
        <v>6011</v>
      </c>
    </row>
    <row r="3480" spans="2:2" x14ac:dyDescent="0.3">
      <c r="B3480" s="84" t="s">
        <v>1930</v>
      </c>
    </row>
    <row r="3481" spans="2:2" x14ac:dyDescent="0.3">
      <c r="B3481" s="84" t="s">
        <v>1931</v>
      </c>
    </row>
    <row r="3482" spans="2:2" x14ac:dyDescent="0.3">
      <c r="B3482" s="84" t="s">
        <v>1932</v>
      </c>
    </row>
    <row r="3483" spans="2:2" x14ac:dyDescent="0.3">
      <c r="B3483" s="84" t="s">
        <v>6012</v>
      </c>
    </row>
    <row r="3484" spans="2:2" x14ac:dyDescent="0.3">
      <c r="B3484" s="84" t="s">
        <v>3448</v>
      </c>
    </row>
    <row r="3485" spans="2:2" x14ac:dyDescent="0.3">
      <c r="B3485" s="84" t="s">
        <v>3459</v>
      </c>
    </row>
    <row r="3486" spans="2:2" x14ac:dyDescent="0.3">
      <c r="B3486" s="84" t="s">
        <v>3449</v>
      </c>
    </row>
    <row r="3487" spans="2:2" x14ac:dyDescent="0.3">
      <c r="B3487" s="84" t="s">
        <v>3460</v>
      </c>
    </row>
    <row r="3488" spans="2:2" x14ac:dyDescent="0.3">
      <c r="B3488" s="84" t="s">
        <v>3438</v>
      </c>
    </row>
    <row r="3489" spans="2:2" x14ac:dyDescent="0.3">
      <c r="B3489" s="84" t="s">
        <v>3439</v>
      </c>
    </row>
    <row r="3490" spans="2:2" x14ac:dyDescent="0.3">
      <c r="B3490" s="84" t="s">
        <v>3450</v>
      </c>
    </row>
    <row r="3491" spans="2:2" x14ac:dyDescent="0.3">
      <c r="B3491" s="84" t="s">
        <v>3461</v>
      </c>
    </row>
    <row r="3492" spans="2:2" x14ac:dyDescent="0.3">
      <c r="B3492" s="84" t="s">
        <v>3440</v>
      </c>
    </row>
    <row r="3493" spans="2:2" x14ac:dyDescent="0.3">
      <c r="B3493" s="84" t="s">
        <v>3451</v>
      </c>
    </row>
    <row r="3494" spans="2:2" x14ac:dyDescent="0.3">
      <c r="B3494" s="84" t="s">
        <v>3462</v>
      </c>
    </row>
    <row r="3495" spans="2:2" x14ac:dyDescent="0.3">
      <c r="B3495" s="84" t="s">
        <v>3441</v>
      </c>
    </row>
    <row r="3496" spans="2:2" x14ac:dyDescent="0.3">
      <c r="B3496" s="84" t="s">
        <v>3452</v>
      </c>
    </row>
    <row r="3497" spans="2:2" x14ac:dyDescent="0.3">
      <c r="B3497" s="84" t="s">
        <v>3442</v>
      </c>
    </row>
    <row r="3498" spans="2:2" x14ac:dyDescent="0.3">
      <c r="B3498" s="84" t="s">
        <v>3453</v>
      </c>
    </row>
    <row r="3499" spans="2:2" x14ac:dyDescent="0.3">
      <c r="B3499" s="84" t="s">
        <v>3443</v>
      </c>
    </row>
    <row r="3500" spans="2:2" x14ac:dyDescent="0.3">
      <c r="B3500" s="84" t="s">
        <v>3454</v>
      </c>
    </row>
    <row r="3501" spans="2:2" x14ac:dyDescent="0.3">
      <c r="B3501" s="84" t="s">
        <v>3444</v>
      </c>
    </row>
    <row r="3502" spans="2:2" x14ac:dyDescent="0.3">
      <c r="B3502" s="84" t="s">
        <v>3455</v>
      </c>
    </row>
    <row r="3503" spans="2:2" x14ac:dyDescent="0.3">
      <c r="B3503" s="84" t="s">
        <v>3445</v>
      </c>
    </row>
    <row r="3504" spans="2:2" x14ac:dyDescent="0.3">
      <c r="B3504" s="84" t="s">
        <v>3456</v>
      </c>
    </row>
    <row r="3505" spans="2:2" x14ac:dyDescent="0.3">
      <c r="B3505" s="84" t="s">
        <v>3446</v>
      </c>
    </row>
    <row r="3506" spans="2:2" x14ac:dyDescent="0.3">
      <c r="B3506" s="84" t="s">
        <v>3457</v>
      </c>
    </row>
    <row r="3507" spans="2:2" x14ac:dyDescent="0.3">
      <c r="B3507" s="84" t="s">
        <v>3447</v>
      </c>
    </row>
    <row r="3508" spans="2:2" x14ac:dyDescent="0.3">
      <c r="B3508" s="84" t="s">
        <v>3458</v>
      </c>
    </row>
    <row r="3509" spans="2:2" x14ac:dyDescent="0.3">
      <c r="B3509" s="84" t="s">
        <v>3423</v>
      </c>
    </row>
    <row r="3510" spans="2:2" x14ac:dyDescent="0.3">
      <c r="B3510" s="84" t="s">
        <v>3434</v>
      </c>
    </row>
    <row r="3511" spans="2:2" x14ac:dyDescent="0.3">
      <c r="B3511" s="84" t="s">
        <v>3424</v>
      </c>
    </row>
    <row r="3512" spans="2:2" x14ac:dyDescent="0.3">
      <c r="B3512" s="84" t="s">
        <v>3435</v>
      </c>
    </row>
    <row r="3513" spans="2:2" x14ac:dyDescent="0.3">
      <c r="B3513" s="84" t="s">
        <v>3413</v>
      </c>
    </row>
    <row r="3514" spans="2:2" x14ac:dyDescent="0.3">
      <c r="B3514" s="84" t="s">
        <v>3414</v>
      </c>
    </row>
    <row r="3515" spans="2:2" x14ac:dyDescent="0.3">
      <c r="B3515" s="84" t="s">
        <v>3425</v>
      </c>
    </row>
    <row r="3516" spans="2:2" x14ac:dyDescent="0.3">
      <c r="B3516" s="84" t="s">
        <v>3436</v>
      </c>
    </row>
    <row r="3517" spans="2:2" x14ac:dyDescent="0.3">
      <c r="B3517" s="84" t="s">
        <v>3415</v>
      </c>
    </row>
    <row r="3518" spans="2:2" x14ac:dyDescent="0.3">
      <c r="B3518" s="84" t="s">
        <v>3426</v>
      </c>
    </row>
    <row r="3519" spans="2:2" x14ac:dyDescent="0.3">
      <c r="B3519" s="84" t="s">
        <v>3437</v>
      </c>
    </row>
    <row r="3520" spans="2:2" x14ac:dyDescent="0.3">
      <c r="B3520" s="84" t="s">
        <v>3416</v>
      </c>
    </row>
    <row r="3521" spans="2:2" x14ac:dyDescent="0.3">
      <c r="B3521" s="84" t="s">
        <v>3427</v>
      </c>
    </row>
    <row r="3522" spans="2:2" x14ac:dyDescent="0.3">
      <c r="B3522" s="84" t="s">
        <v>3417</v>
      </c>
    </row>
    <row r="3523" spans="2:2" x14ac:dyDescent="0.3">
      <c r="B3523" s="84" t="s">
        <v>3428</v>
      </c>
    </row>
    <row r="3524" spans="2:2" x14ac:dyDescent="0.3">
      <c r="B3524" s="84" t="s">
        <v>3418</v>
      </c>
    </row>
    <row r="3525" spans="2:2" x14ac:dyDescent="0.3">
      <c r="B3525" s="84" t="s">
        <v>3429</v>
      </c>
    </row>
    <row r="3526" spans="2:2" x14ac:dyDescent="0.3">
      <c r="B3526" s="84" t="s">
        <v>3419</v>
      </c>
    </row>
    <row r="3527" spans="2:2" x14ac:dyDescent="0.3">
      <c r="B3527" s="84" t="s">
        <v>3430</v>
      </c>
    </row>
    <row r="3528" spans="2:2" x14ac:dyDescent="0.3">
      <c r="B3528" s="84" t="s">
        <v>3420</v>
      </c>
    </row>
    <row r="3529" spans="2:2" x14ac:dyDescent="0.3">
      <c r="B3529" s="84" t="s">
        <v>3431</v>
      </c>
    </row>
    <row r="3530" spans="2:2" x14ac:dyDescent="0.3">
      <c r="B3530" s="84" t="s">
        <v>3421</v>
      </c>
    </row>
    <row r="3531" spans="2:2" x14ac:dyDescent="0.3">
      <c r="B3531" s="84" t="s">
        <v>3432</v>
      </c>
    </row>
    <row r="3532" spans="2:2" x14ac:dyDescent="0.3">
      <c r="B3532" s="84" t="s">
        <v>3422</v>
      </c>
    </row>
    <row r="3533" spans="2:2" x14ac:dyDescent="0.3">
      <c r="B3533" s="84" t="s">
        <v>3433</v>
      </c>
    </row>
    <row r="3534" spans="2:2" x14ac:dyDescent="0.3">
      <c r="B3534" s="84" t="s">
        <v>3248</v>
      </c>
    </row>
    <row r="3535" spans="2:2" x14ac:dyDescent="0.3">
      <c r="B3535" s="84" t="s">
        <v>3259</v>
      </c>
    </row>
    <row r="3536" spans="2:2" x14ac:dyDescent="0.3">
      <c r="B3536" s="84" t="s">
        <v>3249</v>
      </c>
    </row>
    <row r="3537" spans="2:2" x14ac:dyDescent="0.3">
      <c r="B3537" s="84" t="s">
        <v>3260</v>
      </c>
    </row>
    <row r="3538" spans="2:2" x14ac:dyDescent="0.3">
      <c r="B3538" s="84" t="s">
        <v>3238</v>
      </c>
    </row>
    <row r="3539" spans="2:2" x14ac:dyDescent="0.3">
      <c r="B3539" s="84" t="s">
        <v>3239</v>
      </c>
    </row>
    <row r="3540" spans="2:2" x14ac:dyDescent="0.3">
      <c r="B3540" s="84" t="s">
        <v>3250</v>
      </c>
    </row>
    <row r="3541" spans="2:2" x14ac:dyDescent="0.3">
      <c r="B3541" s="84" t="s">
        <v>3261</v>
      </c>
    </row>
    <row r="3542" spans="2:2" x14ac:dyDescent="0.3">
      <c r="B3542" s="84" t="s">
        <v>3240</v>
      </c>
    </row>
    <row r="3543" spans="2:2" x14ac:dyDescent="0.3">
      <c r="B3543" s="84" t="s">
        <v>3251</v>
      </c>
    </row>
    <row r="3544" spans="2:2" x14ac:dyDescent="0.3">
      <c r="B3544" s="84" t="s">
        <v>3262</v>
      </c>
    </row>
    <row r="3545" spans="2:2" x14ac:dyDescent="0.3">
      <c r="B3545" s="84" t="s">
        <v>3241</v>
      </c>
    </row>
    <row r="3546" spans="2:2" x14ac:dyDescent="0.3">
      <c r="B3546" s="84" t="s">
        <v>3252</v>
      </c>
    </row>
    <row r="3547" spans="2:2" x14ac:dyDescent="0.3">
      <c r="B3547" s="84" t="s">
        <v>3242</v>
      </c>
    </row>
    <row r="3548" spans="2:2" x14ac:dyDescent="0.3">
      <c r="B3548" s="84" t="s">
        <v>3253</v>
      </c>
    </row>
    <row r="3549" spans="2:2" x14ac:dyDescent="0.3">
      <c r="B3549" s="84" t="s">
        <v>3243</v>
      </c>
    </row>
    <row r="3550" spans="2:2" x14ac:dyDescent="0.3">
      <c r="B3550" s="84" t="s">
        <v>3254</v>
      </c>
    </row>
    <row r="3551" spans="2:2" x14ac:dyDescent="0.3">
      <c r="B3551" s="84" t="s">
        <v>3244</v>
      </c>
    </row>
    <row r="3552" spans="2:2" x14ac:dyDescent="0.3">
      <c r="B3552" s="84" t="s">
        <v>3255</v>
      </c>
    </row>
    <row r="3553" spans="2:2" x14ac:dyDescent="0.3">
      <c r="B3553" s="84" t="s">
        <v>3245</v>
      </c>
    </row>
    <row r="3554" spans="2:2" x14ac:dyDescent="0.3">
      <c r="B3554" s="84" t="s">
        <v>3256</v>
      </c>
    </row>
    <row r="3555" spans="2:2" x14ac:dyDescent="0.3">
      <c r="B3555" s="84" t="s">
        <v>3246</v>
      </c>
    </row>
    <row r="3556" spans="2:2" x14ac:dyDescent="0.3">
      <c r="B3556" s="84" t="s">
        <v>3257</v>
      </c>
    </row>
    <row r="3557" spans="2:2" x14ac:dyDescent="0.3">
      <c r="B3557" s="84" t="s">
        <v>3247</v>
      </c>
    </row>
    <row r="3558" spans="2:2" x14ac:dyDescent="0.3">
      <c r="B3558" s="84" t="s">
        <v>3258</v>
      </c>
    </row>
    <row r="3559" spans="2:2" x14ac:dyDescent="0.3">
      <c r="B3559" s="84" t="s">
        <v>3473</v>
      </c>
    </row>
    <row r="3560" spans="2:2" x14ac:dyDescent="0.3">
      <c r="B3560" s="84" t="s">
        <v>3484</v>
      </c>
    </row>
    <row r="3561" spans="2:2" x14ac:dyDescent="0.3">
      <c r="B3561" s="84" t="s">
        <v>3474</v>
      </c>
    </row>
    <row r="3562" spans="2:2" x14ac:dyDescent="0.3">
      <c r="B3562" s="84" t="s">
        <v>3485</v>
      </c>
    </row>
    <row r="3563" spans="2:2" x14ac:dyDescent="0.3">
      <c r="B3563" s="84" t="s">
        <v>3463</v>
      </c>
    </row>
    <row r="3564" spans="2:2" x14ac:dyDescent="0.3">
      <c r="B3564" s="84" t="s">
        <v>3464</v>
      </c>
    </row>
    <row r="3565" spans="2:2" x14ac:dyDescent="0.3">
      <c r="B3565" s="84" t="s">
        <v>3475</v>
      </c>
    </row>
    <row r="3566" spans="2:2" x14ac:dyDescent="0.3">
      <c r="B3566" s="84" t="s">
        <v>3486</v>
      </c>
    </row>
    <row r="3567" spans="2:2" x14ac:dyDescent="0.3">
      <c r="B3567" s="84" t="s">
        <v>3465</v>
      </c>
    </row>
    <row r="3568" spans="2:2" x14ac:dyDescent="0.3">
      <c r="B3568" s="84" t="s">
        <v>3476</v>
      </c>
    </row>
    <row r="3569" spans="2:2" x14ac:dyDescent="0.3">
      <c r="B3569" s="84" t="s">
        <v>3487</v>
      </c>
    </row>
    <row r="3570" spans="2:2" x14ac:dyDescent="0.3">
      <c r="B3570" s="84" t="s">
        <v>3466</v>
      </c>
    </row>
    <row r="3571" spans="2:2" x14ac:dyDescent="0.3">
      <c r="B3571" s="84" t="s">
        <v>3477</v>
      </c>
    </row>
    <row r="3572" spans="2:2" x14ac:dyDescent="0.3">
      <c r="B3572" s="84" t="s">
        <v>3467</v>
      </c>
    </row>
    <row r="3573" spans="2:2" x14ac:dyDescent="0.3">
      <c r="B3573" s="84" t="s">
        <v>3478</v>
      </c>
    </row>
    <row r="3574" spans="2:2" x14ac:dyDescent="0.3">
      <c r="B3574" s="84" t="s">
        <v>3468</v>
      </c>
    </row>
    <row r="3575" spans="2:2" x14ac:dyDescent="0.3">
      <c r="B3575" s="84" t="s">
        <v>3479</v>
      </c>
    </row>
    <row r="3576" spans="2:2" x14ac:dyDescent="0.3">
      <c r="B3576" s="84" t="s">
        <v>3469</v>
      </c>
    </row>
    <row r="3577" spans="2:2" x14ac:dyDescent="0.3">
      <c r="B3577" s="84" t="s">
        <v>3480</v>
      </c>
    </row>
    <row r="3578" spans="2:2" x14ac:dyDescent="0.3">
      <c r="B3578" s="84" t="s">
        <v>3470</v>
      </c>
    </row>
    <row r="3579" spans="2:2" x14ac:dyDescent="0.3">
      <c r="B3579" s="84" t="s">
        <v>3481</v>
      </c>
    </row>
    <row r="3580" spans="2:2" x14ac:dyDescent="0.3">
      <c r="B3580" s="84" t="s">
        <v>3471</v>
      </c>
    </row>
    <row r="3581" spans="2:2" x14ac:dyDescent="0.3">
      <c r="B3581" s="84" t="s">
        <v>3482</v>
      </c>
    </row>
    <row r="3582" spans="2:2" x14ac:dyDescent="0.3">
      <c r="B3582" s="84" t="s">
        <v>3472</v>
      </c>
    </row>
    <row r="3583" spans="2:2" x14ac:dyDescent="0.3">
      <c r="B3583" s="84" t="s">
        <v>3483</v>
      </c>
    </row>
    <row r="3584" spans="2:2" x14ac:dyDescent="0.3">
      <c r="B3584" s="84" t="s">
        <v>3498</v>
      </c>
    </row>
    <row r="3585" spans="2:2" x14ac:dyDescent="0.3">
      <c r="B3585" s="84" t="s">
        <v>3509</v>
      </c>
    </row>
    <row r="3586" spans="2:2" x14ac:dyDescent="0.3">
      <c r="B3586" s="84" t="s">
        <v>3499</v>
      </c>
    </row>
    <row r="3587" spans="2:2" x14ac:dyDescent="0.3">
      <c r="B3587" s="84" t="s">
        <v>3510</v>
      </c>
    </row>
    <row r="3588" spans="2:2" x14ac:dyDescent="0.3">
      <c r="B3588" s="84" t="s">
        <v>3488</v>
      </c>
    </row>
    <row r="3589" spans="2:2" x14ac:dyDescent="0.3">
      <c r="B3589" s="84" t="s">
        <v>3489</v>
      </c>
    </row>
    <row r="3590" spans="2:2" x14ac:dyDescent="0.3">
      <c r="B3590" s="84" t="s">
        <v>3500</v>
      </c>
    </row>
    <row r="3591" spans="2:2" x14ac:dyDescent="0.3">
      <c r="B3591" s="84" t="s">
        <v>3511</v>
      </c>
    </row>
    <row r="3592" spans="2:2" x14ac:dyDescent="0.3">
      <c r="B3592" s="84" t="s">
        <v>3490</v>
      </c>
    </row>
    <row r="3593" spans="2:2" x14ac:dyDescent="0.3">
      <c r="B3593" s="84" t="s">
        <v>3501</v>
      </c>
    </row>
    <row r="3594" spans="2:2" x14ac:dyDescent="0.3">
      <c r="B3594" s="84" t="s">
        <v>3512</v>
      </c>
    </row>
    <row r="3595" spans="2:2" x14ac:dyDescent="0.3">
      <c r="B3595" s="84" t="s">
        <v>3491</v>
      </c>
    </row>
    <row r="3596" spans="2:2" x14ac:dyDescent="0.3">
      <c r="B3596" s="84" t="s">
        <v>3502</v>
      </c>
    </row>
    <row r="3597" spans="2:2" x14ac:dyDescent="0.3">
      <c r="B3597" s="84" t="s">
        <v>3492</v>
      </c>
    </row>
    <row r="3598" spans="2:2" x14ac:dyDescent="0.3">
      <c r="B3598" s="84" t="s">
        <v>3503</v>
      </c>
    </row>
    <row r="3599" spans="2:2" x14ac:dyDescent="0.3">
      <c r="B3599" s="84" t="s">
        <v>3493</v>
      </c>
    </row>
    <row r="3600" spans="2:2" x14ac:dyDescent="0.3">
      <c r="B3600" s="84" t="s">
        <v>3504</v>
      </c>
    </row>
    <row r="3601" spans="2:2" x14ac:dyDescent="0.3">
      <c r="B3601" s="84" t="s">
        <v>3494</v>
      </c>
    </row>
    <row r="3602" spans="2:2" x14ac:dyDescent="0.3">
      <c r="B3602" s="84" t="s">
        <v>3505</v>
      </c>
    </row>
    <row r="3603" spans="2:2" x14ac:dyDescent="0.3">
      <c r="B3603" s="84" t="s">
        <v>3495</v>
      </c>
    </row>
    <row r="3604" spans="2:2" x14ac:dyDescent="0.3">
      <c r="B3604" s="84" t="s">
        <v>3506</v>
      </c>
    </row>
    <row r="3605" spans="2:2" x14ac:dyDescent="0.3">
      <c r="B3605" s="84" t="s">
        <v>3496</v>
      </c>
    </row>
    <row r="3606" spans="2:2" x14ac:dyDescent="0.3">
      <c r="B3606" s="84" t="s">
        <v>3507</v>
      </c>
    </row>
    <row r="3607" spans="2:2" x14ac:dyDescent="0.3">
      <c r="B3607" s="84" t="s">
        <v>3497</v>
      </c>
    </row>
    <row r="3608" spans="2:2" x14ac:dyDescent="0.3">
      <c r="B3608" s="84" t="s">
        <v>3508</v>
      </c>
    </row>
    <row r="3609" spans="2:2" x14ac:dyDescent="0.3">
      <c r="B3609" s="84" t="s">
        <v>3923</v>
      </c>
    </row>
    <row r="3610" spans="2:2" x14ac:dyDescent="0.3">
      <c r="B3610" s="84" t="s">
        <v>3934</v>
      </c>
    </row>
    <row r="3611" spans="2:2" x14ac:dyDescent="0.3">
      <c r="B3611" s="84" t="s">
        <v>3924</v>
      </c>
    </row>
    <row r="3612" spans="2:2" x14ac:dyDescent="0.3">
      <c r="B3612" s="84" t="s">
        <v>3935</v>
      </c>
    </row>
    <row r="3613" spans="2:2" x14ac:dyDescent="0.3">
      <c r="B3613" s="84" t="s">
        <v>3913</v>
      </c>
    </row>
    <row r="3614" spans="2:2" x14ac:dyDescent="0.3">
      <c r="B3614" s="84" t="s">
        <v>3914</v>
      </c>
    </row>
    <row r="3615" spans="2:2" x14ac:dyDescent="0.3">
      <c r="B3615" s="84" t="s">
        <v>3925</v>
      </c>
    </row>
    <row r="3616" spans="2:2" x14ac:dyDescent="0.3">
      <c r="B3616" s="84" t="s">
        <v>3936</v>
      </c>
    </row>
    <row r="3617" spans="2:2" x14ac:dyDescent="0.3">
      <c r="B3617" s="84" t="s">
        <v>3915</v>
      </c>
    </row>
    <row r="3618" spans="2:2" x14ac:dyDescent="0.3">
      <c r="B3618" s="84" t="s">
        <v>3926</v>
      </c>
    </row>
    <row r="3619" spans="2:2" x14ac:dyDescent="0.3">
      <c r="B3619" s="84" t="s">
        <v>3937</v>
      </c>
    </row>
    <row r="3620" spans="2:2" x14ac:dyDescent="0.3">
      <c r="B3620" s="84" t="s">
        <v>3916</v>
      </c>
    </row>
    <row r="3621" spans="2:2" x14ac:dyDescent="0.3">
      <c r="B3621" s="84" t="s">
        <v>3927</v>
      </c>
    </row>
    <row r="3622" spans="2:2" x14ac:dyDescent="0.3">
      <c r="B3622" s="84" t="s">
        <v>3917</v>
      </c>
    </row>
    <row r="3623" spans="2:2" x14ac:dyDescent="0.3">
      <c r="B3623" s="84" t="s">
        <v>3928</v>
      </c>
    </row>
    <row r="3624" spans="2:2" x14ac:dyDescent="0.3">
      <c r="B3624" s="84" t="s">
        <v>3918</v>
      </c>
    </row>
    <row r="3625" spans="2:2" x14ac:dyDescent="0.3">
      <c r="B3625" s="84" t="s">
        <v>3929</v>
      </c>
    </row>
    <row r="3626" spans="2:2" x14ac:dyDescent="0.3">
      <c r="B3626" s="84" t="s">
        <v>3919</v>
      </c>
    </row>
    <row r="3627" spans="2:2" x14ac:dyDescent="0.3">
      <c r="B3627" s="84" t="s">
        <v>3930</v>
      </c>
    </row>
    <row r="3628" spans="2:2" x14ac:dyDescent="0.3">
      <c r="B3628" s="84" t="s">
        <v>3920</v>
      </c>
    </row>
    <row r="3629" spans="2:2" x14ac:dyDescent="0.3">
      <c r="B3629" s="84" t="s">
        <v>3931</v>
      </c>
    </row>
    <row r="3630" spans="2:2" x14ac:dyDescent="0.3">
      <c r="B3630" s="84" t="s">
        <v>3921</v>
      </c>
    </row>
    <row r="3631" spans="2:2" x14ac:dyDescent="0.3">
      <c r="B3631" s="84" t="s">
        <v>3932</v>
      </c>
    </row>
    <row r="3632" spans="2:2" x14ac:dyDescent="0.3">
      <c r="B3632" s="84" t="s">
        <v>3922</v>
      </c>
    </row>
    <row r="3633" spans="2:2" x14ac:dyDescent="0.3">
      <c r="B3633" s="84" t="s">
        <v>3933</v>
      </c>
    </row>
    <row r="3634" spans="2:2" x14ac:dyDescent="0.3">
      <c r="B3634" s="84" t="s">
        <v>4423</v>
      </c>
    </row>
    <row r="3635" spans="2:2" x14ac:dyDescent="0.3">
      <c r="B3635" s="84" t="s">
        <v>4434</v>
      </c>
    </row>
    <row r="3636" spans="2:2" x14ac:dyDescent="0.3">
      <c r="B3636" s="84" t="s">
        <v>4424</v>
      </c>
    </row>
    <row r="3637" spans="2:2" x14ac:dyDescent="0.3">
      <c r="B3637" s="84" t="s">
        <v>4435</v>
      </c>
    </row>
    <row r="3638" spans="2:2" x14ac:dyDescent="0.3">
      <c r="B3638" s="84" t="s">
        <v>4413</v>
      </c>
    </row>
    <row r="3639" spans="2:2" x14ac:dyDescent="0.3">
      <c r="B3639" s="84" t="s">
        <v>4414</v>
      </c>
    </row>
    <row r="3640" spans="2:2" x14ac:dyDescent="0.3">
      <c r="B3640" s="84" t="s">
        <v>4425</v>
      </c>
    </row>
    <row r="3641" spans="2:2" x14ac:dyDescent="0.3">
      <c r="B3641" s="84" t="s">
        <v>4436</v>
      </c>
    </row>
    <row r="3642" spans="2:2" x14ac:dyDescent="0.3">
      <c r="B3642" s="84" t="s">
        <v>4415</v>
      </c>
    </row>
    <row r="3643" spans="2:2" x14ac:dyDescent="0.3">
      <c r="B3643" s="84" t="s">
        <v>4426</v>
      </c>
    </row>
    <row r="3644" spans="2:2" x14ac:dyDescent="0.3">
      <c r="B3644" s="84" t="s">
        <v>4437</v>
      </c>
    </row>
    <row r="3645" spans="2:2" x14ac:dyDescent="0.3">
      <c r="B3645" s="84" t="s">
        <v>4416</v>
      </c>
    </row>
    <row r="3646" spans="2:2" x14ac:dyDescent="0.3">
      <c r="B3646" s="84" t="s">
        <v>4427</v>
      </c>
    </row>
    <row r="3647" spans="2:2" x14ac:dyDescent="0.3">
      <c r="B3647" s="84" t="s">
        <v>4417</v>
      </c>
    </row>
    <row r="3648" spans="2:2" x14ac:dyDescent="0.3">
      <c r="B3648" s="84" t="s">
        <v>4428</v>
      </c>
    </row>
    <row r="3649" spans="2:2" x14ac:dyDescent="0.3">
      <c r="B3649" s="84" t="s">
        <v>4418</v>
      </c>
    </row>
    <row r="3650" spans="2:2" x14ac:dyDescent="0.3">
      <c r="B3650" s="84" t="s">
        <v>4429</v>
      </c>
    </row>
    <row r="3651" spans="2:2" x14ac:dyDescent="0.3">
      <c r="B3651" s="84" t="s">
        <v>4419</v>
      </c>
    </row>
    <row r="3652" spans="2:2" x14ac:dyDescent="0.3">
      <c r="B3652" s="84" t="s">
        <v>4430</v>
      </c>
    </row>
    <row r="3653" spans="2:2" x14ac:dyDescent="0.3">
      <c r="B3653" s="84" t="s">
        <v>4420</v>
      </c>
    </row>
    <row r="3654" spans="2:2" x14ac:dyDescent="0.3">
      <c r="B3654" s="84" t="s">
        <v>4431</v>
      </c>
    </row>
    <row r="3655" spans="2:2" x14ac:dyDescent="0.3">
      <c r="B3655" s="84" t="s">
        <v>4421</v>
      </c>
    </row>
    <row r="3656" spans="2:2" x14ac:dyDescent="0.3">
      <c r="B3656" s="84" t="s">
        <v>4432</v>
      </c>
    </row>
    <row r="3657" spans="2:2" x14ac:dyDescent="0.3">
      <c r="B3657" s="84" t="s">
        <v>4422</v>
      </c>
    </row>
    <row r="3658" spans="2:2" x14ac:dyDescent="0.3">
      <c r="B3658" s="84" t="s">
        <v>4433</v>
      </c>
    </row>
    <row r="3659" spans="2:2" x14ac:dyDescent="0.3">
      <c r="B3659" s="84" t="s">
        <v>4348</v>
      </c>
    </row>
    <row r="3660" spans="2:2" x14ac:dyDescent="0.3">
      <c r="B3660" s="84" t="s">
        <v>4359</v>
      </c>
    </row>
    <row r="3661" spans="2:2" x14ac:dyDescent="0.3">
      <c r="B3661" s="84" t="s">
        <v>4349</v>
      </c>
    </row>
    <row r="3662" spans="2:2" x14ac:dyDescent="0.3">
      <c r="B3662" s="84" t="s">
        <v>4360</v>
      </c>
    </row>
    <row r="3663" spans="2:2" x14ac:dyDescent="0.3">
      <c r="B3663" s="84" t="s">
        <v>4338</v>
      </c>
    </row>
    <row r="3664" spans="2:2" x14ac:dyDescent="0.3">
      <c r="B3664" s="84" t="s">
        <v>4339</v>
      </c>
    </row>
    <row r="3665" spans="2:2" x14ac:dyDescent="0.3">
      <c r="B3665" s="84" t="s">
        <v>4350</v>
      </c>
    </row>
    <row r="3666" spans="2:2" x14ac:dyDescent="0.3">
      <c r="B3666" s="84" t="s">
        <v>4361</v>
      </c>
    </row>
    <row r="3667" spans="2:2" x14ac:dyDescent="0.3">
      <c r="B3667" s="84" t="s">
        <v>4340</v>
      </c>
    </row>
    <row r="3668" spans="2:2" x14ac:dyDescent="0.3">
      <c r="B3668" s="84" t="s">
        <v>4351</v>
      </c>
    </row>
    <row r="3669" spans="2:2" x14ac:dyDescent="0.3">
      <c r="B3669" s="84" t="s">
        <v>4362</v>
      </c>
    </row>
    <row r="3670" spans="2:2" x14ac:dyDescent="0.3">
      <c r="B3670" s="84" t="s">
        <v>4341</v>
      </c>
    </row>
    <row r="3671" spans="2:2" x14ac:dyDescent="0.3">
      <c r="B3671" s="84" t="s">
        <v>4352</v>
      </c>
    </row>
    <row r="3672" spans="2:2" x14ac:dyDescent="0.3">
      <c r="B3672" s="84" t="s">
        <v>4342</v>
      </c>
    </row>
    <row r="3673" spans="2:2" x14ac:dyDescent="0.3">
      <c r="B3673" s="84" t="s">
        <v>4353</v>
      </c>
    </row>
    <row r="3674" spans="2:2" x14ac:dyDescent="0.3">
      <c r="B3674" s="84" t="s">
        <v>4343</v>
      </c>
    </row>
    <row r="3675" spans="2:2" x14ac:dyDescent="0.3">
      <c r="B3675" s="84" t="s">
        <v>4354</v>
      </c>
    </row>
    <row r="3676" spans="2:2" x14ac:dyDescent="0.3">
      <c r="B3676" s="84" t="s">
        <v>4344</v>
      </c>
    </row>
    <row r="3677" spans="2:2" x14ac:dyDescent="0.3">
      <c r="B3677" s="84" t="s">
        <v>4355</v>
      </c>
    </row>
    <row r="3678" spans="2:2" x14ac:dyDescent="0.3">
      <c r="B3678" s="84" t="s">
        <v>4345</v>
      </c>
    </row>
    <row r="3679" spans="2:2" x14ac:dyDescent="0.3">
      <c r="B3679" s="84" t="s">
        <v>4356</v>
      </c>
    </row>
    <row r="3680" spans="2:2" x14ac:dyDescent="0.3">
      <c r="B3680" s="84" t="s">
        <v>4346</v>
      </c>
    </row>
    <row r="3681" spans="2:2" x14ac:dyDescent="0.3">
      <c r="B3681" s="84" t="s">
        <v>4357</v>
      </c>
    </row>
    <row r="3682" spans="2:2" x14ac:dyDescent="0.3">
      <c r="B3682" s="84" t="s">
        <v>4347</v>
      </c>
    </row>
    <row r="3683" spans="2:2" x14ac:dyDescent="0.3">
      <c r="B3683" s="84" t="s">
        <v>4358</v>
      </c>
    </row>
    <row r="3684" spans="2:2" x14ac:dyDescent="0.3">
      <c r="B3684" s="84" t="s">
        <v>4098</v>
      </c>
    </row>
    <row r="3685" spans="2:2" x14ac:dyDescent="0.3">
      <c r="B3685" s="84" t="s">
        <v>4109</v>
      </c>
    </row>
    <row r="3686" spans="2:2" x14ac:dyDescent="0.3">
      <c r="B3686" s="84" t="s">
        <v>4099</v>
      </c>
    </row>
    <row r="3687" spans="2:2" x14ac:dyDescent="0.3">
      <c r="B3687" s="84" t="s">
        <v>4110</v>
      </c>
    </row>
    <row r="3688" spans="2:2" x14ac:dyDescent="0.3">
      <c r="B3688" s="84" t="s">
        <v>4088</v>
      </c>
    </row>
    <row r="3689" spans="2:2" x14ac:dyDescent="0.3">
      <c r="B3689" s="84" t="s">
        <v>4089</v>
      </c>
    </row>
    <row r="3690" spans="2:2" x14ac:dyDescent="0.3">
      <c r="B3690" s="84" t="s">
        <v>4100</v>
      </c>
    </row>
    <row r="3691" spans="2:2" x14ac:dyDescent="0.3">
      <c r="B3691" s="84" t="s">
        <v>4111</v>
      </c>
    </row>
    <row r="3692" spans="2:2" x14ac:dyDescent="0.3">
      <c r="B3692" s="84" t="s">
        <v>4090</v>
      </c>
    </row>
    <row r="3693" spans="2:2" x14ac:dyDescent="0.3">
      <c r="B3693" s="84" t="s">
        <v>4101</v>
      </c>
    </row>
    <row r="3694" spans="2:2" x14ac:dyDescent="0.3">
      <c r="B3694" s="84" t="s">
        <v>4112</v>
      </c>
    </row>
    <row r="3695" spans="2:2" x14ac:dyDescent="0.3">
      <c r="B3695" s="84" t="s">
        <v>4091</v>
      </c>
    </row>
    <row r="3696" spans="2:2" x14ac:dyDescent="0.3">
      <c r="B3696" s="84" t="s">
        <v>4102</v>
      </c>
    </row>
    <row r="3697" spans="2:2" x14ac:dyDescent="0.3">
      <c r="B3697" s="84" t="s">
        <v>4092</v>
      </c>
    </row>
    <row r="3698" spans="2:2" x14ac:dyDescent="0.3">
      <c r="B3698" s="84" t="s">
        <v>4103</v>
      </c>
    </row>
    <row r="3699" spans="2:2" x14ac:dyDescent="0.3">
      <c r="B3699" s="84" t="s">
        <v>4093</v>
      </c>
    </row>
    <row r="3700" spans="2:2" x14ac:dyDescent="0.3">
      <c r="B3700" s="84" t="s">
        <v>4104</v>
      </c>
    </row>
    <row r="3701" spans="2:2" x14ac:dyDescent="0.3">
      <c r="B3701" s="84" t="s">
        <v>4094</v>
      </c>
    </row>
    <row r="3702" spans="2:2" x14ac:dyDescent="0.3">
      <c r="B3702" s="84" t="s">
        <v>4105</v>
      </c>
    </row>
    <row r="3703" spans="2:2" x14ac:dyDescent="0.3">
      <c r="B3703" s="84" t="s">
        <v>4095</v>
      </c>
    </row>
    <row r="3704" spans="2:2" x14ac:dyDescent="0.3">
      <c r="B3704" s="84" t="s">
        <v>4106</v>
      </c>
    </row>
    <row r="3705" spans="2:2" x14ac:dyDescent="0.3">
      <c r="B3705" s="84" t="s">
        <v>4096</v>
      </c>
    </row>
    <row r="3706" spans="2:2" x14ac:dyDescent="0.3">
      <c r="B3706" s="84" t="s">
        <v>4107</v>
      </c>
    </row>
    <row r="3707" spans="2:2" x14ac:dyDescent="0.3">
      <c r="B3707" s="84" t="s">
        <v>4097</v>
      </c>
    </row>
    <row r="3708" spans="2:2" x14ac:dyDescent="0.3">
      <c r="B3708" s="84" t="s">
        <v>4108</v>
      </c>
    </row>
    <row r="3709" spans="2:2" x14ac:dyDescent="0.3">
      <c r="B3709" s="84" t="s">
        <v>4298</v>
      </c>
    </row>
    <row r="3710" spans="2:2" x14ac:dyDescent="0.3">
      <c r="B3710" s="84" t="s">
        <v>4309</v>
      </c>
    </row>
    <row r="3711" spans="2:2" x14ac:dyDescent="0.3">
      <c r="B3711" s="84" t="s">
        <v>4299</v>
      </c>
    </row>
    <row r="3712" spans="2:2" x14ac:dyDescent="0.3">
      <c r="B3712" s="84" t="s">
        <v>4310</v>
      </c>
    </row>
    <row r="3713" spans="2:2" x14ac:dyDescent="0.3">
      <c r="B3713" s="84" t="s">
        <v>4288</v>
      </c>
    </row>
    <row r="3714" spans="2:2" x14ac:dyDescent="0.3">
      <c r="B3714" s="84" t="s">
        <v>4289</v>
      </c>
    </row>
    <row r="3715" spans="2:2" x14ac:dyDescent="0.3">
      <c r="B3715" s="84" t="s">
        <v>4300</v>
      </c>
    </row>
    <row r="3716" spans="2:2" x14ac:dyDescent="0.3">
      <c r="B3716" s="84" t="s">
        <v>4311</v>
      </c>
    </row>
    <row r="3717" spans="2:2" x14ac:dyDescent="0.3">
      <c r="B3717" s="84" t="s">
        <v>4290</v>
      </c>
    </row>
    <row r="3718" spans="2:2" x14ac:dyDescent="0.3">
      <c r="B3718" s="84" t="s">
        <v>4301</v>
      </c>
    </row>
    <row r="3719" spans="2:2" x14ac:dyDescent="0.3">
      <c r="B3719" s="84" t="s">
        <v>4312</v>
      </c>
    </row>
    <row r="3720" spans="2:2" x14ac:dyDescent="0.3">
      <c r="B3720" s="84" t="s">
        <v>4291</v>
      </c>
    </row>
    <row r="3721" spans="2:2" x14ac:dyDescent="0.3">
      <c r="B3721" s="84" t="s">
        <v>4302</v>
      </c>
    </row>
    <row r="3722" spans="2:2" x14ac:dyDescent="0.3">
      <c r="B3722" s="84" t="s">
        <v>4292</v>
      </c>
    </row>
    <row r="3723" spans="2:2" x14ac:dyDescent="0.3">
      <c r="B3723" s="84" t="s">
        <v>4303</v>
      </c>
    </row>
    <row r="3724" spans="2:2" x14ac:dyDescent="0.3">
      <c r="B3724" s="84" t="s">
        <v>4293</v>
      </c>
    </row>
    <row r="3725" spans="2:2" x14ac:dyDescent="0.3">
      <c r="B3725" s="84" t="s">
        <v>4304</v>
      </c>
    </row>
    <row r="3726" spans="2:2" x14ac:dyDescent="0.3">
      <c r="B3726" s="84" t="s">
        <v>4294</v>
      </c>
    </row>
    <row r="3727" spans="2:2" x14ac:dyDescent="0.3">
      <c r="B3727" s="84" t="s">
        <v>4305</v>
      </c>
    </row>
    <row r="3728" spans="2:2" x14ac:dyDescent="0.3">
      <c r="B3728" s="84" t="s">
        <v>4295</v>
      </c>
    </row>
    <row r="3729" spans="2:2" x14ac:dyDescent="0.3">
      <c r="B3729" s="84" t="s">
        <v>4306</v>
      </c>
    </row>
    <row r="3730" spans="2:2" x14ac:dyDescent="0.3">
      <c r="B3730" s="84" t="s">
        <v>4296</v>
      </c>
    </row>
    <row r="3731" spans="2:2" x14ac:dyDescent="0.3">
      <c r="B3731" s="84" t="s">
        <v>4307</v>
      </c>
    </row>
    <row r="3732" spans="2:2" x14ac:dyDescent="0.3">
      <c r="B3732" s="84" t="s">
        <v>4297</v>
      </c>
    </row>
    <row r="3733" spans="2:2" x14ac:dyDescent="0.3">
      <c r="B3733" s="84" t="s">
        <v>4308</v>
      </c>
    </row>
    <row r="3734" spans="2:2" x14ac:dyDescent="0.3">
      <c r="B3734" s="84" t="s">
        <v>4073</v>
      </c>
    </row>
    <row r="3735" spans="2:2" x14ac:dyDescent="0.3">
      <c r="B3735" s="84" t="s">
        <v>4084</v>
      </c>
    </row>
    <row r="3736" spans="2:2" x14ac:dyDescent="0.3">
      <c r="B3736" s="84" t="s">
        <v>4074</v>
      </c>
    </row>
    <row r="3737" spans="2:2" x14ac:dyDescent="0.3">
      <c r="B3737" s="84" t="s">
        <v>4085</v>
      </c>
    </row>
    <row r="3738" spans="2:2" x14ac:dyDescent="0.3">
      <c r="B3738" s="84" t="s">
        <v>4063</v>
      </c>
    </row>
    <row r="3739" spans="2:2" x14ac:dyDescent="0.3">
      <c r="B3739" s="84" t="s">
        <v>4064</v>
      </c>
    </row>
    <row r="3740" spans="2:2" x14ac:dyDescent="0.3">
      <c r="B3740" s="84" t="s">
        <v>4075</v>
      </c>
    </row>
    <row r="3741" spans="2:2" x14ac:dyDescent="0.3">
      <c r="B3741" s="84" t="s">
        <v>4086</v>
      </c>
    </row>
    <row r="3742" spans="2:2" x14ac:dyDescent="0.3">
      <c r="B3742" s="84" t="s">
        <v>4065</v>
      </c>
    </row>
    <row r="3743" spans="2:2" x14ac:dyDescent="0.3">
      <c r="B3743" s="84" t="s">
        <v>4076</v>
      </c>
    </row>
    <row r="3744" spans="2:2" x14ac:dyDescent="0.3">
      <c r="B3744" s="84" t="s">
        <v>4087</v>
      </c>
    </row>
    <row r="3745" spans="2:2" x14ac:dyDescent="0.3">
      <c r="B3745" s="84" t="s">
        <v>4066</v>
      </c>
    </row>
    <row r="3746" spans="2:2" x14ac:dyDescent="0.3">
      <c r="B3746" s="84" t="s">
        <v>4077</v>
      </c>
    </row>
    <row r="3747" spans="2:2" x14ac:dyDescent="0.3">
      <c r="B3747" s="84" t="s">
        <v>4067</v>
      </c>
    </row>
    <row r="3748" spans="2:2" x14ac:dyDescent="0.3">
      <c r="B3748" s="84" t="s">
        <v>4078</v>
      </c>
    </row>
    <row r="3749" spans="2:2" x14ac:dyDescent="0.3">
      <c r="B3749" s="84" t="s">
        <v>4068</v>
      </c>
    </row>
    <row r="3750" spans="2:2" x14ac:dyDescent="0.3">
      <c r="B3750" s="84" t="s">
        <v>4079</v>
      </c>
    </row>
    <row r="3751" spans="2:2" x14ac:dyDescent="0.3">
      <c r="B3751" s="84" t="s">
        <v>4069</v>
      </c>
    </row>
    <row r="3752" spans="2:2" x14ac:dyDescent="0.3">
      <c r="B3752" s="84" t="s">
        <v>4080</v>
      </c>
    </row>
    <row r="3753" spans="2:2" x14ac:dyDescent="0.3">
      <c r="B3753" s="84" t="s">
        <v>4070</v>
      </c>
    </row>
    <row r="3754" spans="2:2" x14ac:dyDescent="0.3">
      <c r="B3754" s="84" t="s">
        <v>4081</v>
      </c>
    </row>
    <row r="3755" spans="2:2" x14ac:dyDescent="0.3">
      <c r="B3755" s="84" t="s">
        <v>4071</v>
      </c>
    </row>
    <row r="3756" spans="2:2" x14ac:dyDescent="0.3">
      <c r="B3756" s="84" t="s">
        <v>4082</v>
      </c>
    </row>
    <row r="3757" spans="2:2" x14ac:dyDescent="0.3">
      <c r="B3757" s="84" t="s">
        <v>4072</v>
      </c>
    </row>
    <row r="3758" spans="2:2" x14ac:dyDescent="0.3">
      <c r="B3758" s="84" t="s">
        <v>4083</v>
      </c>
    </row>
    <row r="3759" spans="2:2" x14ac:dyDescent="0.3">
      <c r="B3759" s="84" t="s">
        <v>4223</v>
      </c>
    </row>
    <row r="3760" spans="2:2" x14ac:dyDescent="0.3">
      <c r="B3760" s="84" t="s">
        <v>4234</v>
      </c>
    </row>
    <row r="3761" spans="2:2" x14ac:dyDescent="0.3">
      <c r="B3761" s="84" t="s">
        <v>4224</v>
      </c>
    </row>
    <row r="3762" spans="2:2" x14ac:dyDescent="0.3">
      <c r="B3762" s="84" t="s">
        <v>4235</v>
      </c>
    </row>
    <row r="3763" spans="2:2" x14ac:dyDescent="0.3">
      <c r="B3763" s="84" t="s">
        <v>4213</v>
      </c>
    </row>
    <row r="3764" spans="2:2" x14ac:dyDescent="0.3">
      <c r="B3764" s="84" t="s">
        <v>4214</v>
      </c>
    </row>
    <row r="3765" spans="2:2" x14ac:dyDescent="0.3">
      <c r="B3765" s="84" t="s">
        <v>4225</v>
      </c>
    </row>
    <row r="3766" spans="2:2" x14ac:dyDescent="0.3">
      <c r="B3766" s="84" t="s">
        <v>4236</v>
      </c>
    </row>
    <row r="3767" spans="2:2" x14ac:dyDescent="0.3">
      <c r="B3767" s="84" t="s">
        <v>4215</v>
      </c>
    </row>
    <row r="3768" spans="2:2" x14ac:dyDescent="0.3">
      <c r="B3768" s="84" t="s">
        <v>4226</v>
      </c>
    </row>
    <row r="3769" spans="2:2" x14ac:dyDescent="0.3">
      <c r="B3769" s="84" t="s">
        <v>4237</v>
      </c>
    </row>
    <row r="3770" spans="2:2" x14ac:dyDescent="0.3">
      <c r="B3770" s="84" t="s">
        <v>4216</v>
      </c>
    </row>
    <row r="3771" spans="2:2" x14ac:dyDescent="0.3">
      <c r="B3771" s="84" t="s">
        <v>4227</v>
      </c>
    </row>
    <row r="3772" spans="2:2" x14ac:dyDescent="0.3">
      <c r="B3772" s="84" t="s">
        <v>4217</v>
      </c>
    </row>
    <row r="3773" spans="2:2" x14ac:dyDescent="0.3">
      <c r="B3773" s="84" t="s">
        <v>4228</v>
      </c>
    </row>
    <row r="3774" spans="2:2" x14ac:dyDescent="0.3">
      <c r="B3774" s="84" t="s">
        <v>4218</v>
      </c>
    </row>
    <row r="3775" spans="2:2" x14ac:dyDescent="0.3">
      <c r="B3775" s="84" t="s">
        <v>4229</v>
      </c>
    </row>
    <row r="3776" spans="2:2" x14ac:dyDescent="0.3">
      <c r="B3776" s="84" t="s">
        <v>4219</v>
      </c>
    </row>
    <row r="3777" spans="2:2" x14ac:dyDescent="0.3">
      <c r="B3777" s="84" t="s">
        <v>4230</v>
      </c>
    </row>
    <row r="3778" spans="2:2" x14ac:dyDescent="0.3">
      <c r="B3778" s="84" t="s">
        <v>4220</v>
      </c>
    </row>
    <row r="3779" spans="2:2" x14ac:dyDescent="0.3">
      <c r="B3779" s="84" t="s">
        <v>4231</v>
      </c>
    </row>
    <row r="3780" spans="2:2" x14ac:dyDescent="0.3">
      <c r="B3780" s="84" t="s">
        <v>4221</v>
      </c>
    </row>
    <row r="3781" spans="2:2" x14ac:dyDescent="0.3">
      <c r="B3781" s="84" t="s">
        <v>4232</v>
      </c>
    </row>
    <row r="3782" spans="2:2" x14ac:dyDescent="0.3">
      <c r="B3782" s="84" t="s">
        <v>4222</v>
      </c>
    </row>
    <row r="3783" spans="2:2" x14ac:dyDescent="0.3">
      <c r="B3783" s="84" t="s">
        <v>4233</v>
      </c>
    </row>
    <row r="3784" spans="2:2" x14ac:dyDescent="0.3">
      <c r="B3784" s="84" t="s">
        <v>4248</v>
      </c>
    </row>
    <row r="3785" spans="2:2" x14ac:dyDescent="0.3">
      <c r="B3785" s="84" t="s">
        <v>4259</v>
      </c>
    </row>
    <row r="3786" spans="2:2" x14ac:dyDescent="0.3">
      <c r="B3786" s="84" t="s">
        <v>4249</v>
      </c>
    </row>
    <row r="3787" spans="2:2" x14ac:dyDescent="0.3">
      <c r="B3787" s="84" t="s">
        <v>4260</v>
      </c>
    </row>
    <row r="3788" spans="2:2" x14ac:dyDescent="0.3">
      <c r="B3788" s="84" t="s">
        <v>4238</v>
      </c>
    </row>
    <row r="3789" spans="2:2" x14ac:dyDescent="0.3">
      <c r="B3789" s="84" t="s">
        <v>4239</v>
      </c>
    </row>
    <row r="3790" spans="2:2" x14ac:dyDescent="0.3">
      <c r="B3790" s="84" t="s">
        <v>4250</v>
      </c>
    </row>
    <row r="3791" spans="2:2" x14ac:dyDescent="0.3">
      <c r="B3791" s="84" t="s">
        <v>4261</v>
      </c>
    </row>
    <row r="3792" spans="2:2" x14ac:dyDescent="0.3">
      <c r="B3792" s="84" t="s">
        <v>4240</v>
      </c>
    </row>
    <row r="3793" spans="2:2" x14ac:dyDescent="0.3">
      <c r="B3793" s="84" t="s">
        <v>4251</v>
      </c>
    </row>
    <row r="3794" spans="2:2" x14ac:dyDescent="0.3">
      <c r="B3794" s="84" t="s">
        <v>4262</v>
      </c>
    </row>
    <row r="3795" spans="2:2" x14ac:dyDescent="0.3">
      <c r="B3795" s="84" t="s">
        <v>4241</v>
      </c>
    </row>
    <row r="3796" spans="2:2" x14ac:dyDescent="0.3">
      <c r="B3796" s="84" t="s">
        <v>4252</v>
      </c>
    </row>
    <row r="3797" spans="2:2" x14ac:dyDescent="0.3">
      <c r="B3797" s="84" t="s">
        <v>4242</v>
      </c>
    </row>
    <row r="3798" spans="2:2" x14ac:dyDescent="0.3">
      <c r="B3798" s="84" t="s">
        <v>4253</v>
      </c>
    </row>
    <row r="3799" spans="2:2" x14ac:dyDescent="0.3">
      <c r="B3799" s="84" t="s">
        <v>4243</v>
      </c>
    </row>
    <row r="3800" spans="2:2" x14ac:dyDescent="0.3">
      <c r="B3800" s="84" t="s">
        <v>4254</v>
      </c>
    </row>
    <row r="3801" spans="2:2" x14ac:dyDescent="0.3">
      <c r="B3801" s="84" t="s">
        <v>4244</v>
      </c>
    </row>
    <row r="3802" spans="2:2" x14ac:dyDescent="0.3">
      <c r="B3802" s="84" t="s">
        <v>4255</v>
      </c>
    </row>
    <row r="3803" spans="2:2" x14ac:dyDescent="0.3">
      <c r="B3803" s="84" t="s">
        <v>4245</v>
      </c>
    </row>
    <row r="3804" spans="2:2" x14ac:dyDescent="0.3">
      <c r="B3804" s="84" t="s">
        <v>4256</v>
      </c>
    </row>
    <row r="3805" spans="2:2" x14ac:dyDescent="0.3">
      <c r="B3805" s="84" t="s">
        <v>4246</v>
      </c>
    </row>
    <row r="3806" spans="2:2" x14ac:dyDescent="0.3">
      <c r="B3806" s="84" t="s">
        <v>4257</v>
      </c>
    </row>
    <row r="3807" spans="2:2" x14ac:dyDescent="0.3">
      <c r="B3807" s="84" t="s">
        <v>4247</v>
      </c>
    </row>
    <row r="3808" spans="2:2" x14ac:dyDescent="0.3">
      <c r="B3808" s="84" t="s">
        <v>4258</v>
      </c>
    </row>
    <row r="3809" spans="2:2" x14ac:dyDescent="0.3">
      <c r="B3809" s="84" t="s">
        <v>4273</v>
      </c>
    </row>
    <row r="3810" spans="2:2" x14ac:dyDescent="0.3">
      <c r="B3810" s="84" t="s">
        <v>4284</v>
      </c>
    </row>
    <row r="3811" spans="2:2" x14ac:dyDescent="0.3">
      <c r="B3811" s="84" t="s">
        <v>4274</v>
      </c>
    </row>
    <row r="3812" spans="2:2" x14ac:dyDescent="0.3">
      <c r="B3812" s="84" t="s">
        <v>4285</v>
      </c>
    </row>
    <row r="3813" spans="2:2" x14ac:dyDescent="0.3">
      <c r="B3813" s="84" t="s">
        <v>4263</v>
      </c>
    </row>
    <row r="3814" spans="2:2" x14ac:dyDescent="0.3">
      <c r="B3814" s="84" t="s">
        <v>4264</v>
      </c>
    </row>
    <row r="3815" spans="2:2" x14ac:dyDescent="0.3">
      <c r="B3815" s="84" t="s">
        <v>4275</v>
      </c>
    </row>
    <row r="3816" spans="2:2" x14ac:dyDescent="0.3">
      <c r="B3816" s="84" t="s">
        <v>4286</v>
      </c>
    </row>
    <row r="3817" spans="2:2" x14ac:dyDescent="0.3">
      <c r="B3817" s="84" t="s">
        <v>4265</v>
      </c>
    </row>
    <row r="3818" spans="2:2" x14ac:dyDescent="0.3">
      <c r="B3818" s="84" t="s">
        <v>4276</v>
      </c>
    </row>
    <row r="3819" spans="2:2" x14ac:dyDescent="0.3">
      <c r="B3819" s="84" t="s">
        <v>4287</v>
      </c>
    </row>
    <row r="3820" spans="2:2" x14ac:dyDescent="0.3">
      <c r="B3820" s="84" t="s">
        <v>4266</v>
      </c>
    </row>
    <row r="3821" spans="2:2" x14ac:dyDescent="0.3">
      <c r="B3821" s="84" t="s">
        <v>4277</v>
      </c>
    </row>
    <row r="3822" spans="2:2" x14ac:dyDescent="0.3">
      <c r="B3822" s="84" t="s">
        <v>4267</v>
      </c>
    </row>
    <row r="3823" spans="2:2" x14ac:dyDescent="0.3">
      <c r="B3823" s="84" t="s">
        <v>4278</v>
      </c>
    </row>
    <row r="3824" spans="2:2" x14ac:dyDescent="0.3">
      <c r="B3824" s="84" t="s">
        <v>4268</v>
      </c>
    </row>
    <row r="3825" spans="2:2" x14ac:dyDescent="0.3">
      <c r="B3825" s="84" t="s">
        <v>4279</v>
      </c>
    </row>
    <row r="3826" spans="2:2" x14ac:dyDescent="0.3">
      <c r="B3826" s="84" t="s">
        <v>4269</v>
      </c>
    </row>
    <row r="3827" spans="2:2" x14ac:dyDescent="0.3">
      <c r="B3827" s="84" t="s">
        <v>4280</v>
      </c>
    </row>
    <row r="3828" spans="2:2" x14ac:dyDescent="0.3">
      <c r="B3828" s="84" t="s">
        <v>4270</v>
      </c>
    </row>
    <row r="3829" spans="2:2" x14ac:dyDescent="0.3">
      <c r="B3829" s="84" t="s">
        <v>4281</v>
      </c>
    </row>
    <row r="3830" spans="2:2" x14ac:dyDescent="0.3">
      <c r="B3830" s="84" t="s">
        <v>4271</v>
      </c>
    </row>
    <row r="3831" spans="2:2" x14ac:dyDescent="0.3">
      <c r="B3831" s="84" t="s">
        <v>4282</v>
      </c>
    </row>
    <row r="3832" spans="2:2" x14ac:dyDescent="0.3">
      <c r="B3832" s="84" t="s">
        <v>4272</v>
      </c>
    </row>
    <row r="3833" spans="2:2" x14ac:dyDescent="0.3">
      <c r="B3833" s="84" t="s">
        <v>4283</v>
      </c>
    </row>
    <row r="3834" spans="2:2" x14ac:dyDescent="0.3">
      <c r="B3834" s="84" t="s">
        <v>6013</v>
      </c>
    </row>
    <row r="3835" spans="2:2" x14ac:dyDescent="0.3">
      <c r="B3835" s="84" t="s">
        <v>6014</v>
      </c>
    </row>
    <row r="3836" spans="2:2" x14ac:dyDescent="0.3">
      <c r="B3836" s="84" t="s">
        <v>6015</v>
      </c>
    </row>
    <row r="3837" spans="2:2" x14ac:dyDescent="0.3">
      <c r="B3837" s="84" t="s">
        <v>6016</v>
      </c>
    </row>
    <row r="3838" spans="2:2" x14ac:dyDescent="0.3">
      <c r="B3838" s="84" t="s">
        <v>6017</v>
      </c>
    </row>
    <row r="3839" spans="2:2" x14ac:dyDescent="0.3">
      <c r="B3839" s="84" t="s">
        <v>6018</v>
      </c>
    </row>
    <row r="3840" spans="2:2" x14ac:dyDescent="0.3">
      <c r="B3840" s="84" t="s">
        <v>6019</v>
      </c>
    </row>
    <row r="3841" spans="2:2" x14ac:dyDescent="0.3">
      <c r="B3841" s="84" t="s">
        <v>6020</v>
      </c>
    </row>
    <row r="3842" spans="2:2" x14ac:dyDescent="0.3">
      <c r="B3842" s="84" t="s">
        <v>6021</v>
      </c>
    </row>
    <row r="3843" spans="2:2" x14ac:dyDescent="0.3">
      <c r="B3843" s="84" t="s">
        <v>6022</v>
      </c>
    </row>
    <row r="3844" spans="2:2" x14ac:dyDescent="0.3">
      <c r="B3844" s="84" t="s">
        <v>6023</v>
      </c>
    </row>
    <row r="3845" spans="2:2" x14ac:dyDescent="0.3">
      <c r="B3845" s="84" t="s">
        <v>6024</v>
      </c>
    </row>
    <row r="3846" spans="2:2" x14ac:dyDescent="0.3">
      <c r="B3846" s="84" t="s">
        <v>6025</v>
      </c>
    </row>
    <row r="3847" spans="2:2" x14ac:dyDescent="0.3">
      <c r="B3847" s="84" t="s">
        <v>6026</v>
      </c>
    </row>
    <row r="3848" spans="2:2" x14ac:dyDescent="0.3">
      <c r="B3848" s="84" t="s">
        <v>6027</v>
      </c>
    </row>
    <row r="3849" spans="2:2" x14ac:dyDescent="0.3">
      <c r="B3849" s="84" t="s">
        <v>6028</v>
      </c>
    </row>
    <row r="3850" spans="2:2" x14ac:dyDescent="0.3">
      <c r="B3850" s="84" t="s">
        <v>6029</v>
      </c>
    </row>
    <row r="3851" spans="2:2" x14ac:dyDescent="0.3">
      <c r="B3851" s="84" t="s">
        <v>6030</v>
      </c>
    </row>
    <row r="3852" spans="2:2" x14ac:dyDescent="0.3">
      <c r="B3852" s="84" t="s">
        <v>6031</v>
      </c>
    </row>
    <row r="3853" spans="2:2" x14ac:dyDescent="0.3">
      <c r="B3853" s="84" t="s">
        <v>6032</v>
      </c>
    </row>
    <row r="3854" spans="2:2" x14ac:dyDescent="0.3">
      <c r="B3854" s="84" t="s">
        <v>6033</v>
      </c>
    </row>
    <row r="3855" spans="2:2" x14ac:dyDescent="0.3">
      <c r="B3855" s="84" t="s">
        <v>6034</v>
      </c>
    </row>
    <row r="3856" spans="2:2" x14ac:dyDescent="0.3">
      <c r="B3856" s="84" t="s">
        <v>6035</v>
      </c>
    </row>
    <row r="3857" spans="2:2" x14ac:dyDescent="0.3">
      <c r="B3857" s="84" t="s">
        <v>6036</v>
      </c>
    </row>
    <row r="3858" spans="2:2" x14ac:dyDescent="0.3">
      <c r="B3858" s="84" t="s">
        <v>6037</v>
      </c>
    </row>
    <row r="3859" spans="2:2" x14ac:dyDescent="0.3">
      <c r="B3859" s="84" t="s">
        <v>6038</v>
      </c>
    </row>
    <row r="3860" spans="2:2" x14ac:dyDescent="0.3">
      <c r="B3860" s="84" t="s">
        <v>6039</v>
      </c>
    </row>
    <row r="3861" spans="2:2" x14ac:dyDescent="0.3">
      <c r="B3861" s="84" t="s">
        <v>6040</v>
      </c>
    </row>
    <row r="3862" spans="2:2" x14ac:dyDescent="0.3">
      <c r="B3862" s="84" t="s">
        <v>6041</v>
      </c>
    </row>
    <row r="3863" spans="2:2" x14ac:dyDescent="0.3">
      <c r="B3863" s="84" t="s">
        <v>6042</v>
      </c>
    </row>
    <row r="3864" spans="2:2" x14ac:dyDescent="0.3">
      <c r="B3864" s="84" t="s">
        <v>6043</v>
      </c>
    </row>
    <row r="3865" spans="2:2" x14ac:dyDescent="0.3">
      <c r="B3865" s="84" t="s">
        <v>6044</v>
      </c>
    </row>
    <row r="3866" spans="2:2" x14ac:dyDescent="0.3">
      <c r="B3866" s="84" t="s">
        <v>6045</v>
      </c>
    </row>
    <row r="3867" spans="2:2" x14ac:dyDescent="0.3">
      <c r="B3867" s="84" t="s">
        <v>6046</v>
      </c>
    </row>
    <row r="3868" spans="2:2" x14ac:dyDescent="0.3">
      <c r="B3868" s="84" t="s">
        <v>6047</v>
      </c>
    </row>
    <row r="3869" spans="2:2" x14ac:dyDescent="0.3">
      <c r="B3869" s="84" t="s">
        <v>6048</v>
      </c>
    </row>
    <row r="3870" spans="2:2" x14ac:dyDescent="0.3">
      <c r="B3870" s="84" t="s">
        <v>6049</v>
      </c>
    </row>
    <row r="3871" spans="2:2" x14ac:dyDescent="0.3">
      <c r="B3871" s="84" t="s">
        <v>6050</v>
      </c>
    </row>
    <row r="3872" spans="2:2" x14ac:dyDescent="0.3">
      <c r="B3872" s="84" t="s">
        <v>6051</v>
      </c>
    </row>
    <row r="3873" spans="2:2" x14ac:dyDescent="0.3">
      <c r="B3873" s="84" t="s">
        <v>6052</v>
      </c>
    </row>
    <row r="3874" spans="2:2" x14ac:dyDescent="0.3">
      <c r="B3874" s="84" t="s">
        <v>6053</v>
      </c>
    </row>
    <row r="3875" spans="2:2" x14ac:dyDescent="0.3">
      <c r="B3875" s="84" t="s">
        <v>6054</v>
      </c>
    </row>
    <row r="3876" spans="2:2" x14ac:dyDescent="0.3">
      <c r="B3876" s="84" t="s">
        <v>6055</v>
      </c>
    </row>
    <row r="3877" spans="2:2" x14ac:dyDescent="0.3">
      <c r="B3877" s="84" t="s">
        <v>6056</v>
      </c>
    </row>
    <row r="3878" spans="2:2" x14ac:dyDescent="0.3">
      <c r="B3878" s="84" t="s">
        <v>6057</v>
      </c>
    </row>
    <row r="3879" spans="2:2" x14ac:dyDescent="0.3">
      <c r="B3879" s="84" t="s">
        <v>6058</v>
      </c>
    </row>
    <row r="3880" spans="2:2" x14ac:dyDescent="0.3">
      <c r="B3880" s="84" t="s">
        <v>6059</v>
      </c>
    </row>
    <row r="3881" spans="2:2" x14ac:dyDescent="0.3">
      <c r="B3881" s="84" t="s">
        <v>6060</v>
      </c>
    </row>
    <row r="3882" spans="2:2" x14ac:dyDescent="0.3">
      <c r="B3882" s="84" t="s">
        <v>6061</v>
      </c>
    </row>
    <row r="3883" spans="2:2" x14ac:dyDescent="0.3">
      <c r="B3883" s="84" t="s">
        <v>6062</v>
      </c>
    </row>
    <row r="3884" spans="2:2" x14ac:dyDescent="0.3">
      <c r="B3884" s="84" t="s">
        <v>6063</v>
      </c>
    </row>
    <row r="3885" spans="2:2" x14ac:dyDescent="0.3">
      <c r="B3885" s="84" t="s">
        <v>6064</v>
      </c>
    </row>
    <row r="3886" spans="2:2" x14ac:dyDescent="0.3">
      <c r="B3886" s="84" t="s">
        <v>6065</v>
      </c>
    </row>
    <row r="3887" spans="2:2" x14ac:dyDescent="0.3">
      <c r="B3887" s="84" t="s">
        <v>6066</v>
      </c>
    </row>
    <row r="3888" spans="2:2" x14ac:dyDescent="0.3">
      <c r="B3888" s="84" t="s">
        <v>6067</v>
      </c>
    </row>
    <row r="3889" spans="2:2" x14ac:dyDescent="0.3">
      <c r="B3889" s="84" t="s">
        <v>6068</v>
      </c>
    </row>
    <row r="3890" spans="2:2" x14ac:dyDescent="0.3">
      <c r="B3890" s="84" t="s">
        <v>6069</v>
      </c>
    </row>
    <row r="3891" spans="2:2" x14ac:dyDescent="0.3">
      <c r="B3891" s="84" t="s">
        <v>6070</v>
      </c>
    </row>
    <row r="3892" spans="2:2" x14ac:dyDescent="0.3">
      <c r="B3892" s="84" t="s">
        <v>6071</v>
      </c>
    </row>
    <row r="3893" spans="2:2" x14ac:dyDescent="0.3">
      <c r="B3893" s="84" t="s">
        <v>6072</v>
      </c>
    </row>
    <row r="3894" spans="2:2" x14ac:dyDescent="0.3">
      <c r="B3894" s="84" t="s">
        <v>6073</v>
      </c>
    </row>
    <row r="3895" spans="2:2" x14ac:dyDescent="0.3">
      <c r="B3895" s="84" t="s">
        <v>6074</v>
      </c>
    </row>
    <row r="3896" spans="2:2" x14ac:dyDescent="0.3">
      <c r="B3896" s="84" t="s">
        <v>6075</v>
      </c>
    </row>
    <row r="3897" spans="2:2" x14ac:dyDescent="0.3">
      <c r="B3897" s="84" t="s">
        <v>6076</v>
      </c>
    </row>
    <row r="3898" spans="2:2" x14ac:dyDescent="0.3">
      <c r="B3898" s="84" t="s">
        <v>6077</v>
      </c>
    </row>
    <row r="3899" spans="2:2" x14ac:dyDescent="0.3">
      <c r="B3899" s="84" t="s">
        <v>6078</v>
      </c>
    </row>
    <row r="3900" spans="2:2" x14ac:dyDescent="0.3">
      <c r="B3900" s="84" t="s">
        <v>6079</v>
      </c>
    </row>
    <row r="3901" spans="2:2" x14ac:dyDescent="0.3">
      <c r="B3901" s="84" t="s">
        <v>6080</v>
      </c>
    </row>
    <row r="3902" spans="2:2" x14ac:dyDescent="0.3">
      <c r="B3902" s="84" t="s">
        <v>6081</v>
      </c>
    </row>
    <row r="3903" spans="2:2" x14ac:dyDescent="0.3">
      <c r="B3903" s="84" t="s">
        <v>6082</v>
      </c>
    </row>
    <row r="3904" spans="2:2" x14ac:dyDescent="0.3">
      <c r="B3904" s="84" t="s">
        <v>6083</v>
      </c>
    </row>
    <row r="3905" spans="2:2" x14ac:dyDescent="0.3">
      <c r="B3905" s="84" t="s">
        <v>6084</v>
      </c>
    </row>
    <row r="3906" spans="2:2" x14ac:dyDescent="0.3">
      <c r="B3906" s="84" t="s">
        <v>6085</v>
      </c>
    </row>
    <row r="3907" spans="2:2" x14ac:dyDescent="0.3">
      <c r="B3907" s="84" t="s">
        <v>6086</v>
      </c>
    </row>
    <row r="3908" spans="2:2" x14ac:dyDescent="0.3">
      <c r="B3908" s="84" t="s">
        <v>6087</v>
      </c>
    </row>
    <row r="3909" spans="2:2" x14ac:dyDescent="0.3">
      <c r="B3909" s="84" t="s">
        <v>6088</v>
      </c>
    </row>
    <row r="3910" spans="2:2" x14ac:dyDescent="0.3">
      <c r="B3910" s="84" t="s">
        <v>6089</v>
      </c>
    </row>
    <row r="3911" spans="2:2" x14ac:dyDescent="0.3">
      <c r="B3911" s="84" t="s">
        <v>6090</v>
      </c>
    </row>
    <row r="3912" spans="2:2" x14ac:dyDescent="0.3">
      <c r="B3912" s="84" t="s">
        <v>6091</v>
      </c>
    </row>
    <row r="3913" spans="2:2" x14ac:dyDescent="0.3">
      <c r="B3913" s="84" t="s">
        <v>6092</v>
      </c>
    </row>
    <row r="3914" spans="2:2" x14ac:dyDescent="0.3">
      <c r="B3914" s="84" t="s">
        <v>6093</v>
      </c>
    </row>
    <row r="3915" spans="2:2" x14ac:dyDescent="0.3">
      <c r="B3915" s="84" t="s">
        <v>6094</v>
      </c>
    </row>
    <row r="3916" spans="2:2" x14ac:dyDescent="0.3">
      <c r="B3916" s="84" t="s">
        <v>6095</v>
      </c>
    </row>
    <row r="3917" spans="2:2" x14ac:dyDescent="0.3">
      <c r="B3917" s="84" t="s">
        <v>6096</v>
      </c>
    </row>
    <row r="3918" spans="2:2" x14ac:dyDescent="0.3">
      <c r="B3918" s="84" t="s">
        <v>6097</v>
      </c>
    </row>
    <row r="3919" spans="2:2" x14ac:dyDescent="0.3">
      <c r="B3919" s="84" t="s">
        <v>6098</v>
      </c>
    </row>
    <row r="3920" spans="2:2" x14ac:dyDescent="0.3">
      <c r="B3920" s="84" t="s">
        <v>6099</v>
      </c>
    </row>
    <row r="3921" spans="2:2" x14ac:dyDescent="0.3">
      <c r="B3921" s="84" t="s">
        <v>6100</v>
      </c>
    </row>
    <row r="3922" spans="2:2" x14ac:dyDescent="0.3">
      <c r="B3922" s="84" t="s">
        <v>6101</v>
      </c>
    </row>
    <row r="3923" spans="2:2" x14ac:dyDescent="0.3">
      <c r="B3923" s="84" t="s">
        <v>6102</v>
      </c>
    </row>
    <row r="3924" spans="2:2" x14ac:dyDescent="0.3">
      <c r="B3924" s="84" t="s">
        <v>6103</v>
      </c>
    </row>
    <row r="3925" spans="2:2" x14ac:dyDescent="0.3">
      <c r="B3925" s="84" t="s">
        <v>6104</v>
      </c>
    </row>
    <row r="3926" spans="2:2" x14ac:dyDescent="0.3">
      <c r="B3926" s="84" t="s">
        <v>6105</v>
      </c>
    </row>
    <row r="3927" spans="2:2" x14ac:dyDescent="0.3">
      <c r="B3927" s="84" t="s">
        <v>6106</v>
      </c>
    </row>
    <row r="3928" spans="2:2" x14ac:dyDescent="0.3">
      <c r="B3928" s="84" t="s">
        <v>6107</v>
      </c>
    </row>
    <row r="3929" spans="2:2" x14ac:dyDescent="0.3">
      <c r="B3929" s="84" t="s">
        <v>6108</v>
      </c>
    </row>
    <row r="3930" spans="2:2" x14ac:dyDescent="0.3">
      <c r="B3930" s="84" t="s">
        <v>6109</v>
      </c>
    </row>
    <row r="3931" spans="2:2" x14ac:dyDescent="0.3">
      <c r="B3931" s="84" t="s">
        <v>6110</v>
      </c>
    </row>
    <row r="3932" spans="2:2" x14ac:dyDescent="0.3">
      <c r="B3932" s="84" t="s">
        <v>6111</v>
      </c>
    </row>
    <row r="3933" spans="2:2" x14ac:dyDescent="0.3">
      <c r="B3933" s="84" t="s">
        <v>6112</v>
      </c>
    </row>
    <row r="3934" spans="2:2" x14ac:dyDescent="0.3">
      <c r="B3934" s="84" t="s">
        <v>4448</v>
      </c>
    </row>
    <row r="3935" spans="2:2" x14ac:dyDescent="0.3">
      <c r="B3935" s="84" t="s">
        <v>4459</v>
      </c>
    </row>
    <row r="3936" spans="2:2" x14ac:dyDescent="0.3">
      <c r="B3936" s="84" t="s">
        <v>4449</v>
      </c>
    </row>
    <row r="3937" spans="2:2" x14ac:dyDescent="0.3">
      <c r="B3937" s="84" t="s">
        <v>4460</v>
      </c>
    </row>
    <row r="3938" spans="2:2" x14ac:dyDescent="0.3">
      <c r="B3938" s="84" t="s">
        <v>4438</v>
      </c>
    </row>
    <row r="3939" spans="2:2" x14ac:dyDescent="0.3">
      <c r="B3939" s="84" t="s">
        <v>4439</v>
      </c>
    </row>
    <row r="3940" spans="2:2" x14ac:dyDescent="0.3">
      <c r="B3940" s="84" t="s">
        <v>4450</v>
      </c>
    </row>
    <row r="3941" spans="2:2" x14ac:dyDescent="0.3">
      <c r="B3941" s="84" t="s">
        <v>4461</v>
      </c>
    </row>
    <row r="3942" spans="2:2" x14ac:dyDescent="0.3">
      <c r="B3942" s="84" t="s">
        <v>4440</v>
      </c>
    </row>
    <row r="3943" spans="2:2" x14ac:dyDescent="0.3">
      <c r="B3943" s="84" t="s">
        <v>4451</v>
      </c>
    </row>
    <row r="3944" spans="2:2" x14ac:dyDescent="0.3">
      <c r="B3944" s="84" t="s">
        <v>4462</v>
      </c>
    </row>
    <row r="3945" spans="2:2" x14ac:dyDescent="0.3">
      <c r="B3945" s="84" t="s">
        <v>4441</v>
      </c>
    </row>
    <row r="3946" spans="2:2" x14ac:dyDescent="0.3">
      <c r="B3946" s="84" t="s">
        <v>4452</v>
      </c>
    </row>
    <row r="3947" spans="2:2" x14ac:dyDescent="0.3">
      <c r="B3947" s="84" t="s">
        <v>4442</v>
      </c>
    </row>
    <row r="3948" spans="2:2" x14ac:dyDescent="0.3">
      <c r="B3948" s="84" t="s">
        <v>4453</v>
      </c>
    </row>
    <row r="3949" spans="2:2" x14ac:dyDescent="0.3">
      <c r="B3949" s="84" t="s">
        <v>4443</v>
      </c>
    </row>
    <row r="3950" spans="2:2" x14ac:dyDescent="0.3">
      <c r="B3950" s="84" t="s">
        <v>4454</v>
      </c>
    </row>
    <row r="3951" spans="2:2" x14ac:dyDescent="0.3">
      <c r="B3951" s="84" t="s">
        <v>4444</v>
      </c>
    </row>
    <row r="3952" spans="2:2" x14ac:dyDescent="0.3">
      <c r="B3952" s="84" t="s">
        <v>4455</v>
      </c>
    </row>
    <row r="3953" spans="2:2" x14ac:dyDescent="0.3">
      <c r="B3953" s="84" t="s">
        <v>4445</v>
      </c>
    </row>
    <row r="3954" spans="2:2" x14ac:dyDescent="0.3">
      <c r="B3954" s="84" t="s">
        <v>4456</v>
      </c>
    </row>
    <row r="3955" spans="2:2" x14ac:dyDescent="0.3">
      <c r="B3955" s="84" t="s">
        <v>4446</v>
      </c>
    </row>
    <row r="3956" spans="2:2" x14ac:dyDescent="0.3">
      <c r="B3956" s="84" t="s">
        <v>4457</v>
      </c>
    </row>
    <row r="3957" spans="2:2" x14ac:dyDescent="0.3">
      <c r="B3957" s="84" t="s">
        <v>4447</v>
      </c>
    </row>
    <row r="3958" spans="2:2" x14ac:dyDescent="0.3">
      <c r="B3958" s="84" t="s">
        <v>4458</v>
      </c>
    </row>
    <row r="3959" spans="2:2" x14ac:dyDescent="0.3">
      <c r="B3959" s="84" t="s">
        <v>4473</v>
      </c>
    </row>
    <row r="3960" spans="2:2" x14ac:dyDescent="0.3">
      <c r="B3960" s="84" t="s">
        <v>4484</v>
      </c>
    </row>
    <row r="3961" spans="2:2" x14ac:dyDescent="0.3">
      <c r="B3961" s="84" t="s">
        <v>4474</v>
      </c>
    </row>
    <row r="3962" spans="2:2" x14ac:dyDescent="0.3">
      <c r="B3962" s="84" t="s">
        <v>4485</v>
      </c>
    </row>
    <row r="3963" spans="2:2" x14ac:dyDescent="0.3">
      <c r="B3963" s="84" t="s">
        <v>4463</v>
      </c>
    </row>
    <row r="3964" spans="2:2" x14ac:dyDescent="0.3">
      <c r="B3964" s="84" t="s">
        <v>4464</v>
      </c>
    </row>
    <row r="3965" spans="2:2" x14ac:dyDescent="0.3">
      <c r="B3965" s="84" t="s">
        <v>4475</v>
      </c>
    </row>
    <row r="3966" spans="2:2" x14ac:dyDescent="0.3">
      <c r="B3966" s="84" t="s">
        <v>4486</v>
      </c>
    </row>
    <row r="3967" spans="2:2" x14ac:dyDescent="0.3">
      <c r="B3967" s="84" t="s">
        <v>4465</v>
      </c>
    </row>
    <row r="3968" spans="2:2" x14ac:dyDescent="0.3">
      <c r="B3968" s="84" t="s">
        <v>4476</v>
      </c>
    </row>
    <row r="3969" spans="2:2" x14ac:dyDescent="0.3">
      <c r="B3969" s="84" t="s">
        <v>4487</v>
      </c>
    </row>
    <row r="3970" spans="2:2" x14ac:dyDescent="0.3">
      <c r="B3970" s="84" t="s">
        <v>4466</v>
      </c>
    </row>
    <row r="3971" spans="2:2" x14ac:dyDescent="0.3">
      <c r="B3971" s="84" t="s">
        <v>4477</v>
      </c>
    </row>
    <row r="3972" spans="2:2" x14ac:dyDescent="0.3">
      <c r="B3972" s="84" t="s">
        <v>4467</v>
      </c>
    </row>
    <row r="3973" spans="2:2" x14ac:dyDescent="0.3">
      <c r="B3973" s="84" t="s">
        <v>4478</v>
      </c>
    </row>
    <row r="3974" spans="2:2" x14ac:dyDescent="0.3">
      <c r="B3974" s="84" t="s">
        <v>4468</v>
      </c>
    </row>
    <row r="3975" spans="2:2" x14ac:dyDescent="0.3">
      <c r="B3975" s="84" t="s">
        <v>4479</v>
      </c>
    </row>
    <row r="3976" spans="2:2" x14ac:dyDescent="0.3">
      <c r="B3976" s="84" t="s">
        <v>4469</v>
      </c>
    </row>
    <row r="3977" spans="2:2" x14ac:dyDescent="0.3">
      <c r="B3977" s="84" t="s">
        <v>4480</v>
      </c>
    </row>
    <row r="3978" spans="2:2" x14ac:dyDescent="0.3">
      <c r="B3978" s="84" t="s">
        <v>4470</v>
      </c>
    </row>
    <row r="3979" spans="2:2" x14ac:dyDescent="0.3">
      <c r="B3979" s="84" t="s">
        <v>4481</v>
      </c>
    </row>
    <row r="3980" spans="2:2" x14ac:dyDescent="0.3">
      <c r="B3980" s="84" t="s">
        <v>4471</v>
      </c>
    </row>
    <row r="3981" spans="2:2" x14ac:dyDescent="0.3">
      <c r="B3981" s="84" t="s">
        <v>4482</v>
      </c>
    </row>
    <row r="3982" spans="2:2" x14ac:dyDescent="0.3">
      <c r="B3982" s="84" t="s">
        <v>4472</v>
      </c>
    </row>
    <row r="3983" spans="2:2" x14ac:dyDescent="0.3">
      <c r="B3983" s="84" t="s">
        <v>4483</v>
      </c>
    </row>
    <row r="3984" spans="2:2" x14ac:dyDescent="0.3">
      <c r="B3984" s="84" t="s">
        <v>3823</v>
      </c>
    </row>
    <row r="3985" spans="2:2" x14ac:dyDescent="0.3">
      <c r="B3985" s="84" t="s">
        <v>3834</v>
      </c>
    </row>
    <row r="3986" spans="2:2" x14ac:dyDescent="0.3">
      <c r="B3986" s="84" t="s">
        <v>3824</v>
      </c>
    </row>
    <row r="3987" spans="2:2" x14ac:dyDescent="0.3">
      <c r="B3987" s="84" t="s">
        <v>3835</v>
      </c>
    </row>
    <row r="3988" spans="2:2" x14ac:dyDescent="0.3">
      <c r="B3988" s="84" t="s">
        <v>3813</v>
      </c>
    </row>
    <row r="3989" spans="2:2" x14ac:dyDescent="0.3">
      <c r="B3989" s="84" t="s">
        <v>3814</v>
      </c>
    </row>
    <row r="3990" spans="2:2" x14ac:dyDescent="0.3">
      <c r="B3990" s="84" t="s">
        <v>3825</v>
      </c>
    </row>
    <row r="3991" spans="2:2" x14ac:dyDescent="0.3">
      <c r="B3991" s="84" t="s">
        <v>3836</v>
      </c>
    </row>
    <row r="3992" spans="2:2" x14ac:dyDescent="0.3">
      <c r="B3992" s="84" t="s">
        <v>3815</v>
      </c>
    </row>
    <row r="3993" spans="2:2" x14ac:dyDescent="0.3">
      <c r="B3993" s="84" t="s">
        <v>3826</v>
      </c>
    </row>
    <row r="3994" spans="2:2" x14ac:dyDescent="0.3">
      <c r="B3994" s="84" t="s">
        <v>3837</v>
      </c>
    </row>
    <row r="3995" spans="2:2" x14ac:dyDescent="0.3">
      <c r="B3995" s="84" t="s">
        <v>3816</v>
      </c>
    </row>
    <row r="3996" spans="2:2" x14ac:dyDescent="0.3">
      <c r="B3996" s="84" t="s">
        <v>3827</v>
      </c>
    </row>
    <row r="3997" spans="2:2" x14ac:dyDescent="0.3">
      <c r="B3997" s="84" t="s">
        <v>3817</v>
      </c>
    </row>
    <row r="3998" spans="2:2" x14ac:dyDescent="0.3">
      <c r="B3998" s="84" t="s">
        <v>3828</v>
      </c>
    </row>
    <row r="3999" spans="2:2" x14ac:dyDescent="0.3">
      <c r="B3999" s="84" t="s">
        <v>3818</v>
      </c>
    </row>
    <row r="4000" spans="2:2" x14ac:dyDescent="0.3">
      <c r="B4000" s="84" t="s">
        <v>3829</v>
      </c>
    </row>
    <row r="4001" spans="2:2" x14ac:dyDescent="0.3">
      <c r="B4001" s="84" t="s">
        <v>3819</v>
      </c>
    </row>
    <row r="4002" spans="2:2" x14ac:dyDescent="0.3">
      <c r="B4002" s="84" t="s">
        <v>3830</v>
      </c>
    </row>
    <row r="4003" spans="2:2" x14ac:dyDescent="0.3">
      <c r="B4003" s="84" t="s">
        <v>3820</v>
      </c>
    </row>
    <row r="4004" spans="2:2" x14ac:dyDescent="0.3">
      <c r="B4004" s="84" t="s">
        <v>3831</v>
      </c>
    </row>
    <row r="4005" spans="2:2" x14ac:dyDescent="0.3">
      <c r="B4005" s="84" t="s">
        <v>3821</v>
      </c>
    </row>
    <row r="4006" spans="2:2" x14ac:dyDescent="0.3">
      <c r="B4006" s="84" t="s">
        <v>3832</v>
      </c>
    </row>
    <row r="4007" spans="2:2" x14ac:dyDescent="0.3">
      <c r="B4007" s="84" t="s">
        <v>3822</v>
      </c>
    </row>
    <row r="4008" spans="2:2" x14ac:dyDescent="0.3">
      <c r="B4008" s="84" t="s">
        <v>3833</v>
      </c>
    </row>
    <row r="4009" spans="2:2" x14ac:dyDescent="0.3">
      <c r="B4009" s="84" t="s">
        <v>3523</v>
      </c>
    </row>
    <row r="4010" spans="2:2" x14ac:dyDescent="0.3">
      <c r="B4010" s="84" t="s">
        <v>3534</v>
      </c>
    </row>
    <row r="4011" spans="2:2" x14ac:dyDescent="0.3">
      <c r="B4011" s="84" t="s">
        <v>3524</v>
      </c>
    </row>
    <row r="4012" spans="2:2" x14ac:dyDescent="0.3">
      <c r="B4012" s="84" t="s">
        <v>3535</v>
      </c>
    </row>
    <row r="4013" spans="2:2" x14ac:dyDescent="0.3">
      <c r="B4013" s="84" t="s">
        <v>3513</v>
      </c>
    </row>
    <row r="4014" spans="2:2" x14ac:dyDescent="0.3">
      <c r="B4014" s="84" t="s">
        <v>3514</v>
      </c>
    </row>
    <row r="4015" spans="2:2" x14ac:dyDescent="0.3">
      <c r="B4015" s="84" t="s">
        <v>3525</v>
      </c>
    </row>
    <row r="4016" spans="2:2" x14ac:dyDescent="0.3">
      <c r="B4016" s="84" t="s">
        <v>3536</v>
      </c>
    </row>
    <row r="4017" spans="2:2" x14ac:dyDescent="0.3">
      <c r="B4017" s="84" t="s">
        <v>3515</v>
      </c>
    </row>
    <row r="4018" spans="2:2" x14ac:dyDescent="0.3">
      <c r="B4018" s="84" t="s">
        <v>3526</v>
      </c>
    </row>
    <row r="4019" spans="2:2" x14ac:dyDescent="0.3">
      <c r="B4019" s="84" t="s">
        <v>3537</v>
      </c>
    </row>
    <row r="4020" spans="2:2" x14ac:dyDescent="0.3">
      <c r="B4020" s="84" t="s">
        <v>3516</v>
      </c>
    </row>
    <row r="4021" spans="2:2" x14ac:dyDescent="0.3">
      <c r="B4021" s="84" t="s">
        <v>3527</v>
      </c>
    </row>
    <row r="4022" spans="2:2" x14ac:dyDescent="0.3">
      <c r="B4022" s="84" t="s">
        <v>3517</v>
      </c>
    </row>
    <row r="4023" spans="2:2" x14ac:dyDescent="0.3">
      <c r="B4023" s="84" t="s">
        <v>3528</v>
      </c>
    </row>
    <row r="4024" spans="2:2" x14ac:dyDescent="0.3">
      <c r="B4024" s="84" t="s">
        <v>3518</v>
      </c>
    </row>
    <row r="4025" spans="2:2" x14ac:dyDescent="0.3">
      <c r="B4025" s="84" t="s">
        <v>3529</v>
      </c>
    </row>
    <row r="4026" spans="2:2" x14ac:dyDescent="0.3">
      <c r="B4026" s="84" t="s">
        <v>3519</v>
      </c>
    </row>
    <row r="4027" spans="2:2" x14ac:dyDescent="0.3">
      <c r="B4027" s="84" t="s">
        <v>3530</v>
      </c>
    </row>
    <row r="4028" spans="2:2" x14ac:dyDescent="0.3">
      <c r="B4028" s="84" t="s">
        <v>3520</v>
      </c>
    </row>
    <row r="4029" spans="2:2" x14ac:dyDescent="0.3">
      <c r="B4029" s="84" t="s">
        <v>3531</v>
      </c>
    </row>
    <row r="4030" spans="2:2" x14ac:dyDescent="0.3">
      <c r="B4030" s="84" t="s">
        <v>3521</v>
      </c>
    </row>
    <row r="4031" spans="2:2" x14ac:dyDescent="0.3">
      <c r="B4031" s="84" t="s">
        <v>3532</v>
      </c>
    </row>
    <row r="4032" spans="2:2" x14ac:dyDescent="0.3">
      <c r="B4032" s="84" t="s">
        <v>3522</v>
      </c>
    </row>
    <row r="4033" spans="2:2" x14ac:dyDescent="0.3">
      <c r="B4033" s="84" t="s">
        <v>3533</v>
      </c>
    </row>
    <row r="4034" spans="2:2" x14ac:dyDescent="0.3">
      <c r="B4034" s="84" t="s">
        <v>3773</v>
      </c>
    </row>
    <row r="4035" spans="2:2" x14ac:dyDescent="0.3">
      <c r="B4035" s="84" t="s">
        <v>3784</v>
      </c>
    </row>
    <row r="4036" spans="2:2" x14ac:dyDescent="0.3">
      <c r="B4036" s="84" t="s">
        <v>3774</v>
      </c>
    </row>
    <row r="4037" spans="2:2" x14ac:dyDescent="0.3">
      <c r="B4037" s="84" t="s">
        <v>3785</v>
      </c>
    </row>
    <row r="4038" spans="2:2" x14ac:dyDescent="0.3">
      <c r="B4038" s="84" t="s">
        <v>3763</v>
      </c>
    </row>
    <row r="4039" spans="2:2" x14ac:dyDescent="0.3">
      <c r="B4039" s="84" t="s">
        <v>3764</v>
      </c>
    </row>
    <row r="4040" spans="2:2" x14ac:dyDescent="0.3">
      <c r="B4040" s="84" t="s">
        <v>3775</v>
      </c>
    </row>
    <row r="4041" spans="2:2" x14ac:dyDescent="0.3">
      <c r="B4041" s="84" t="s">
        <v>3786</v>
      </c>
    </row>
    <row r="4042" spans="2:2" x14ac:dyDescent="0.3">
      <c r="B4042" s="84" t="s">
        <v>3765</v>
      </c>
    </row>
    <row r="4043" spans="2:2" x14ac:dyDescent="0.3">
      <c r="B4043" s="84" t="s">
        <v>3776</v>
      </c>
    </row>
    <row r="4044" spans="2:2" x14ac:dyDescent="0.3">
      <c r="B4044" s="84" t="s">
        <v>3787</v>
      </c>
    </row>
    <row r="4045" spans="2:2" x14ac:dyDescent="0.3">
      <c r="B4045" s="84" t="s">
        <v>3766</v>
      </c>
    </row>
    <row r="4046" spans="2:2" x14ac:dyDescent="0.3">
      <c r="B4046" s="84" t="s">
        <v>3777</v>
      </c>
    </row>
    <row r="4047" spans="2:2" x14ac:dyDescent="0.3">
      <c r="B4047" s="84" t="s">
        <v>3767</v>
      </c>
    </row>
    <row r="4048" spans="2:2" x14ac:dyDescent="0.3">
      <c r="B4048" s="84" t="s">
        <v>3778</v>
      </c>
    </row>
    <row r="4049" spans="2:2" x14ac:dyDescent="0.3">
      <c r="B4049" s="84" t="s">
        <v>3768</v>
      </c>
    </row>
    <row r="4050" spans="2:2" x14ac:dyDescent="0.3">
      <c r="B4050" s="84" t="s">
        <v>3779</v>
      </c>
    </row>
    <row r="4051" spans="2:2" x14ac:dyDescent="0.3">
      <c r="B4051" s="84" t="s">
        <v>3769</v>
      </c>
    </row>
    <row r="4052" spans="2:2" x14ac:dyDescent="0.3">
      <c r="B4052" s="84" t="s">
        <v>3780</v>
      </c>
    </row>
    <row r="4053" spans="2:2" x14ac:dyDescent="0.3">
      <c r="B4053" s="84" t="s">
        <v>3770</v>
      </c>
    </row>
    <row r="4054" spans="2:2" x14ac:dyDescent="0.3">
      <c r="B4054" s="84" t="s">
        <v>3781</v>
      </c>
    </row>
    <row r="4055" spans="2:2" x14ac:dyDescent="0.3">
      <c r="B4055" s="84" t="s">
        <v>3771</v>
      </c>
    </row>
    <row r="4056" spans="2:2" x14ac:dyDescent="0.3">
      <c r="B4056" s="84" t="s">
        <v>3782</v>
      </c>
    </row>
    <row r="4057" spans="2:2" x14ac:dyDescent="0.3">
      <c r="B4057" s="84" t="s">
        <v>3772</v>
      </c>
    </row>
    <row r="4058" spans="2:2" x14ac:dyDescent="0.3">
      <c r="B4058" s="84" t="s">
        <v>3783</v>
      </c>
    </row>
    <row r="4059" spans="2:2" x14ac:dyDescent="0.3">
      <c r="B4059" s="84" t="s">
        <v>3748</v>
      </c>
    </row>
    <row r="4060" spans="2:2" x14ac:dyDescent="0.3">
      <c r="B4060" s="84" t="s">
        <v>3759</v>
      </c>
    </row>
    <row r="4061" spans="2:2" x14ac:dyDescent="0.3">
      <c r="B4061" s="84" t="s">
        <v>3749</v>
      </c>
    </row>
    <row r="4062" spans="2:2" x14ac:dyDescent="0.3">
      <c r="B4062" s="84" t="s">
        <v>3760</v>
      </c>
    </row>
    <row r="4063" spans="2:2" x14ac:dyDescent="0.3">
      <c r="B4063" s="84" t="s">
        <v>3738</v>
      </c>
    </row>
    <row r="4064" spans="2:2" x14ac:dyDescent="0.3">
      <c r="B4064" s="84" t="s">
        <v>3739</v>
      </c>
    </row>
    <row r="4065" spans="2:2" x14ac:dyDescent="0.3">
      <c r="B4065" s="84" t="s">
        <v>3750</v>
      </c>
    </row>
    <row r="4066" spans="2:2" x14ac:dyDescent="0.3">
      <c r="B4066" s="84" t="s">
        <v>3761</v>
      </c>
    </row>
    <row r="4067" spans="2:2" x14ac:dyDescent="0.3">
      <c r="B4067" s="84" t="s">
        <v>3740</v>
      </c>
    </row>
    <row r="4068" spans="2:2" x14ac:dyDescent="0.3">
      <c r="B4068" s="84" t="s">
        <v>3751</v>
      </c>
    </row>
    <row r="4069" spans="2:2" x14ac:dyDescent="0.3">
      <c r="B4069" s="84" t="s">
        <v>3762</v>
      </c>
    </row>
    <row r="4070" spans="2:2" x14ac:dyDescent="0.3">
      <c r="B4070" s="84" t="s">
        <v>3741</v>
      </c>
    </row>
    <row r="4071" spans="2:2" x14ac:dyDescent="0.3">
      <c r="B4071" s="84" t="s">
        <v>3752</v>
      </c>
    </row>
    <row r="4072" spans="2:2" x14ac:dyDescent="0.3">
      <c r="B4072" s="84" t="s">
        <v>3742</v>
      </c>
    </row>
    <row r="4073" spans="2:2" x14ac:dyDescent="0.3">
      <c r="B4073" s="84" t="s">
        <v>3753</v>
      </c>
    </row>
    <row r="4074" spans="2:2" x14ac:dyDescent="0.3">
      <c r="B4074" s="84" t="s">
        <v>3743</v>
      </c>
    </row>
    <row r="4075" spans="2:2" x14ac:dyDescent="0.3">
      <c r="B4075" s="84" t="s">
        <v>3754</v>
      </c>
    </row>
    <row r="4076" spans="2:2" x14ac:dyDescent="0.3">
      <c r="B4076" s="84" t="s">
        <v>3744</v>
      </c>
    </row>
    <row r="4077" spans="2:2" x14ac:dyDescent="0.3">
      <c r="B4077" s="84" t="s">
        <v>3755</v>
      </c>
    </row>
    <row r="4078" spans="2:2" x14ac:dyDescent="0.3">
      <c r="B4078" s="84" t="s">
        <v>3745</v>
      </c>
    </row>
    <row r="4079" spans="2:2" x14ac:dyDescent="0.3">
      <c r="B4079" s="84" t="s">
        <v>3756</v>
      </c>
    </row>
    <row r="4080" spans="2:2" x14ac:dyDescent="0.3">
      <c r="B4080" s="84" t="s">
        <v>3746</v>
      </c>
    </row>
    <row r="4081" spans="2:2" x14ac:dyDescent="0.3">
      <c r="B4081" s="84" t="s">
        <v>3757</v>
      </c>
    </row>
    <row r="4082" spans="2:2" x14ac:dyDescent="0.3">
      <c r="B4082" s="84" t="s">
        <v>3747</v>
      </c>
    </row>
    <row r="4083" spans="2:2" x14ac:dyDescent="0.3">
      <c r="B4083" s="84" t="s">
        <v>3758</v>
      </c>
    </row>
    <row r="4084" spans="2:2" x14ac:dyDescent="0.3">
      <c r="B4084" s="84" t="s">
        <v>6113</v>
      </c>
    </row>
    <row r="4085" spans="2:2" x14ac:dyDescent="0.3">
      <c r="B4085" s="84" t="s">
        <v>6114</v>
      </c>
    </row>
    <row r="4086" spans="2:2" x14ac:dyDescent="0.3">
      <c r="B4086" s="84" t="s">
        <v>6115</v>
      </c>
    </row>
    <row r="4087" spans="2:2" x14ac:dyDescent="0.3">
      <c r="B4087" s="84" t="s">
        <v>6116</v>
      </c>
    </row>
    <row r="4088" spans="2:2" x14ac:dyDescent="0.3">
      <c r="B4088" s="84" t="s">
        <v>6117</v>
      </c>
    </row>
    <row r="4089" spans="2:2" x14ac:dyDescent="0.3">
      <c r="B4089" s="84" t="s">
        <v>6118</v>
      </c>
    </row>
    <row r="4090" spans="2:2" x14ac:dyDescent="0.3">
      <c r="B4090" s="84" t="s">
        <v>6119</v>
      </c>
    </row>
    <row r="4091" spans="2:2" x14ac:dyDescent="0.3">
      <c r="B4091" s="84" t="s">
        <v>6120</v>
      </c>
    </row>
    <row r="4092" spans="2:2" x14ac:dyDescent="0.3">
      <c r="B4092" s="84" t="s">
        <v>6121</v>
      </c>
    </row>
    <row r="4093" spans="2:2" x14ac:dyDescent="0.3">
      <c r="B4093" s="84" t="s">
        <v>6122</v>
      </c>
    </row>
    <row r="4094" spans="2:2" x14ac:dyDescent="0.3">
      <c r="B4094" s="84" t="s">
        <v>6123</v>
      </c>
    </row>
    <row r="4095" spans="2:2" x14ac:dyDescent="0.3">
      <c r="B4095" s="84" t="s">
        <v>6124</v>
      </c>
    </row>
    <row r="4096" spans="2:2" x14ac:dyDescent="0.3">
      <c r="B4096" s="84" t="s">
        <v>6125</v>
      </c>
    </row>
    <row r="4097" spans="2:2" x14ac:dyDescent="0.3">
      <c r="B4097" s="84" t="s">
        <v>6126</v>
      </c>
    </row>
    <row r="4098" spans="2:2" x14ac:dyDescent="0.3">
      <c r="B4098" s="84" t="s">
        <v>6127</v>
      </c>
    </row>
    <row r="4099" spans="2:2" x14ac:dyDescent="0.3">
      <c r="B4099" s="84" t="s">
        <v>6128</v>
      </c>
    </row>
    <row r="4100" spans="2:2" x14ac:dyDescent="0.3">
      <c r="B4100" s="84" t="s">
        <v>6129</v>
      </c>
    </row>
    <row r="4101" spans="2:2" x14ac:dyDescent="0.3">
      <c r="B4101" s="84" t="s">
        <v>6130</v>
      </c>
    </row>
    <row r="4102" spans="2:2" x14ac:dyDescent="0.3">
      <c r="B4102" s="84" t="s">
        <v>6131</v>
      </c>
    </row>
    <row r="4103" spans="2:2" x14ac:dyDescent="0.3">
      <c r="B4103" s="84" t="s">
        <v>6132</v>
      </c>
    </row>
    <row r="4104" spans="2:2" x14ac:dyDescent="0.3">
      <c r="B4104" s="84" t="s">
        <v>6133</v>
      </c>
    </row>
    <row r="4105" spans="2:2" x14ac:dyDescent="0.3">
      <c r="B4105" s="84" t="s">
        <v>6134</v>
      </c>
    </row>
    <row r="4106" spans="2:2" x14ac:dyDescent="0.3">
      <c r="B4106" s="84" t="s">
        <v>6135</v>
      </c>
    </row>
    <row r="4107" spans="2:2" x14ac:dyDescent="0.3">
      <c r="B4107" s="84" t="s">
        <v>6136</v>
      </c>
    </row>
    <row r="4108" spans="2:2" x14ac:dyDescent="0.3">
      <c r="B4108" s="84" t="s">
        <v>6137</v>
      </c>
    </row>
    <row r="4109" spans="2:2" x14ac:dyDescent="0.3">
      <c r="B4109" s="84" t="s">
        <v>3723</v>
      </c>
    </row>
    <row r="4110" spans="2:2" x14ac:dyDescent="0.3">
      <c r="B4110" s="84" t="s">
        <v>3734</v>
      </c>
    </row>
    <row r="4111" spans="2:2" x14ac:dyDescent="0.3">
      <c r="B4111" s="84" t="s">
        <v>3724</v>
      </c>
    </row>
    <row r="4112" spans="2:2" x14ac:dyDescent="0.3">
      <c r="B4112" s="84" t="s">
        <v>3735</v>
      </c>
    </row>
    <row r="4113" spans="2:2" x14ac:dyDescent="0.3">
      <c r="B4113" s="84" t="s">
        <v>3713</v>
      </c>
    </row>
    <row r="4114" spans="2:2" x14ac:dyDescent="0.3">
      <c r="B4114" s="84" t="s">
        <v>3714</v>
      </c>
    </row>
    <row r="4115" spans="2:2" x14ac:dyDescent="0.3">
      <c r="B4115" s="84" t="s">
        <v>3725</v>
      </c>
    </row>
    <row r="4116" spans="2:2" x14ac:dyDescent="0.3">
      <c r="B4116" s="84" t="s">
        <v>3736</v>
      </c>
    </row>
    <row r="4117" spans="2:2" x14ac:dyDescent="0.3">
      <c r="B4117" s="84" t="s">
        <v>3715</v>
      </c>
    </row>
    <row r="4118" spans="2:2" x14ac:dyDescent="0.3">
      <c r="B4118" s="84" t="s">
        <v>3726</v>
      </c>
    </row>
    <row r="4119" spans="2:2" x14ac:dyDescent="0.3">
      <c r="B4119" s="84" t="s">
        <v>3737</v>
      </c>
    </row>
    <row r="4120" spans="2:2" x14ac:dyDescent="0.3">
      <c r="B4120" s="84" t="s">
        <v>3716</v>
      </c>
    </row>
    <row r="4121" spans="2:2" x14ac:dyDescent="0.3">
      <c r="B4121" s="84" t="s">
        <v>3727</v>
      </c>
    </row>
    <row r="4122" spans="2:2" x14ac:dyDescent="0.3">
      <c r="B4122" s="84" t="s">
        <v>3717</v>
      </c>
    </row>
    <row r="4123" spans="2:2" x14ac:dyDescent="0.3">
      <c r="B4123" s="84" t="s">
        <v>3728</v>
      </c>
    </row>
    <row r="4124" spans="2:2" x14ac:dyDescent="0.3">
      <c r="B4124" s="84" t="s">
        <v>3718</v>
      </c>
    </row>
    <row r="4125" spans="2:2" x14ac:dyDescent="0.3">
      <c r="B4125" s="84" t="s">
        <v>3729</v>
      </c>
    </row>
    <row r="4126" spans="2:2" x14ac:dyDescent="0.3">
      <c r="B4126" s="84" t="s">
        <v>3719</v>
      </c>
    </row>
    <row r="4127" spans="2:2" x14ac:dyDescent="0.3">
      <c r="B4127" s="84" t="s">
        <v>3730</v>
      </c>
    </row>
    <row r="4128" spans="2:2" x14ac:dyDescent="0.3">
      <c r="B4128" s="84" t="s">
        <v>3720</v>
      </c>
    </row>
    <row r="4129" spans="2:2" x14ac:dyDescent="0.3">
      <c r="B4129" s="84" t="s">
        <v>3731</v>
      </c>
    </row>
    <row r="4130" spans="2:2" x14ac:dyDescent="0.3">
      <c r="B4130" s="84" t="s">
        <v>3721</v>
      </c>
    </row>
    <row r="4131" spans="2:2" x14ac:dyDescent="0.3">
      <c r="B4131" s="84" t="s">
        <v>3732</v>
      </c>
    </row>
    <row r="4132" spans="2:2" x14ac:dyDescent="0.3">
      <c r="B4132" s="84" t="s">
        <v>3722</v>
      </c>
    </row>
    <row r="4133" spans="2:2" x14ac:dyDescent="0.3">
      <c r="B4133" s="84" t="s">
        <v>3733</v>
      </c>
    </row>
    <row r="4134" spans="2:2" x14ac:dyDescent="0.3">
      <c r="B4134" s="84" t="s">
        <v>3698</v>
      </c>
    </row>
    <row r="4135" spans="2:2" x14ac:dyDescent="0.3">
      <c r="B4135" s="84" t="s">
        <v>3709</v>
      </c>
    </row>
    <row r="4136" spans="2:2" x14ac:dyDescent="0.3">
      <c r="B4136" s="84" t="s">
        <v>3699</v>
      </c>
    </row>
    <row r="4137" spans="2:2" x14ac:dyDescent="0.3">
      <c r="B4137" s="84" t="s">
        <v>3710</v>
      </c>
    </row>
    <row r="4138" spans="2:2" x14ac:dyDescent="0.3">
      <c r="B4138" s="84" t="s">
        <v>3688</v>
      </c>
    </row>
    <row r="4139" spans="2:2" x14ac:dyDescent="0.3">
      <c r="B4139" s="84" t="s">
        <v>3689</v>
      </c>
    </row>
    <row r="4140" spans="2:2" x14ac:dyDescent="0.3">
      <c r="B4140" s="84" t="s">
        <v>3700</v>
      </c>
    </row>
    <row r="4141" spans="2:2" x14ac:dyDescent="0.3">
      <c r="B4141" s="84" t="s">
        <v>3711</v>
      </c>
    </row>
    <row r="4142" spans="2:2" x14ac:dyDescent="0.3">
      <c r="B4142" s="84" t="s">
        <v>3690</v>
      </c>
    </row>
    <row r="4143" spans="2:2" x14ac:dyDescent="0.3">
      <c r="B4143" s="84" t="s">
        <v>3701</v>
      </c>
    </row>
    <row r="4144" spans="2:2" x14ac:dyDescent="0.3">
      <c r="B4144" s="84" t="s">
        <v>3712</v>
      </c>
    </row>
    <row r="4145" spans="2:2" x14ac:dyDescent="0.3">
      <c r="B4145" s="84" t="s">
        <v>3691</v>
      </c>
    </row>
    <row r="4146" spans="2:2" x14ac:dyDescent="0.3">
      <c r="B4146" s="84" t="s">
        <v>3702</v>
      </c>
    </row>
    <row r="4147" spans="2:2" x14ac:dyDescent="0.3">
      <c r="B4147" s="84" t="s">
        <v>3692</v>
      </c>
    </row>
    <row r="4148" spans="2:2" x14ac:dyDescent="0.3">
      <c r="B4148" s="84" t="s">
        <v>3703</v>
      </c>
    </row>
    <row r="4149" spans="2:2" x14ac:dyDescent="0.3">
      <c r="B4149" s="84" t="s">
        <v>3693</v>
      </c>
    </row>
    <row r="4150" spans="2:2" x14ac:dyDescent="0.3">
      <c r="B4150" s="84" t="s">
        <v>3704</v>
      </c>
    </row>
    <row r="4151" spans="2:2" x14ac:dyDescent="0.3">
      <c r="B4151" s="84" t="s">
        <v>3694</v>
      </c>
    </row>
    <row r="4152" spans="2:2" x14ac:dyDescent="0.3">
      <c r="B4152" s="84" t="s">
        <v>3705</v>
      </c>
    </row>
    <row r="4153" spans="2:2" x14ac:dyDescent="0.3">
      <c r="B4153" s="84" t="s">
        <v>3695</v>
      </c>
    </row>
    <row r="4154" spans="2:2" x14ac:dyDescent="0.3">
      <c r="B4154" s="84" t="s">
        <v>3706</v>
      </c>
    </row>
    <row r="4155" spans="2:2" x14ac:dyDescent="0.3">
      <c r="B4155" s="84" t="s">
        <v>3696</v>
      </c>
    </row>
    <row r="4156" spans="2:2" x14ac:dyDescent="0.3">
      <c r="B4156" s="84" t="s">
        <v>3707</v>
      </c>
    </row>
    <row r="4157" spans="2:2" x14ac:dyDescent="0.3">
      <c r="B4157" s="84" t="s">
        <v>3697</v>
      </c>
    </row>
    <row r="4158" spans="2:2" x14ac:dyDescent="0.3">
      <c r="B4158" s="84" t="s">
        <v>3708</v>
      </c>
    </row>
    <row r="4159" spans="2:2" x14ac:dyDescent="0.3">
      <c r="B4159" s="84" t="s">
        <v>3798</v>
      </c>
    </row>
    <row r="4160" spans="2:2" x14ac:dyDescent="0.3">
      <c r="B4160" s="84" t="s">
        <v>3809</v>
      </c>
    </row>
    <row r="4161" spans="2:2" x14ac:dyDescent="0.3">
      <c r="B4161" s="84" t="s">
        <v>3799</v>
      </c>
    </row>
    <row r="4162" spans="2:2" x14ac:dyDescent="0.3">
      <c r="B4162" s="84" t="s">
        <v>3810</v>
      </c>
    </row>
    <row r="4163" spans="2:2" x14ac:dyDescent="0.3">
      <c r="B4163" s="84" t="s">
        <v>3788</v>
      </c>
    </row>
    <row r="4164" spans="2:2" x14ac:dyDescent="0.3">
      <c r="B4164" s="84" t="s">
        <v>3789</v>
      </c>
    </row>
    <row r="4165" spans="2:2" x14ac:dyDescent="0.3">
      <c r="B4165" s="84" t="s">
        <v>3800</v>
      </c>
    </row>
    <row r="4166" spans="2:2" x14ac:dyDescent="0.3">
      <c r="B4166" s="84" t="s">
        <v>3811</v>
      </c>
    </row>
    <row r="4167" spans="2:2" x14ac:dyDescent="0.3">
      <c r="B4167" s="84" t="s">
        <v>3790</v>
      </c>
    </row>
    <row r="4168" spans="2:2" x14ac:dyDescent="0.3">
      <c r="B4168" s="84" t="s">
        <v>3801</v>
      </c>
    </row>
    <row r="4169" spans="2:2" x14ac:dyDescent="0.3">
      <c r="B4169" s="84" t="s">
        <v>3812</v>
      </c>
    </row>
    <row r="4170" spans="2:2" x14ac:dyDescent="0.3">
      <c r="B4170" s="84" t="s">
        <v>3791</v>
      </c>
    </row>
    <row r="4171" spans="2:2" x14ac:dyDescent="0.3">
      <c r="B4171" s="84" t="s">
        <v>3802</v>
      </c>
    </row>
    <row r="4172" spans="2:2" x14ac:dyDescent="0.3">
      <c r="B4172" s="84" t="s">
        <v>3792</v>
      </c>
    </row>
    <row r="4173" spans="2:2" x14ac:dyDescent="0.3">
      <c r="B4173" s="84" t="s">
        <v>3803</v>
      </c>
    </row>
    <row r="4174" spans="2:2" x14ac:dyDescent="0.3">
      <c r="B4174" s="84" t="s">
        <v>3793</v>
      </c>
    </row>
    <row r="4175" spans="2:2" x14ac:dyDescent="0.3">
      <c r="B4175" s="84" t="s">
        <v>3804</v>
      </c>
    </row>
    <row r="4176" spans="2:2" x14ac:dyDescent="0.3">
      <c r="B4176" s="84" t="s">
        <v>3794</v>
      </c>
    </row>
    <row r="4177" spans="2:2" x14ac:dyDescent="0.3">
      <c r="B4177" s="84" t="s">
        <v>3805</v>
      </c>
    </row>
    <row r="4178" spans="2:2" x14ac:dyDescent="0.3">
      <c r="B4178" s="84" t="s">
        <v>3795</v>
      </c>
    </row>
    <row r="4179" spans="2:2" x14ac:dyDescent="0.3">
      <c r="B4179" s="84" t="s">
        <v>3806</v>
      </c>
    </row>
    <row r="4180" spans="2:2" x14ac:dyDescent="0.3">
      <c r="B4180" s="84" t="s">
        <v>3796</v>
      </c>
    </row>
    <row r="4181" spans="2:2" x14ac:dyDescent="0.3">
      <c r="B4181" s="84" t="s">
        <v>3807</v>
      </c>
    </row>
    <row r="4182" spans="2:2" x14ac:dyDescent="0.3">
      <c r="B4182" s="84" t="s">
        <v>3797</v>
      </c>
    </row>
    <row r="4183" spans="2:2" x14ac:dyDescent="0.3">
      <c r="B4183" s="84" t="s">
        <v>3808</v>
      </c>
    </row>
    <row r="4184" spans="2:2" x14ac:dyDescent="0.3">
      <c r="B4184" s="84" t="s">
        <v>3673</v>
      </c>
    </row>
    <row r="4185" spans="2:2" x14ac:dyDescent="0.3">
      <c r="B4185" s="84" t="s">
        <v>3684</v>
      </c>
    </row>
    <row r="4186" spans="2:2" x14ac:dyDescent="0.3">
      <c r="B4186" s="84" t="s">
        <v>3674</v>
      </c>
    </row>
    <row r="4187" spans="2:2" x14ac:dyDescent="0.3">
      <c r="B4187" s="84" t="s">
        <v>3685</v>
      </c>
    </row>
    <row r="4188" spans="2:2" x14ac:dyDescent="0.3">
      <c r="B4188" s="84" t="s">
        <v>3663</v>
      </c>
    </row>
    <row r="4189" spans="2:2" x14ac:dyDescent="0.3">
      <c r="B4189" s="84" t="s">
        <v>3664</v>
      </c>
    </row>
    <row r="4190" spans="2:2" x14ac:dyDescent="0.3">
      <c r="B4190" s="84" t="s">
        <v>3675</v>
      </c>
    </row>
    <row r="4191" spans="2:2" x14ac:dyDescent="0.3">
      <c r="B4191" s="84" t="s">
        <v>3686</v>
      </c>
    </row>
    <row r="4192" spans="2:2" x14ac:dyDescent="0.3">
      <c r="B4192" s="84" t="s">
        <v>3665</v>
      </c>
    </row>
    <row r="4193" spans="2:2" x14ac:dyDescent="0.3">
      <c r="B4193" s="84" t="s">
        <v>3676</v>
      </c>
    </row>
    <row r="4194" spans="2:2" x14ac:dyDescent="0.3">
      <c r="B4194" s="84" t="s">
        <v>3687</v>
      </c>
    </row>
    <row r="4195" spans="2:2" x14ac:dyDescent="0.3">
      <c r="B4195" s="84" t="s">
        <v>3666</v>
      </c>
    </row>
    <row r="4196" spans="2:2" x14ac:dyDescent="0.3">
      <c r="B4196" s="84" t="s">
        <v>3677</v>
      </c>
    </row>
    <row r="4197" spans="2:2" x14ac:dyDescent="0.3">
      <c r="B4197" s="84" t="s">
        <v>3667</v>
      </c>
    </row>
    <row r="4198" spans="2:2" x14ac:dyDescent="0.3">
      <c r="B4198" s="84" t="s">
        <v>3678</v>
      </c>
    </row>
    <row r="4199" spans="2:2" x14ac:dyDescent="0.3">
      <c r="B4199" s="84" t="s">
        <v>3668</v>
      </c>
    </row>
    <row r="4200" spans="2:2" x14ac:dyDescent="0.3">
      <c r="B4200" s="84" t="s">
        <v>3679</v>
      </c>
    </row>
    <row r="4201" spans="2:2" x14ac:dyDescent="0.3">
      <c r="B4201" s="84" t="s">
        <v>3669</v>
      </c>
    </row>
    <row r="4202" spans="2:2" x14ac:dyDescent="0.3">
      <c r="B4202" s="84" t="s">
        <v>3680</v>
      </c>
    </row>
    <row r="4203" spans="2:2" x14ac:dyDescent="0.3">
      <c r="B4203" s="84" t="s">
        <v>3670</v>
      </c>
    </row>
    <row r="4204" spans="2:2" x14ac:dyDescent="0.3">
      <c r="B4204" s="84" t="s">
        <v>3681</v>
      </c>
    </row>
    <row r="4205" spans="2:2" x14ac:dyDescent="0.3">
      <c r="B4205" s="84" t="s">
        <v>3671</v>
      </c>
    </row>
    <row r="4206" spans="2:2" x14ac:dyDescent="0.3">
      <c r="B4206" s="84" t="s">
        <v>3682</v>
      </c>
    </row>
    <row r="4207" spans="2:2" x14ac:dyDescent="0.3">
      <c r="B4207" s="84" t="s">
        <v>3672</v>
      </c>
    </row>
    <row r="4208" spans="2:2" x14ac:dyDescent="0.3">
      <c r="B4208" s="84" t="s">
        <v>3683</v>
      </c>
    </row>
    <row r="4209" spans="2:2" x14ac:dyDescent="0.3">
      <c r="B4209" s="84" t="s">
        <v>3623</v>
      </c>
    </row>
    <row r="4210" spans="2:2" x14ac:dyDescent="0.3">
      <c r="B4210" s="84" t="s">
        <v>3634</v>
      </c>
    </row>
    <row r="4211" spans="2:2" x14ac:dyDescent="0.3">
      <c r="B4211" s="84" t="s">
        <v>3624</v>
      </c>
    </row>
    <row r="4212" spans="2:2" x14ac:dyDescent="0.3">
      <c r="B4212" s="84" t="s">
        <v>3635</v>
      </c>
    </row>
    <row r="4213" spans="2:2" x14ac:dyDescent="0.3">
      <c r="B4213" s="84" t="s">
        <v>3613</v>
      </c>
    </row>
    <row r="4214" spans="2:2" x14ac:dyDescent="0.3">
      <c r="B4214" s="84" t="s">
        <v>3614</v>
      </c>
    </row>
    <row r="4215" spans="2:2" x14ac:dyDescent="0.3">
      <c r="B4215" s="84" t="s">
        <v>3625</v>
      </c>
    </row>
    <row r="4216" spans="2:2" x14ac:dyDescent="0.3">
      <c r="B4216" s="84" t="s">
        <v>3636</v>
      </c>
    </row>
    <row r="4217" spans="2:2" x14ac:dyDescent="0.3">
      <c r="B4217" s="84" t="s">
        <v>3615</v>
      </c>
    </row>
    <row r="4218" spans="2:2" x14ac:dyDescent="0.3">
      <c r="B4218" s="84" t="s">
        <v>3626</v>
      </c>
    </row>
    <row r="4219" spans="2:2" x14ac:dyDescent="0.3">
      <c r="B4219" s="84" t="s">
        <v>3637</v>
      </c>
    </row>
    <row r="4220" spans="2:2" x14ac:dyDescent="0.3">
      <c r="B4220" s="84" t="s">
        <v>3616</v>
      </c>
    </row>
    <row r="4221" spans="2:2" x14ac:dyDescent="0.3">
      <c r="B4221" s="84" t="s">
        <v>3627</v>
      </c>
    </row>
    <row r="4222" spans="2:2" x14ac:dyDescent="0.3">
      <c r="B4222" s="84" t="s">
        <v>3617</v>
      </c>
    </row>
    <row r="4223" spans="2:2" x14ac:dyDescent="0.3">
      <c r="B4223" s="84" t="s">
        <v>3628</v>
      </c>
    </row>
    <row r="4224" spans="2:2" x14ac:dyDescent="0.3">
      <c r="B4224" s="84" t="s">
        <v>3618</v>
      </c>
    </row>
    <row r="4225" spans="2:2" x14ac:dyDescent="0.3">
      <c r="B4225" s="84" t="s">
        <v>3629</v>
      </c>
    </row>
    <row r="4226" spans="2:2" x14ac:dyDescent="0.3">
      <c r="B4226" s="84" t="s">
        <v>3619</v>
      </c>
    </row>
    <row r="4227" spans="2:2" x14ac:dyDescent="0.3">
      <c r="B4227" s="84" t="s">
        <v>3630</v>
      </c>
    </row>
    <row r="4228" spans="2:2" x14ac:dyDescent="0.3">
      <c r="B4228" s="84" t="s">
        <v>3620</v>
      </c>
    </row>
    <row r="4229" spans="2:2" x14ac:dyDescent="0.3">
      <c r="B4229" s="84" t="s">
        <v>3631</v>
      </c>
    </row>
    <row r="4230" spans="2:2" x14ac:dyDescent="0.3">
      <c r="B4230" s="84" t="s">
        <v>3621</v>
      </c>
    </row>
    <row r="4231" spans="2:2" x14ac:dyDescent="0.3">
      <c r="B4231" s="84" t="s">
        <v>3632</v>
      </c>
    </row>
    <row r="4232" spans="2:2" x14ac:dyDescent="0.3">
      <c r="B4232" s="84" t="s">
        <v>3622</v>
      </c>
    </row>
    <row r="4233" spans="2:2" x14ac:dyDescent="0.3">
      <c r="B4233" s="84" t="s">
        <v>3633</v>
      </c>
    </row>
    <row r="4234" spans="2:2" x14ac:dyDescent="0.3">
      <c r="B4234" s="84" t="s">
        <v>3598</v>
      </c>
    </row>
    <row r="4235" spans="2:2" x14ac:dyDescent="0.3">
      <c r="B4235" s="84" t="s">
        <v>3609</v>
      </c>
    </row>
    <row r="4236" spans="2:2" x14ac:dyDescent="0.3">
      <c r="B4236" s="84" t="s">
        <v>3599</v>
      </c>
    </row>
    <row r="4237" spans="2:2" x14ac:dyDescent="0.3">
      <c r="B4237" s="84" t="s">
        <v>3610</v>
      </c>
    </row>
    <row r="4238" spans="2:2" x14ac:dyDescent="0.3">
      <c r="B4238" s="84" t="s">
        <v>3588</v>
      </c>
    </row>
    <row r="4239" spans="2:2" x14ac:dyDescent="0.3">
      <c r="B4239" s="84" t="s">
        <v>3589</v>
      </c>
    </row>
    <row r="4240" spans="2:2" x14ac:dyDescent="0.3">
      <c r="B4240" s="84" t="s">
        <v>3600</v>
      </c>
    </row>
    <row r="4241" spans="2:2" x14ac:dyDescent="0.3">
      <c r="B4241" s="84" t="s">
        <v>3611</v>
      </c>
    </row>
    <row r="4242" spans="2:2" x14ac:dyDescent="0.3">
      <c r="B4242" s="84" t="s">
        <v>3590</v>
      </c>
    </row>
    <row r="4243" spans="2:2" x14ac:dyDescent="0.3">
      <c r="B4243" s="84" t="s">
        <v>3601</v>
      </c>
    </row>
    <row r="4244" spans="2:2" x14ac:dyDescent="0.3">
      <c r="B4244" s="84" t="s">
        <v>3612</v>
      </c>
    </row>
    <row r="4245" spans="2:2" x14ac:dyDescent="0.3">
      <c r="B4245" s="84" t="s">
        <v>3591</v>
      </c>
    </row>
    <row r="4246" spans="2:2" x14ac:dyDescent="0.3">
      <c r="B4246" s="84" t="s">
        <v>3602</v>
      </c>
    </row>
    <row r="4247" spans="2:2" x14ac:dyDescent="0.3">
      <c r="B4247" s="84" t="s">
        <v>3592</v>
      </c>
    </row>
    <row r="4248" spans="2:2" x14ac:dyDescent="0.3">
      <c r="B4248" s="84" t="s">
        <v>3603</v>
      </c>
    </row>
    <row r="4249" spans="2:2" x14ac:dyDescent="0.3">
      <c r="B4249" s="84" t="s">
        <v>3593</v>
      </c>
    </row>
    <row r="4250" spans="2:2" x14ac:dyDescent="0.3">
      <c r="B4250" s="84" t="s">
        <v>3604</v>
      </c>
    </row>
    <row r="4251" spans="2:2" x14ac:dyDescent="0.3">
      <c r="B4251" s="84" t="s">
        <v>3594</v>
      </c>
    </row>
    <row r="4252" spans="2:2" x14ac:dyDescent="0.3">
      <c r="B4252" s="84" t="s">
        <v>3605</v>
      </c>
    </row>
    <row r="4253" spans="2:2" x14ac:dyDescent="0.3">
      <c r="B4253" s="84" t="s">
        <v>3595</v>
      </c>
    </row>
    <row r="4254" spans="2:2" x14ac:dyDescent="0.3">
      <c r="B4254" s="84" t="s">
        <v>3606</v>
      </c>
    </row>
    <row r="4255" spans="2:2" x14ac:dyDescent="0.3">
      <c r="B4255" s="84" t="s">
        <v>3596</v>
      </c>
    </row>
    <row r="4256" spans="2:2" x14ac:dyDescent="0.3">
      <c r="B4256" s="84" t="s">
        <v>3607</v>
      </c>
    </row>
    <row r="4257" spans="2:2" x14ac:dyDescent="0.3">
      <c r="B4257" s="84" t="s">
        <v>3597</v>
      </c>
    </row>
    <row r="4258" spans="2:2" x14ac:dyDescent="0.3">
      <c r="B4258" s="84" t="s">
        <v>3608</v>
      </c>
    </row>
    <row r="4259" spans="2:2" x14ac:dyDescent="0.3">
      <c r="B4259" s="84" t="s">
        <v>3573</v>
      </c>
    </row>
    <row r="4260" spans="2:2" x14ac:dyDescent="0.3">
      <c r="B4260" s="84" t="s">
        <v>3584</v>
      </c>
    </row>
    <row r="4261" spans="2:2" x14ac:dyDescent="0.3">
      <c r="B4261" s="84" t="s">
        <v>3574</v>
      </c>
    </row>
    <row r="4262" spans="2:2" x14ac:dyDescent="0.3">
      <c r="B4262" s="84" t="s">
        <v>3585</v>
      </c>
    </row>
    <row r="4263" spans="2:2" x14ac:dyDescent="0.3">
      <c r="B4263" s="84" t="s">
        <v>3563</v>
      </c>
    </row>
    <row r="4264" spans="2:2" x14ac:dyDescent="0.3">
      <c r="B4264" s="84" t="s">
        <v>3564</v>
      </c>
    </row>
    <row r="4265" spans="2:2" x14ac:dyDescent="0.3">
      <c r="B4265" s="84" t="s">
        <v>3575</v>
      </c>
    </row>
    <row r="4266" spans="2:2" x14ac:dyDescent="0.3">
      <c r="B4266" s="84" t="s">
        <v>3586</v>
      </c>
    </row>
    <row r="4267" spans="2:2" x14ac:dyDescent="0.3">
      <c r="B4267" s="84" t="s">
        <v>3565</v>
      </c>
    </row>
    <row r="4268" spans="2:2" x14ac:dyDescent="0.3">
      <c r="B4268" s="84" t="s">
        <v>3576</v>
      </c>
    </row>
    <row r="4269" spans="2:2" x14ac:dyDescent="0.3">
      <c r="B4269" s="84" t="s">
        <v>3587</v>
      </c>
    </row>
    <row r="4270" spans="2:2" x14ac:dyDescent="0.3">
      <c r="B4270" s="84" t="s">
        <v>3566</v>
      </c>
    </row>
    <row r="4271" spans="2:2" x14ac:dyDescent="0.3">
      <c r="B4271" s="84" t="s">
        <v>3577</v>
      </c>
    </row>
    <row r="4272" spans="2:2" x14ac:dyDescent="0.3">
      <c r="B4272" s="84" t="s">
        <v>3567</v>
      </c>
    </row>
    <row r="4273" spans="2:2" x14ac:dyDescent="0.3">
      <c r="B4273" s="84" t="s">
        <v>3578</v>
      </c>
    </row>
    <row r="4274" spans="2:2" x14ac:dyDescent="0.3">
      <c r="B4274" s="84" t="s">
        <v>3568</v>
      </c>
    </row>
    <row r="4275" spans="2:2" x14ac:dyDescent="0.3">
      <c r="B4275" s="84" t="s">
        <v>3579</v>
      </c>
    </row>
    <row r="4276" spans="2:2" x14ac:dyDescent="0.3">
      <c r="B4276" s="84" t="s">
        <v>3569</v>
      </c>
    </row>
    <row r="4277" spans="2:2" x14ac:dyDescent="0.3">
      <c r="B4277" s="84" t="s">
        <v>3580</v>
      </c>
    </row>
    <row r="4278" spans="2:2" x14ac:dyDescent="0.3">
      <c r="B4278" s="84" t="s">
        <v>3570</v>
      </c>
    </row>
    <row r="4279" spans="2:2" x14ac:dyDescent="0.3">
      <c r="B4279" s="84" t="s">
        <v>3581</v>
      </c>
    </row>
    <row r="4280" spans="2:2" x14ac:dyDescent="0.3">
      <c r="B4280" s="84" t="s">
        <v>3571</v>
      </c>
    </row>
    <row r="4281" spans="2:2" x14ac:dyDescent="0.3">
      <c r="B4281" s="84" t="s">
        <v>3582</v>
      </c>
    </row>
    <row r="4282" spans="2:2" x14ac:dyDescent="0.3">
      <c r="B4282" s="84" t="s">
        <v>3572</v>
      </c>
    </row>
    <row r="4283" spans="2:2" x14ac:dyDescent="0.3">
      <c r="B4283" s="84" t="s">
        <v>3583</v>
      </c>
    </row>
    <row r="4284" spans="2:2" x14ac:dyDescent="0.3">
      <c r="B4284" s="84" t="s">
        <v>3548</v>
      </c>
    </row>
    <row r="4285" spans="2:2" x14ac:dyDescent="0.3">
      <c r="B4285" s="84" t="s">
        <v>3559</v>
      </c>
    </row>
    <row r="4286" spans="2:2" x14ac:dyDescent="0.3">
      <c r="B4286" s="84" t="s">
        <v>3549</v>
      </c>
    </row>
    <row r="4287" spans="2:2" x14ac:dyDescent="0.3">
      <c r="B4287" s="84" t="s">
        <v>3560</v>
      </c>
    </row>
    <row r="4288" spans="2:2" x14ac:dyDescent="0.3">
      <c r="B4288" s="84" t="s">
        <v>3538</v>
      </c>
    </row>
    <row r="4289" spans="2:2" x14ac:dyDescent="0.3">
      <c r="B4289" s="84" t="s">
        <v>3539</v>
      </c>
    </row>
    <row r="4290" spans="2:2" x14ac:dyDescent="0.3">
      <c r="B4290" s="84" t="s">
        <v>3550</v>
      </c>
    </row>
    <row r="4291" spans="2:2" x14ac:dyDescent="0.3">
      <c r="B4291" s="84" t="s">
        <v>3561</v>
      </c>
    </row>
    <row r="4292" spans="2:2" x14ac:dyDescent="0.3">
      <c r="B4292" s="84" t="s">
        <v>3540</v>
      </c>
    </row>
    <row r="4293" spans="2:2" x14ac:dyDescent="0.3">
      <c r="B4293" s="84" t="s">
        <v>3551</v>
      </c>
    </row>
    <row r="4294" spans="2:2" x14ac:dyDescent="0.3">
      <c r="B4294" s="84" t="s">
        <v>3562</v>
      </c>
    </row>
    <row r="4295" spans="2:2" x14ac:dyDescent="0.3">
      <c r="B4295" s="84" t="s">
        <v>3541</v>
      </c>
    </row>
    <row r="4296" spans="2:2" x14ac:dyDescent="0.3">
      <c r="B4296" s="84" t="s">
        <v>3552</v>
      </c>
    </row>
    <row r="4297" spans="2:2" x14ac:dyDescent="0.3">
      <c r="B4297" s="84" t="s">
        <v>3542</v>
      </c>
    </row>
    <row r="4298" spans="2:2" x14ac:dyDescent="0.3">
      <c r="B4298" s="84" t="s">
        <v>3553</v>
      </c>
    </row>
    <row r="4299" spans="2:2" x14ac:dyDescent="0.3">
      <c r="B4299" s="84" t="s">
        <v>3543</v>
      </c>
    </row>
    <row r="4300" spans="2:2" x14ac:dyDescent="0.3">
      <c r="B4300" s="84" t="s">
        <v>3554</v>
      </c>
    </row>
    <row r="4301" spans="2:2" x14ac:dyDescent="0.3">
      <c r="B4301" s="84" t="s">
        <v>3544</v>
      </c>
    </row>
    <row r="4302" spans="2:2" x14ac:dyDescent="0.3">
      <c r="B4302" s="84" t="s">
        <v>3555</v>
      </c>
    </row>
    <row r="4303" spans="2:2" x14ac:dyDescent="0.3">
      <c r="B4303" s="84" t="s">
        <v>3545</v>
      </c>
    </row>
    <row r="4304" spans="2:2" x14ac:dyDescent="0.3">
      <c r="B4304" s="84" t="s">
        <v>3556</v>
      </c>
    </row>
    <row r="4305" spans="2:2" x14ac:dyDescent="0.3">
      <c r="B4305" s="84" t="s">
        <v>3546</v>
      </c>
    </row>
    <row r="4306" spans="2:2" x14ac:dyDescent="0.3">
      <c r="B4306" s="84" t="s">
        <v>3557</v>
      </c>
    </row>
    <row r="4307" spans="2:2" x14ac:dyDescent="0.3">
      <c r="B4307" s="84" t="s">
        <v>3547</v>
      </c>
    </row>
    <row r="4308" spans="2:2" x14ac:dyDescent="0.3">
      <c r="B4308" s="84" t="s">
        <v>3558</v>
      </c>
    </row>
    <row r="4309" spans="2:2" x14ac:dyDescent="0.3">
      <c r="B4309" s="84" t="s">
        <v>3648</v>
      </c>
    </row>
    <row r="4310" spans="2:2" x14ac:dyDescent="0.3">
      <c r="B4310" s="84" t="s">
        <v>3659</v>
      </c>
    </row>
    <row r="4311" spans="2:2" x14ac:dyDescent="0.3">
      <c r="B4311" s="84" t="s">
        <v>3649</v>
      </c>
    </row>
    <row r="4312" spans="2:2" x14ac:dyDescent="0.3">
      <c r="B4312" s="84" t="s">
        <v>3660</v>
      </c>
    </row>
    <row r="4313" spans="2:2" x14ac:dyDescent="0.3">
      <c r="B4313" s="84" t="s">
        <v>3638</v>
      </c>
    </row>
    <row r="4314" spans="2:2" x14ac:dyDescent="0.3">
      <c r="B4314" s="84" t="s">
        <v>3639</v>
      </c>
    </row>
    <row r="4315" spans="2:2" x14ac:dyDescent="0.3">
      <c r="B4315" s="84" t="s">
        <v>3650</v>
      </c>
    </row>
    <row r="4316" spans="2:2" x14ac:dyDescent="0.3">
      <c r="B4316" s="84" t="s">
        <v>3661</v>
      </c>
    </row>
    <row r="4317" spans="2:2" x14ac:dyDescent="0.3">
      <c r="B4317" s="84" t="s">
        <v>3640</v>
      </c>
    </row>
    <row r="4318" spans="2:2" x14ac:dyDescent="0.3">
      <c r="B4318" s="84" t="s">
        <v>3651</v>
      </c>
    </row>
    <row r="4319" spans="2:2" x14ac:dyDescent="0.3">
      <c r="B4319" s="84" t="s">
        <v>3662</v>
      </c>
    </row>
    <row r="4320" spans="2:2" x14ac:dyDescent="0.3">
      <c r="B4320" s="84" t="s">
        <v>3641</v>
      </c>
    </row>
    <row r="4321" spans="2:2" x14ac:dyDescent="0.3">
      <c r="B4321" s="84" t="s">
        <v>3652</v>
      </c>
    </row>
    <row r="4322" spans="2:2" x14ac:dyDescent="0.3">
      <c r="B4322" s="84" t="s">
        <v>3642</v>
      </c>
    </row>
    <row r="4323" spans="2:2" x14ac:dyDescent="0.3">
      <c r="B4323" s="84" t="s">
        <v>3653</v>
      </c>
    </row>
    <row r="4324" spans="2:2" x14ac:dyDescent="0.3">
      <c r="B4324" s="84" t="s">
        <v>3643</v>
      </c>
    </row>
    <row r="4325" spans="2:2" x14ac:dyDescent="0.3">
      <c r="B4325" s="84" t="s">
        <v>3654</v>
      </c>
    </row>
    <row r="4326" spans="2:2" x14ac:dyDescent="0.3">
      <c r="B4326" s="84" t="s">
        <v>3644</v>
      </c>
    </row>
    <row r="4327" spans="2:2" x14ac:dyDescent="0.3">
      <c r="B4327" s="84" t="s">
        <v>3655</v>
      </c>
    </row>
    <row r="4328" spans="2:2" x14ac:dyDescent="0.3">
      <c r="B4328" s="84" t="s">
        <v>3645</v>
      </c>
    </row>
    <row r="4329" spans="2:2" x14ac:dyDescent="0.3">
      <c r="B4329" s="84" t="s">
        <v>3656</v>
      </c>
    </row>
    <row r="4330" spans="2:2" x14ac:dyDescent="0.3">
      <c r="B4330" s="84" t="s">
        <v>3646</v>
      </c>
    </row>
    <row r="4331" spans="2:2" x14ac:dyDescent="0.3">
      <c r="B4331" s="84" t="s">
        <v>3657</v>
      </c>
    </row>
    <row r="4332" spans="2:2" x14ac:dyDescent="0.3">
      <c r="B4332" s="84" t="s">
        <v>3647</v>
      </c>
    </row>
    <row r="4333" spans="2:2" x14ac:dyDescent="0.3">
      <c r="B4333" s="84" t="s">
        <v>3658</v>
      </c>
    </row>
    <row r="4334" spans="2:2" x14ac:dyDescent="0.3">
      <c r="B4334" s="84" t="s">
        <v>3848</v>
      </c>
    </row>
    <row r="4335" spans="2:2" x14ac:dyDescent="0.3">
      <c r="B4335" s="84" t="s">
        <v>3859</v>
      </c>
    </row>
    <row r="4336" spans="2:2" x14ac:dyDescent="0.3">
      <c r="B4336" s="84" t="s">
        <v>3849</v>
      </c>
    </row>
    <row r="4337" spans="2:2" x14ac:dyDescent="0.3">
      <c r="B4337" s="84" t="s">
        <v>3860</v>
      </c>
    </row>
    <row r="4338" spans="2:2" x14ac:dyDescent="0.3">
      <c r="B4338" s="84" t="s">
        <v>3838</v>
      </c>
    </row>
    <row r="4339" spans="2:2" x14ac:dyDescent="0.3">
      <c r="B4339" s="84" t="s">
        <v>3839</v>
      </c>
    </row>
    <row r="4340" spans="2:2" x14ac:dyDescent="0.3">
      <c r="B4340" s="84" t="s">
        <v>3850</v>
      </c>
    </row>
    <row r="4341" spans="2:2" x14ac:dyDescent="0.3">
      <c r="B4341" s="84" t="s">
        <v>3861</v>
      </c>
    </row>
    <row r="4342" spans="2:2" x14ac:dyDescent="0.3">
      <c r="B4342" s="84" t="s">
        <v>3840</v>
      </c>
    </row>
    <row r="4343" spans="2:2" x14ac:dyDescent="0.3">
      <c r="B4343" s="84" t="s">
        <v>3851</v>
      </c>
    </row>
    <row r="4344" spans="2:2" x14ac:dyDescent="0.3">
      <c r="B4344" s="84" t="s">
        <v>3862</v>
      </c>
    </row>
    <row r="4345" spans="2:2" x14ac:dyDescent="0.3">
      <c r="B4345" s="84" t="s">
        <v>3841</v>
      </c>
    </row>
    <row r="4346" spans="2:2" x14ac:dyDescent="0.3">
      <c r="B4346" s="84" t="s">
        <v>3852</v>
      </c>
    </row>
    <row r="4347" spans="2:2" x14ac:dyDescent="0.3">
      <c r="B4347" s="84" t="s">
        <v>3842</v>
      </c>
    </row>
    <row r="4348" spans="2:2" x14ac:dyDescent="0.3">
      <c r="B4348" s="84" t="s">
        <v>3853</v>
      </c>
    </row>
    <row r="4349" spans="2:2" x14ac:dyDescent="0.3">
      <c r="B4349" s="84" t="s">
        <v>3843</v>
      </c>
    </row>
    <row r="4350" spans="2:2" x14ac:dyDescent="0.3">
      <c r="B4350" s="84" t="s">
        <v>3854</v>
      </c>
    </row>
    <row r="4351" spans="2:2" x14ac:dyDescent="0.3">
      <c r="B4351" s="84" t="s">
        <v>3844</v>
      </c>
    </row>
    <row r="4352" spans="2:2" x14ac:dyDescent="0.3">
      <c r="B4352" s="84" t="s">
        <v>3855</v>
      </c>
    </row>
    <row r="4353" spans="2:2" x14ac:dyDescent="0.3">
      <c r="B4353" s="84" t="s">
        <v>3845</v>
      </c>
    </row>
    <row r="4354" spans="2:2" x14ac:dyDescent="0.3">
      <c r="B4354" s="84" t="s">
        <v>3856</v>
      </c>
    </row>
    <row r="4355" spans="2:2" x14ac:dyDescent="0.3">
      <c r="B4355" s="84" t="s">
        <v>3846</v>
      </c>
    </row>
    <row r="4356" spans="2:2" x14ac:dyDescent="0.3">
      <c r="B4356" s="84" t="s">
        <v>3857</v>
      </c>
    </row>
    <row r="4357" spans="2:2" x14ac:dyDescent="0.3">
      <c r="B4357" s="84" t="s">
        <v>3847</v>
      </c>
    </row>
    <row r="4358" spans="2:2" x14ac:dyDescent="0.3">
      <c r="B4358" s="84" t="s">
        <v>3858</v>
      </c>
    </row>
    <row r="4359" spans="2:2" x14ac:dyDescent="0.3">
      <c r="B4359" s="84" t="s">
        <v>3998</v>
      </c>
    </row>
    <row r="4360" spans="2:2" x14ac:dyDescent="0.3">
      <c r="B4360" s="84" t="s">
        <v>4009</v>
      </c>
    </row>
    <row r="4361" spans="2:2" x14ac:dyDescent="0.3">
      <c r="B4361" s="84" t="s">
        <v>3999</v>
      </c>
    </row>
    <row r="4362" spans="2:2" x14ac:dyDescent="0.3">
      <c r="B4362" s="84" t="s">
        <v>4010</v>
      </c>
    </row>
    <row r="4363" spans="2:2" x14ac:dyDescent="0.3">
      <c r="B4363" s="84" t="s">
        <v>3988</v>
      </c>
    </row>
    <row r="4364" spans="2:2" x14ac:dyDescent="0.3">
      <c r="B4364" s="84" t="s">
        <v>3989</v>
      </c>
    </row>
    <row r="4365" spans="2:2" x14ac:dyDescent="0.3">
      <c r="B4365" s="84" t="s">
        <v>4000</v>
      </c>
    </row>
    <row r="4366" spans="2:2" x14ac:dyDescent="0.3">
      <c r="B4366" s="84" t="s">
        <v>4011</v>
      </c>
    </row>
    <row r="4367" spans="2:2" x14ac:dyDescent="0.3">
      <c r="B4367" s="84" t="s">
        <v>3990</v>
      </c>
    </row>
    <row r="4368" spans="2:2" x14ac:dyDescent="0.3">
      <c r="B4368" s="84" t="s">
        <v>4001</v>
      </c>
    </row>
    <row r="4369" spans="2:2" x14ac:dyDescent="0.3">
      <c r="B4369" s="84" t="s">
        <v>4012</v>
      </c>
    </row>
    <row r="4370" spans="2:2" x14ac:dyDescent="0.3">
      <c r="B4370" s="84" t="s">
        <v>3991</v>
      </c>
    </row>
    <row r="4371" spans="2:2" x14ac:dyDescent="0.3">
      <c r="B4371" s="84" t="s">
        <v>4002</v>
      </c>
    </row>
    <row r="4372" spans="2:2" x14ac:dyDescent="0.3">
      <c r="B4372" s="84" t="s">
        <v>3992</v>
      </c>
    </row>
    <row r="4373" spans="2:2" x14ac:dyDescent="0.3">
      <c r="B4373" s="84" t="s">
        <v>4003</v>
      </c>
    </row>
    <row r="4374" spans="2:2" x14ac:dyDescent="0.3">
      <c r="B4374" s="84" t="s">
        <v>3993</v>
      </c>
    </row>
    <row r="4375" spans="2:2" x14ac:dyDescent="0.3">
      <c r="B4375" s="84" t="s">
        <v>4004</v>
      </c>
    </row>
    <row r="4376" spans="2:2" x14ac:dyDescent="0.3">
      <c r="B4376" s="84" t="s">
        <v>3994</v>
      </c>
    </row>
    <row r="4377" spans="2:2" x14ac:dyDescent="0.3">
      <c r="B4377" s="84" t="s">
        <v>4005</v>
      </c>
    </row>
    <row r="4378" spans="2:2" x14ac:dyDescent="0.3">
      <c r="B4378" s="84" t="s">
        <v>3995</v>
      </c>
    </row>
    <row r="4379" spans="2:2" x14ac:dyDescent="0.3">
      <c r="B4379" s="84" t="s">
        <v>4006</v>
      </c>
    </row>
    <row r="4380" spans="2:2" x14ac:dyDescent="0.3">
      <c r="B4380" s="84" t="s">
        <v>3996</v>
      </c>
    </row>
    <row r="4381" spans="2:2" x14ac:dyDescent="0.3">
      <c r="B4381" s="84" t="s">
        <v>4007</v>
      </c>
    </row>
    <row r="4382" spans="2:2" x14ac:dyDescent="0.3">
      <c r="B4382" s="84" t="s">
        <v>3997</v>
      </c>
    </row>
    <row r="4383" spans="2:2" x14ac:dyDescent="0.3">
      <c r="B4383" s="84" t="s">
        <v>4008</v>
      </c>
    </row>
    <row r="4384" spans="2:2" x14ac:dyDescent="0.3">
      <c r="B4384" s="84" t="s">
        <v>3973</v>
      </c>
    </row>
    <row r="4385" spans="2:2" x14ac:dyDescent="0.3">
      <c r="B4385" s="84" t="s">
        <v>3984</v>
      </c>
    </row>
    <row r="4386" spans="2:2" x14ac:dyDescent="0.3">
      <c r="B4386" s="84" t="s">
        <v>3974</v>
      </c>
    </row>
    <row r="4387" spans="2:2" x14ac:dyDescent="0.3">
      <c r="B4387" s="84" t="s">
        <v>3985</v>
      </c>
    </row>
    <row r="4388" spans="2:2" x14ac:dyDescent="0.3">
      <c r="B4388" s="84" t="s">
        <v>3963</v>
      </c>
    </row>
    <row r="4389" spans="2:2" x14ac:dyDescent="0.3">
      <c r="B4389" s="84" t="s">
        <v>3964</v>
      </c>
    </row>
    <row r="4390" spans="2:2" x14ac:dyDescent="0.3">
      <c r="B4390" s="84" t="s">
        <v>3975</v>
      </c>
    </row>
    <row r="4391" spans="2:2" x14ac:dyDescent="0.3">
      <c r="B4391" s="84" t="s">
        <v>3986</v>
      </c>
    </row>
    <row r="4392" spans="2:2" x14ac:dyDescent="0.3">
      <c r="B4392" s="84" t="s">
        <v>3965</v>
      </c>
    </row>
    <row r="4393" spans="2:2" x14ac:dyDescent="0.3">
      <c r="B4393" s="84" t="s">
        <v>3976</v>
      </c>
    </row>
    <row r="4394" spans="2:2" x14ac:dyDescent="0.3">
      <c r="B4394" s="84" t="s">
        <v>3987</v>
      </c>
    </row>
    <row r="4395" spans="2:2" x14ac:dyDescent="0.3">
      <c r="B4395" s="84" t="s">
        <v>3966</v>
      </c>
    </row>
    <row r="4396" spans="2:2" x14ac:dyDescent="0.3">
      <c r="B4396" s="84" t="s">
        <v>3977</v>
      </c>
    </row>
    <row r="4397" spans="2:2" x14ac:dyDescent="0.3">
      <c r="B4397" s="84" t="s">
        <v>3967</v>
      </c>
    </row>
    <row r="4398" spans="2:2" x14ac:dyDescent="0.3">
      <c r="B4398" s="84" t="s">
        <v>3978</v>
      </c>
    </row>
    <row r="4399" spans="2:2" x14ac:dyDescent="0.3">
      <c r="B4399" s="84" t="s">
        <v>3968</v>
      </c>
    </row>
    <row r="4400" spans="2:2" x14ac:dyDescent="0.3">
      <c r="B4400" s="84" t="s">
        <v>3979</v>
      </c>
    </row>
    <row r="4401" spans="2:2" x14ac:dyDescent="0.3">
      <c r="B4401" s="84" t="s">
        <v>3969</v>
      </c>
    </row>
    <row r="4402" spans="2:2" x14ac:dyDescent="0.3">
      <c r="B4402" s="84" t="s">
        <v>3980</v>
      </c>
    </row>
    <row r="4403" spans="2:2" x14ac:dyDescent="0.3">
      <c r="B4403" s="84" t="s">
        <v>3970</v>
      </c>
    </row>
    <row r="4404" spans="2:2" x14ac:dyDescent="0.3">
      <c r="B4404" s="84" t="s">
        <v>3981</v>
      </c>
    </row>
    <row r="4405" spans="2:2" x14ac:dyDescent="0.3">
      <c r="B4405" s="84" t="s">
        <v>3971</v>
      </c>
    </row>
    <row r="4406" spans="2:2" x14ac:dyDescent="0.3">
      <c r="B4406" s="84" t="s">
        <v>3982</v>
      </c>
    </row>
    <row r="4407" spans="2:2" x14ac:dyDescent="0.3">
      <c r="B4407" s="84" t="s">
        <v>3972</v>
      </c>
    </row>
    <row r="4408" spans="2:2" x14ac:dyDescent="0.3">
      <c r="B4408" s="84" t="s">
        <v>3983</v>
      </c>
    </row>
    <row r="4409" spans="2:2" x14ac:dyDescent="0.3">
      <c r="B4409" s="84" t="s">
        <v>6138</v>
      </c>
    </row>
    <row r="4410" spans="2:2" x14ac:dyDescent="0.3">
      <c r="B4410" s="84" t="s">
        <v>6139</v>
      </c>
    </row>
    <row r="4411" spans="2:2" x14ac:dyDescent="0.3">
      <c r="B4411" s="84" t="s">
        <v>6140</v>
      </c>
    </row>
    <row r="4412" spans="2:2" x14ac:dyDescent="0.3">
      <c r="B4412" s="84" t="s">
        <v>6141</v>
      </c>
    </row>
    <row r="4413" spans="2:2" x14ac:dyDescent="0.3">
      <c r="B4413" s="84" t="s">
        <v>6142</v>
      </c>
    </row>
    <row r="4414" spans="2:2" x14ac:dyDescent="0.3">
      <c r="B4414" s="84" t="s">
        <v>6143</v>
      </c>
    </row>
    <row r="4415" spans="2:2" x14ac:dyDescent="0.3">
      <c r="B4415" s="84" t="s">
        <v>6144</v>
      </c>
    </row>
    <row r="4416" spans="2:2" x14ac:dyDescent="0.3">
      <c r="B4416" s="84" t="s">
        <v>6145</v>
      </c>
    </row>
    <row r="4417" spans="2:2" x14ac:dyDescent="0.3">
      <c r="B4417" s="84" t="s">
        <v>6146</v>
      </c>
    </row>
    <row r="4418" spans="2:2" x14ac:dyDescent="0.3">
      <c r="B4418" s="84" t="s">
        <v>6147</v>
      </c>
    </row>
    <row r="4419" spans="2:2" x14ac:dyDescent="0.3">
      <c r="B4419" s="84" t="s">
        <v>6148</v>
      </c>
    </row>
    <row r="4420" spans="2:2" x14ac:dyDescent="0.3">
      <c r="B4420" s="84" t="s">
        <v>6149</v>
      </c>
    </row>
    <row r="4421" spans="2:2" x14ac:dyDescent="0.3">
      <c r="B4421" s="84" t="s">
        <v>6150</v>
      </c>
    </row>
    <row r="4422" spans="2:2" x14ac:dyDescent="0.3">
      <c r="B4422" s="84" t="s">
        <v>6151</v>
      </c>
    </row>
    <row r="4423" spans="2:2" x14ac:dyDescent="0.3">
      <c r="B4423" s="84" t="s">
        <v>6152</v>
      </c>
    </row>
    <row r="4424" spans="2:2" x14ac:dyDescent="0.3">
      <c r="B4424" s="84" t="s">
        <v>6153</v>
      </c>
    </row>
    <row r="4425" spans="2:2" x14ac:dyDescent="0.3">
      <c r="B4425" s="84" t="s">
        <v>6154</v>
      </c>
    </row>
    <row r="4426" spans="2:2" x14ac:dyDescent="0.3">
      <c r="B4426" s="84" t="s">
        <v>6155</v>
      </c>
    </row>
    <row r="4427" spans="2:2" x14ac:dyDescent="0.3">
      <c r="B4427" s="84" t="s">
        <v>6156</v>
      </c>
    </row>
    <row r="4428" spans="2:2" x14ac:dyDescent="0.3">
      <c r="B4428" s="84" t="s">
        <v>6157</v>
      </c>
    </row>
    <row r="4429" spans="2:2" x14ac:dyDescent="0.3">
      <c r="B4429" s="84" t="s">
        <v>6158</v>
      </c>
    </row>
    <row r="4430" spans="2:2" x14ac:dyDescent="0.3">
      <c r="B4430" s="84" t="s">
        <v>6159</v>
      </c>
    </row>
    <row r="4431" spans="2:2" x14ac:dyDescent="0.3">
      <c r="B4431" s="84" t="s">
        <v>6160</v>
      </c>
    </row>
    <row r="4432" spans="2:2" x14ac:dyDescent="0.3">
      <c r="B4432" s="84" t="s">
        <v>6161</v>
      </c>
    </row>
    <row r="4433" spans="2:2" x14ac:dyDescent="0.3">
      <c r="B4433" s="84" t="s">
        <v>6162</v>
      </c>
    </row>
    <row r="4434" spans="2:2" x14ac:dyDescent="0.3">
      <c r="B4434" s="84" t="s">
        <v>6163</v>
      </c>
    </row>
    <row r="4435" spans="2:2" x14ac:dyDescent="0.3">
      <c r="B4435" s="84" t="s">
        <v>6164</v>
      </c>
    </row>
    <row r="4436" spans="2:2" x14ac:dyDescent="0.3">
      <c r="B4436" s="84" t="s">
        <v>6165</v>
      </c>
    </row>
    <row r="4437" spans="2:2" x14ac:dyDescent="0.3">
      <c r="B4437" s="84" t="s">
        <v>6166</v>
      </c>
    </row>
    <row r="4438" spans="2:2" x14ac:dyDescent="0.3">
      <c r="B4438" s="84" t="s">
        <v>6167</v>
      </c>
    </row>
    <row r="4439" spans="2:2" x14ac:dyDescent="0.3">
      <c r="B4439" s="84" t="s">
        <v>6168</v>
      </c>
    </row>
    <row r="4440" spans="2:2" x14ac:dyDescent="0.3">
      <c r="B4440" s="84" t="s">
        <v>6169</v>
      </c>
    </row>
    <row r="4441" spans="2:2" x14ac:dyDescent="0.3">
      <c r="B4441" s="84" t="s">
        <v>6170</v>
      </c>
    </row>
    <row r="4442" spans="2:2" x14ac:dyDescent="0.3">
      <c r="B4442" s="84" t="s">
        <v>6171</v>
      </c>
    </row>
    <row r="4443" spans="2:2" x14ac:dyDescent="0.3">
      <c r="B4443" s="84" t="s">
        <v>6172</v>
      </c>
    </row>
    <row r="4444" spans="2:2" x14ac:dyDescent="0.3">
      <c r="B4444" s="84" t="s">
        <v>6173</v>
      </c>
    </row>
    <row r="4445" spans="2:2" x14ac:dyDescent="0.3">
      <c r="B4445" s="84" t="s">
        <v>6174</v>
      </c>
    </row>
    <row r="4446" spans="2:2" x14ac:dyDescent="0.3">
      <c r="B4446" s="84" t="s">
        <v>6175</v>
      </c>
    </row>
    <row r="4447" spans="2:2" x14ac:dyDescent="0.3">
      <c r="B4447" s="84" t="s">
        <v>6176</v>
      </c>
    </row>
    <row r="4448" spans="2:2" x14ac:dyDescent="0.3">
      <c r="B4448" s="84" t="s">
        <v>6177</v>
      </c>
    </row>
    <row r="4449" spans="2:2" x14ac:dyDescent="0.3">
      <c r="B4449" s="84" t="s">
        <v>6178</v>
      </c>
    </row>
    <row r="4450" spans="2:2" x14ac:dyDescent="0.3">
      <c r="B4450" s="84" t="s">
        <v>6179</v>
      </c>
    </row>
    <row r="4451" spans="2:2" x14ac:dyDescent="0.3">
      <c r="B4451" s="84" t="s">
        <v>6180</v>
      </c>
    </row>
    <row r="4452" spans="2:2" x14ac:dyDescent="0.3">
      <c r="B4452" s="84" t="s">
        <v>6181</v>
      </c>
    </row>
    <row r="4453" spans="2:2" x14ac:dyDescent="0.3">
      <c r="B4453" s="84" t="s">
        <v>6182</v>
      </c>
    </row>
    <row r="4454" spans="2:2" x14ac:dyDescent="0.3">
      <c r="B4454" s="84" t="s">
        <v>6183</v>
      </c>
    </row>
    <row r="4455" spans="2:2" x14ac:dyDescent="0.3">
      <c r="B4455" s="84" t="s">
        <v>6184</v>
      </c>
    </row>
    <row r="4456" spans="2:2" x14ac:dyDescent="0.3">
      <c r="B4456" s="84" t="s">
        <v>6185</v>
      </c>
    </row>
    <row r="4457" spans="2:2" x14ac:dyDescent="0.3">
      <c r="B4457" s="84" t="s">
        <v>6186</v>
      </c>
    </row>
    <row r="4458" spans="2:2" x14ac:dyDescent="0.3">
      <c r="B4458" s="84" t="s">
        <v>6187</v>
      </c>
    </row>
    <row r="4459" spans="2:2" x14ac:dyDescent="0.3">
      <c r="B4459" s="84" t="s">
        <v>3948</v>
      </c>
    </row>
    <row r="4460" spans="2:2" x14ac:dyDescent="0.3">
      <c r="B4460" s="84" t="s">
        <v>3959</v>
      </c>
    </row>
    <row r="4461" spans="2:2" x14ac:dyDescent="0.3">
      <c r="B4461" s="84" t="s">
        <v>3949</v>
      </c>
    </row>
    <row r="4462" spans="2:2" x14ac:dyDescent="0.3">
      <c r="B4462" s="84" t="s">
        <v>3960</v>
      </c>
    </row>
    <row r="4463" spans="2:2" x14ac:dyDescent="0.3">
      <c r="B4463" s="84" t="s">
        <v>3938</v>
      </c>
    </row>
    <row r="4464" spans="2:2" x14ac:dyDescent="0.3">
      <c r="B4464" s="84" t="s">
        <v>3939</v>
      </c>
    </row>
    <row r="4465" spans="2:2" x14ac:dyDescent="0.3">
      <c r="B4465" s="84" t="s">
        <v>3950</v>
      </c>
    </row>
    <row r="4466" spans="2:2" x14ac:dyDescent="0.3">
      <c r="B4466" s="84" t="s">
        <v>3961</v>
      </c>
    </row>
    <row r="4467" spans="2:2" x14ac:dyDescent="0.3">
      <c r="B4467" s="84" t="s">
        <v>3940</v>
      </c>
    </row>
    <row r="4468" spans="2:2" x14ac:dyDescent="0.3">
      <c r="B4468" s="84" t="s">
        <v>3951</v>
      </c>
    </row>
    <row r="4469" spans="2:2" x14ac:dyDescent="0.3">
      <c r="B4469" s="84" t="s">
        <v>3962</v>
      </c>
    </row>
    <row r="4470" spans="2:2" x14ac:dyDescent="0.3">
      <c r="B4470" s="84" t="s">
        <v>3941</v>
      </c>
    </row>
    <row r="4471" spans="2:2" x14ac:dyDescent="0.3">
      <c r="B4471" s="84" t="s">
        <v>3952</v>
      </c>
    </row>
    <row r="4472" spans="2:2" x14ac:dyDescent="0.3">
      <c r="B4472" s="84" t="s">
        <v>3942</v>
      </c>
    </row>
    <row r="4473" spans="2:2" x14ac:dyDescent="0.3">
      <c r="B4473" s="84" t="s">
        <v>3953</v>
      </c>
    </row>
    <row r="4474" spans="2:2" x14ac:dyDescent="0.3">
      <c r="B4474" s="84" t="s">
        <v>3943</v>
      </c>
    </row>
    <row r="4475" spans="2:2" x14ac:dyDescent="0.3">
      <c r="B4475" s="84" t="s">
        <v>3954</v>
      </c>
    </row>
    <row r="4476" spans="2:2" x14ac:dyDescent="0.3">
      <c r="B4476" s="84" t="s">
        <v>3944</v>
      </c>
    </row>
    <row r="4477" spans="2:2" x14ac:dyDescent="0.3">
      <c r="B4477" s="84" t="s">
        <v>3955</v>
      </c>
    </row>
    <row r="4478" spans="2:2" x14ac:dyDescent="0.3">
      <c r="B4478" s="84" t="s">
        <v>3945</v>
      </c>
    </row>
    <row r="4479" spans="2:2" x14ac:dyDescent="0.3">
      <c r="B4479" s="84" t="s">
        <v>3956</v>
      </c>
    </row>
    <row r="4480" spans="2:2" x14ac:dyDescent="0.3">
      <c r="B4480" s="84" t="s">
        <v>3946</v>
      </c>
    </row>
    <row r="4481" spans="2:2" x14ac:dyDescent="0.3">
      <c r="B4481" s="84" t="s">
        <v>3957</v>
      </c>
    </row>
    <row r="4482" spans="2:2" x14ac:dyDescent="0.3">
      <c r="B4482" s="84" t="s">
        <v>3947</v>
      </c>
    </row>
    <row r="4483" spans="2:2" x14ac:dyDescent="0.3">
      <c r="B4483" s="84" t="s">
        <v>3958</v>
      </c>
    </row>
    <row r="4484" spans="2:2" x14ac:dyDescent="0.3">
      <c r="B4484" s="84" t="s">
        <v>4023</v>
      </c>
    </row>
    <row r="4485" spans="2:2" x14ac:dyDescent="0.3">
      <c r="B4485" s="84" t="s">
        <v>4034</v>
      </c>
    </row>
    <row r="4486" spans="2:2" x14ac:dyDescent="0.3">
      <c r="B4486" s="84" t="s">
        <v>4024</v>
      </c>
    </row>
    <row r="4487" spans="2:2" x14ac:dyDescent="0.3">
      <c r="B4487" s="84" t="s">
        <v>4035</v>
      </c>
    </row>
    <row r="4488" spans="2:2" x14ac:dyDescent="0.3">
      <c r="B4488" s="84" t="s">
        <v>4013</v>
      </c>
    </row>
    <row r="4489" spans="2:2" x14ac:dyDescent="0.3">
      <c r="B4489" s="84" t="s">
        <v>4014</v>
      </c>
    </row>
    <row r="4490" spans="2:2" x14ac:dyDescent="0.3">
      <c r="B4490" s="84" t="s">
        <v>4025</v>
      </c>
    </row>
    <row r="4491" spans="2:2" x14ac:dyDescent="0.3">
      <c r="B4491" s="84" t="s">
        <v>4036</v>
      </c>
    </row>
    <row r="4492" spans="2:2" x14ac:dyDescent="0.3">
      <c r="B4492" s="84" t="s">
        <v>4015</v>
      </c>
    </row>
    <row r="4493" spans="2:2" x14ac:dyDescent="0.3">
      <c r="B4493" s="84" t="s">
        <v>4026</v>
      </c>
    </row>
    <row r="4494" spans="2:2" x14ac:dyDescent="0.3">
      <c r="B4494" s="84" t="s">
        <v>4037</v>
      </c>
    </row>
    <row r="4495" spans="2:2" x14ac:dyDescent="0.3">
      <c r="B4495" s="84" t="s">
        <v>4016</v>
      </c>
    </row>
    <row r="4496" spans="2:2" x14ac:dyDescent="0.3">
      <c r="B4496" s="84" t="s">
        <v>4027</v>
      </c>
    </row>
    <row r="4497" spans="2:2" x14ac:dyDescent="0.3">
      <c r="B4497" s="84" t="s">
        <v>4017</v>
      </c>
    </row>
    <row r="4498" spans="2:2" x14ac:dyDescent="0.3">
      <c r="B4498" s="84" t="s">
        <v>4028</v>
      </c>
    </row>
    <row r="4499" spans="2:2" x14ac:dyDescent="0.3">
      <c r="B4499" s="84" t="s">
        <v>4018</v>
      </c>
    </row>
    <row r="4500" spans="2:2" x14ac:dyDescent="0.3">
      <c r="B4500" s="84" t="s">
        <v>4029</v>
      </c>
    </row>
    <row r="4501" spans="2:2" x14ac:dyDescent="0.3">
      <c r="B4501" s="84" t="s">
        <v>4019</v>
      </c>
    </row>
    <row r="4502" spans="2:2" x14ac:dyDescent="0.3">
      <c r="B4502" s="84" t="s">
        <v>4030</v>
      </c>
    </row>
    <row r="4503" spans="2:2" x14ac:dyDescent="0.3">
      <c r="B4503" s="84" t="s">
        <v>4020</v>
      </c>
    </row>
    <row r="4504" spans="2:2" x14ac:dyDescent="0.3">
      <c r="B4504" s="84" t="s">
        <v>4031</v>
      </c>
    </row>
    <row r="4505" spans="2:2" x14ac:dyDescent="0.3">
      <c r="B4505" s="84" t="s">
        <v>4021</v>
      </c>
    </row>
    <row r="4506" spans="2:2" x14ac:dyDescent="0.3">
      <c r="B4506" s="84" t="s">
        <v>4032</v>
      </c>
    </row>
    <row r="4507" spans="2:2" x14ac:dyDescent="0.3">
      <c r="B4507" s="84" t="s">
        <v>4022</v>
      </c>
    </row>
    <row r="4508" spans="2:2" x14ac:dyDescent="0.3">
      <c r="B4508" s="84" t="s">
        <v>4033</v>
      </c>
    </row>
    <row r="4509" spans="2:2" x14ac:dyDescent="0.3">
      <c r="B4509" s="84" t="s">
        <v>3898</v>
      </c>
    </row>
    <row r="4510" spans="2:2" x14ac:dyDescent="0.3">
      <c r="B4510" s="84" t="s">
        <v>3909</v>
      </c>
    </row>
    <row r="4511" spans="2:2" x14ac:dyDescent="0.3">
      <c r="B4511" s="84" t="s">
        <v>3899</v>
      </c>
    </row>
    <row r="4512" spans="2:2" x14ac:dyDescent="0.3">
      <c r="B4512" s="84" t="s">
        <v>3910</v>
      </c>
    </row>
    <row r="4513" spans="2:2" x14ac:dyDescent="0.3">
      <c r="B4513" s="84" t="s">
        <v>3888</v>
      </c>
    </row>
    <row r="4514" spans="2:2" x14ac:dyDescent="0.3">
      <c r="B4514" s="84" t="s">
        <v>3889</v>
      </c>
    </row>
    <row r="4515" spans="2:2" x14ac:dyDescent="0.3">
      <c r="B4515" s="84" t="s">
        <v>3900</v>
      </c>
    </row>
    <row r="4516" spans="2:2" x14ac:dyDescent="0.3">
      <c r="B4516" s="84" t="s">
        <v>3911</v>
      </c>
    </row>
    <row r="4517" spans="2:2" x14ac:dyDescent="0.3">
      <c r="B4517" s="84" t="s">
        <v>3890</v>
      </c>
    </row>
    <row r="4518" spans="2:2" x14ac:dyDescent="0.3">
      <c r="B4518" s="84" t="s">
        <v>3901</v>
      </c>
    </row>
    <row r="4519" spans="2:2" x14ac:dyDescent="0.3">
      <c r="B4519" s="84" t="s">
        <v>3912</v>
      </c>
    </row>
    <row r="4520" spans="2:2" x14ac:dyDescent="0.3">
      <c r="B4520" s="84" t="s">
        <v>3891</v>
      </c>
    </row>
    <row r="4521" spans="2:2" x14ac:dyDescent="0.3">
      <c r="B4521" s="84" t="s">
        <v>3902</v>
      </c>
    </row>
    <row r="4522" spans="2:2" x14ac:dyDescent="0.3">
      <c r="B4522" s="84" t="s">
        <v>3892</v>
      </c>
    </row>
    <row r="4523" spans="2:2" x14ac:dyDescent="0.3">
      <c r="B4523" s="84" t="s">
        <v>3903</v>
      </c>
    </row>
    <row r="4524" spans="2:2" x14ac:dyDescent="0.3">
      <c r="B4524" s="84" t="s">
        <v>3893</v>
      </c>
    </row>
    <row r="4525" spans="2:2" x14ac:dyDescent="0.3">
      <c r="B4525" s="84" t="s">
        <v>3904</v>
      </c>
    </row>
    <row r="4526" spans="2:2" x14ac:dyDescent="0.3">
      <c r="B4526" s="84" t="s">
        <v>3894</v>
      </c>
    </row>
    <row r="4527" spans="2:2" x14ac:dyDescent="0.3">
      <c r="B4527" s="84" t="s">
        <v>3905</v>
      </c>
    </row>
    <row r="4528" spans="2:2" x14ac:dyDescent="0.3">
      <c r="B4528" s="84" t="s">
        <v>3895</v>
      </c>
    </row>
    <row r="4529" spans="2:2" x14ac:dyDescent="0.3">
      <c r="B4529" s="84" t="s">
        <v>3906</v>
      </c>
    </row>
    <row r="4530" spans="2:2" x14ac:dyDescent="0.3">
      <c r="B4530" s="84" t="s">
        <v>3896</v>
      </c>
    </row>
    <row r="4531" spans="2:2" x14ac:dyDescent="0.3">
      <c r="B4531" s="84" t="s">
        <v>3907</v>
      </c>
    </row>
    <row r="4532" spans="2:2" x14ac:dyDescent="0.3">
      <c r="B4532" s="84" t="s">
        <v>3897</v>
      </c>
    </row>
    <row r="4533" spans="2:2" x14ac:dyDescent="0.3">
      <c r="B4533" s="84" t="s">
        <v>3908</v>
      </c>
    </row>
    <row r="4534" spans="2:2" x14ac:dyDescent="0.3">
      <c r="B4534" s="84" t="s">
        <v>3873</v>
      </c>
    </row>
    <row r="4535" spans="2:2" x14ac:dyDescent="0.3">
      <c r="B4535" s="84" t="s">
        <v>3884</v>
      </c>
    </row>
    <row r="4536" spans="2:2" x14ac:dyDescent="0.3">
      <c r="B4536" s="84" t="s">
        <v>3874</v>
      </c>
    </row>
    <row r="4537" spans="2:2" x14ac:dyDescent="0.3">
      <c r="B4537" s="84" t="s">
        <v>3885</v>
      </c>
    </row>
    <row r="4538" spans="2:2" x14ac:dyDescent="0.3">
      <c r="B4538" s="84" t="s">
        <v>3863</v>
      </c>
    </row>
    <row r="4539" spans="2:2" x14ac:dyDescent="0.3">
      <c r="B4539" s="84" t="s">
        <v>3864</v>
      </c>
    </row>
    <row r="4540" spans="2:2" x14ac:dyDescent="0.3">
      <c r="B4540" s="84" t="s">
        <v>3875</v>
      </c>
    </row>
    <row r="4541" spans="2:2" x14ac:dyDescent="0.3">
      <c r="B4541" s="84" t="s">
        <v>3886</v>
      </c>
    </row>
    <row r="4542" spans="2:2" x14ac:dyDescent="0.3">
      <c r="B4542" s="84" t="s">
        <v>3865</v>
      </c>
    </row>
    <row r="4543" spans="2:2" x14ac:dyDescent="0.3">
      <c r="B4543" s="84" t="s">
        <v>3876</v>
      </c>
    </row>
    <row r="4544" spans="2:2" x14ac:dyDescent="0.3">
      <c r="B4544" s="84" t="s">
        <v>3887</v>
      </c>
    </row>
    <row r="4545" spans="2:2" x14ac:dyDescent="0.3">
      <c r="B4545" s="84" t="s">
        <v>3866</v>
      </c>
    </row>
    <row r="4546" spans="2:2" x14ac:dyDescent="0.3">
      <c r="B4546" s="84" t="s">
        <v>3877</v>
      </c>
    </row>
    <row r="4547" spans="2:2" x14ac:dyDescent="0.3">
      <c r="B4547" s="84" t="s">
        <v>3867</v>
      </c>
    </row>
    <row r="4548" spans="2:2" x14ac:dyDescent="0.3">
      <c r="B4548" s="84" t="s">
        <v>3878</v>
      </c>
    </row>
    <row r="4549" spans="2:2" x14ac:dyDescent="0.3">
      <c r="B4549" s="84" t="s">
        <v>3868</v>
      </c>
    </row>
    <row r="4550" spans="2:2" x14ac:dyDescent="0.3">
      <c r="B4550" s="84" t="s">
        <v>3879</v>
      </c>
    </row>
    <row r="4551" spans="2:2" x14ac:dyDescent="0.3">
      <c r="B4551" s="84" t="s">
        <v>3869</v>
      </c>
    </row>
    <row r="4552" spans="2:2" x14ac:dyDescent="0.3">
      <c r="B4552" s="84" t="s">
        <v>3880</v>
      </c>
    </row>
    <row r="4553" spans="2:2" x14ac:dyDescent="0.3">
      <c r="B4553" s="84" t="s">
        <v>3870</v>
      </c>
    </row>
    <row r="4554" spans="2:2" x14ac:dyDescent="0.3">
      <c r="B4554" s="84" t="s">
        <v>3881</v>
      </c>
    </row>
    <row r="4555" spans="2:2" x14ac:dyDescent="0.3">
      <c r="B4555" s="84" t="s">
        <v>3871</v>
      </c>
    </row>
    <row r="4556" spans="2:2" x14ac:dyDescent="0.3">
      <c r="B4556" s="84" t="s">
        <v>3882</v>
      </c>
    </row>
    <row r="4557" spans="2:2" x14ac:dyDescent="0.3">
      <c r="B4557" s="84" t="s">
        <v>3872</v>
      </c>
    </row>
    <row r="4558" spans="2:2" x14ac:dyDescent="0.3">
      <c r="B4558" s="84" t="s">
        <v>3883</v>
      </c>
    </row>
    <row r="4559" spans="2:2" x14ac:dyDescent="0.3">
      <c r="B4559" s="84" t="s">
        <v>6188</v>
      </c>
    </row>
    <row r="4560" spans="2:2" x14ac:dyDescent="0.3">
      <c r="B4560" s="84" t="s">
        <v>6189</v>
      </c>
    </row>
    <row r="4561" spans="2:2" x14ac:dyDescent="0.3">
      <c r="B4561" s="84" t="s">
        <v>6190</v>
      </c>
    </row>
    <row r="4562" spans="2:2" x14ac:dyDescent="0.3">
      <c r="B4562" s="84" t="s">
        <v>6191</v>
      </c>
    </row>
    <row r="4563" spans="2:2" x14ac:dyDescent="0.3">
      <c r="B4563" s="84" t="s">
        <v>6192</v>
      </c>
    </row>
    <row r="4564" spans="2:2" x14ac:dyDescent="0.3">
      <c r="B4564" s="84" t="s">
        <v>6193</v>
      </c>
    </row>
    <row r="4565" spans="2:2" x14ac:dyDescent="0.3">
      <c r="B4565" s="84" t="s">
        <v>6194</v>
      </c>
    </row>
    <row r="4566" spans="2:2" x14ac:dyDescent="0.3">
      <c r="B4566" s="84" t="s">
        <v>6195</v>
      </c>
    </row>
    <row r="4567" spans="2:2" x14ac:dyDescent="0.3">
      <c r="B4567" s="84" t="s">
        <v>6196</v>
      </c>
    </row>
    <row r="4568" spans="2:2" x14ac:dyDescent="0.3">
      <c r="B4568" s="84" t="s">
        <v>6197</v>
      </c>
    </row>
    <row r="4569" spans="2:2" x14ac:dyDescent="0.3">
      <c r="B4569" s="84" t="s">
        <v>6198</v>
      </c>
    </row>
    <row r="4570" spans="2:2" x14ac:dyDescent="0.3">
      <c r="B4570" s="84" t="s">
        <v>6199</v>
      </c>
    </row>
    <row r="4571" spans="2:2" x14ac:dyDescent="0.3">
      <c r="B4571" s="84" t="s">
        <v>6200</v>
      </c>
    </row>
    <row r="4572" spans="2:2" x14ac:dyDescent="0.3">
      <c r="B4572" s="84" t="s">
        <v>6201</v>
      </c>
    </row>
    <row r="4573" spans="2:2" x14ac:dyDescent="0.3">
      <c r="B4573" s="84" t="s">
        <v>6202</v>
      </c>
    </row>
    <row r="4574" spans="2:2" x14ac:dyDescent="0.3">
      <c r="B4574" s="84" t="s">
        <v>6203</v>
      </c>
    </row>
    <row r="4575" spans="2:2" x14ac:dyDescent="0.3">
      <c r="B4575" s="84" t="s">
        <v>6204</v>
      </c>
    </row>
    <row r="4576" spans="2:2" x14ac:dyDescent="0.3">
      <c r="B4576" s="84" t="s">
        <v>6205</v>
      </c>
    </row>
    <row r="4577" spans="2:2" x14ac:dyDescent="0.3">
      <c r="B4577" s="84" t="s">
        <v>6206</v>
      </c>
    </row>
    <row r="4578" spans="2:2" x14ac:dyDescent="0.3">
      <c r="B4578" s="84" t="s">
        <v>6207</v>
      </c>
    </row>
    <row r="4579" spans="2:2" x14ac:dyDescent="0.3">
      <c r="B4579" s="84" t="s">
        <v>6208</v>
      </c>
    </row>
    <row r="4580" spans="2:2" x14ac:dyDescent="0.3">
      <c r="B4580" s="84" t="s">
        <v>6209</v>
      </c>
    </row>
    <row r="4581" spans="2:2" x14ac:dyDescent="0.3">
      <c r="B4581" s="84" t="s">
        <v>6210</v>
      </c>
    </row>
    <row r="4582" spans="2:2" x14ac:dyDescent="0.3">
      <c r="B4582" s="84" t="s">
        <v>6211</v>
      </c>
    </row>
    <row r="4583" spans="2:2" x14ac:dyDescent="0.3">
      <c r="B4583" s="84" t="s">
        <v>6212</v>
      </c>
    </row>
    <row r="4584" spans="2:2" x14ac:dyDescent="0.3">
      <c r="B4584" s="84" t="s">
        <v>6213</v>
      </c>
    </row>
    <row r="4585" spans="2:2" x14ac:dyDescent="0.3">
      <c r="B4585" s="84" t="s">
        <v>6214</v>
      </c>
    </row>
    <row r="4586" spans="2:2" x14ac:dyDescent="0.3">
      <c r="B4586" s="84" t="s">
        <v>6215</v>
      </c>
    </row>
    <row r="4587" spans="2:2" x14ac:dyDescent="0.3">
      <c r="B4587" s="84" t="s">
        <v>6216</v>
      </c>
    </row>
    <row r="4588" spans="2:2" x14ac:dyDescent="0.3">
      <c r="B4588" s="84" t="s">
        <v>6217</v>
      </c>
    </row>
    <row r="4589" spans="2:2" x14ac:dyDescent="0.3">
      <c r="B4589" s="84" t="s">
        <v>6218</v>
      </c>
    </row>
    <row r="4590" spans="2:2" x14ac:dyDescent="0.3">
      <c r="B4590" s="84" t="s">
        <v>6219</v>
      </c>
    </row>
    <row r="4591" spans="2:2" x14ac:dyDescent="0.3">
      <c r="B4591" s="84" t="s">
        <v>6220</v>
      </c>
    </row>
    <row r="4592" spans="2:2" x14ac:dyDescent="0.3">
      <c r="B4592" s="84" t="s">
        <v>3398</v>
      </c>
    </row>
    <row r="4593" spans="2:2" x14ac:dyDescent="0.3">
      <c r="B4593" s="84" t="s">
        <v>3409</v>
      </c>
    </row>
    <row r="4594" spans="2:2" x14ac:dyDescent="0.3">
      <c r="B4594" s="84" t="s">
        <v>3399</v>
      </c>
    </row>
    <row r="4595" spans="2:2" x14ac:dyDescent="0.3">
      <c r="B4595" s="84" t="s">
        <v>3410</v>
      </c>
    </row>
    <row r="4596" spans="2:2" x14ac:dyDescent="0.3">
      <c r="B4596" s="84" t="s">
        <v>3388</v>
      </c>
    </row>
    <row r="4597" spans="2:2" x14ac:dyDescent="0.3">
      <c r="B4597" s="84" t="s">
        <v>3389</v>
      </c>
    </row>
    <row r="4598" spans="2:2" x14ac:dyDescent="0.3">
      <c r="B4598" s="84" t="s">
        <v>3400</v>
      </c>
    </row>
    <row r="4599" spans="2:2" x14ac:dyDescent="0.3">
      <c r="B4599" s="84" t="s">
        <v>3411</v>
      </c>
    </row>
    <row r="4600" spans="2:2" x14ac:dyDescent="0.3">
      <c r="B4600" s="84" t="s">
        <v>3390</v>
      </c>
    </row>
    <row r="4601" spans="2:2" x14ac:dyDescent="0.3">
      <c r="B4601" s="84" t="s">
        <v>3401</v>
      </c>
    </row>
    <row r="4602" spans="2:2" x14ac:dyDescent="0.3">
      <c r="B4602" s="84" t="s">
        <v>3412</v>
      </c>
    </row>
    <row r="4603" spans="2:2" x14ac:dyDescent="0.3">
      <c r="B4603" s="84" t="s">
        <v>3391</v>
      </c>
    </row>
    <row r="4604" spans="2:2" x14ac:dyDescent="0.3">
      <c r="B4604" s="84" t="s">
        <v>3402</v>
      </c>
    </row>
    <row r="4605" spans="2:2" x14ac:dyDescent="0.3">
      <c r="B4605" s="84" t="s">
        <v>3392</v>
      </c>
    </row>
    <row r="4606" spans="2:2" x14ac:dyDescent="0.3">
      <c r="B4606" s="84" t="s">
        <v>3403</v>
      </c>
    </row>
    <row r="4607" spans="2:2" x14ac:dyDescent="0.3">
      <c r="B4607" s="84" t="s">
        <v>3393</v>
      </c>
    </row>
    <row r="4608" spans="2:2" x14ac:dyDescent="0.3">
      <c r="B4608" s="84" t="s">
        <v>3404</v>
      </c>
    </row>
    <row r="4609" spans="2:2" x14ac:dyDescent="0.3">
      <c r="B4609" s="84" t="s">
        <v>3394</v>
      </c>
    </row>
    <row r="4610" spans="2:2" x14ac:dyDescent="0.3">
      <c r="B4610" s="84" t="s">
        <v>3405</v>
      </c>
    </row>
    <row r="4611" spans="2:2" x14ac:dyDescent="0.3">
      <c r="B4611" s="84" t="s">
        <v>3395</v>
      </c>
    </row>
    <row r="4612" spans="2:2" x14ac:dyDescent="0.3">
      <c r="B4612" s="84" t="s">
        <v>3406</v>
      </c>
    </row>
    <row r="4613" spans="2:2" x14ac:dyDescent="0.3">
      <c r="B4613" s="84" t="s">
        <v>3396</v>
      </c>
    </row>
    <row r="4614" spans="2:2" x14ac:dyDescent="0.3">
      <c r="B4614" s="84" t="s">
        <v>3407</v>
      </c>
    </row>
    <row r="4615" spans="2:2" x14ac:dyDescent="0.3">
      <c r="B4615" s="84" t="s">
        <v>3397</v>
      </c>
    </row>
    <row r="4616" spans="2:2" x14ac:dyDescent="0.3">
      <c r="B4616" s="84" t="s">
        <v>3408</v>
      </c>
    </row>
    <row r="4617" spans="2:2" x14ac:dyDescent="0.3">
      <c r="B4617" s="84" t="s">
        <v>6221</v>
      </c>
    </row>
    <row r="4618" spans="2:2" x14ac:dyDescent="0.3">
      <c r="B4618" s="84" t="s">
        <v>6222</v>
      </c>
    </row>
    <row r="4619" spans="2:2" x14ac:dyDescent="0.3">
      <c r="B4619" s="84" t="s">
        <v>6223</v>
      </c>
    </row>
    <row r="4620" spans="2:2" x14ac:dyDescent="0.3">
      <c r="B4620" s="84" t="s">
        <v>6224</v>
      </c>
    </row>
    <row r="4621" spans="2:2" x14ac:dyDescent="0.3">
      <c r="B4621" s="84" t="s">
        <v>6225</v>
      </c>
    </row>
    <row r="4622" spans="2:2" x14ac:dyDescent="0.3">
      <c r="B4622" s="84" t="s">
        <v>6226</v>
      </c>
    </row>
    <row r="4623" spans="2:2" x14ac:dyDescent="0.3">
      <c r="B4623" s="84" t="s">
        <v>6227</v>
      </c>
    </row>
    <row r="4624" spans="2:2" x14ac:dyDescent="0.3">
      <c r="B4624" s="84" t="s">
        <v>6228</v>
      </c>
    </row>
    <row r="4625" spans="2:2" x14ac:dyDescent="0.3">
      <c r="B4625" s="84" t="s">
        <v>6229</v>
      </c>
    </row>
    <row r="4626" spans="2:2" x14ac:dyDescent="0.3">
      <c r="B4626" s="84" t="s">
        <v>6230</v>
      </c>
    </row>
    <row r="4627" spans="2:2" x14ac:dyDescent="0.3">
      <c r="B4627" s="84" t="s">
        <v>6231</v>
      </c>
    </row>
    <row r="4628" spans="2:2" x14ac:dyDescent="0.3">
      <c r="B4628" s="84" t="s">
        <v>6232</v>
      </c>
    </row>
    <row r="4629" spans="2:2" x14ac:dyDescent="0.3">
      <c r="B4629" s="84" t="s">
        <v>6233</v>
      </c>
    </row>
    <row r="4630" spans="2:2" x14ac:dyDescent="0.3">
      <c r="B4630" s="84" t="s">
        <v>6234</v>
      </c>
    </row>
    <row r="4631" spans="2:2" x14ac:dyDescent="0.3">
      <c r="B4631" s="84" t="s">
        <v>6235</v>
      </c>
    </row>
    <row r="4632" spans="2:2" x14ac:dyDescent="0.3">
      <c r="B4632" s="84" t="s">
        <v>6236</v>
      </c>
    </row>
    <row r="4633" spans="2:2" x14ac:dyDescent="0.3">
      <c r="B4633" s="84" t="s">
        <v>6237</v>
      </c>
    </row>
    <row r="4634" spans="2:2" x14ac:dyDescent="0.3">
      <c r="B4634" s="84" t="s">
        <v>6238</v>
      </c>
    </row>
    <row r="4635" spans="2:2" x14ac:dyDescent="0.3">
      <c r="B4635" s="84" t="s">
        <v>6239</v>
      </c>
    </row>
    <row r="4636" spans="2:2" x14ac:dyDescent="0.3">
      <c r="B4636" s="84" t="s">
        <v>6240</v>
      </c>
    </row>
    <row r="4637" spans="2:2" x14ac:dyDescent="0.3">
      <c r="B4637" s="84" t="s">
        <v>6241</v>
      </c>
    </row>
    <row r="4638" spans="2:2" x14ac:dyDescent="0.3">
      <c r="B4638" s="84" t="s">
        <v>6242</v>
      </c>
    </row>
    <row r="4639" spans="2:2" x14ac:dyDescent="0.3">
      <c r="B4639" s="84" t="s">
        <v>6243</v>
      </c>
    </row>
    <row r="4640" spans="2:2" x14ac:dyDescent="0.3">
      <c r="B4640" s="84" t="s">
        <v>6244</v>
      </c>
    </row>
    <row r="4641" spans="2:2" x14ac:dyDescent="0.3">
      <c r="B4641" s="84" t="s">
        <v>6245</v>
      </c>
    </row>
    <row r="4642" spans="2:2" x14ac:dyDescent="0.3">
      <c r="B4642" s="84" t="s">
        <v>6246</v>
      </c>
    </row>
    <row r="4643" spans="2:2" x14ac:dyDescent="0.3">
      <c r="B4643" s="84" t="s">
        <v>6247</v>
      </c>
    </row>
    <row r="4644" spans="2:2" x14ac:dyDescent="0.3">
      <c r="B4644" s="84" t="s">
        <v>6248</v>
      </c>
    </row>
    <row r="4645" spans="2:2" x14ac:dyDescent="0.3">
      <c r="B4645" s="84" t="s">
        <v>6249</v>
      </c>
    </row>
    <row r="4646" spans="2:2" x14ac:dyDescent="0.3">
      <c r="B4646" s="84" t="s">
        <v>6250</v>
      </c>
    </row>
    <row r="4647" spans="2:2" x14ac:dyDescent="0.3">
      <c r="B4647" s="84" t="s">
        <v>6251</v>
      </c>
    </row>
    <row r="4648" spans="2:2" x14ac:dyDescent="0.3">
      <c r="B4648" s="84" t="s">
        <v>6252</v>
      </c>
    </row>
    <row r="4649" spans="2:2" x14ac:dyDescent="0.3">
      <c r="B4649" s="84" t="s">
        <v>6253</v>
      </c>
    </row>
    <row r="4650" spans="2:2" x14ac:dyDescent="0.3">
      <c r="B4650" s="84" t="s">
        <v>6254</v>
      </c>
    </row>
    <row r="4651" spans="2:2" x14ac:dyDescent="0.3">
      <c r="B4651" s="84" t="s">
        <v>6255</v>
      </c>
    </row>
    <row r="4652" spans="2:2" x14ac:dyDescent="0.3">
      <c r="B4652" s="84" t="s">
        <v>6256</v>
      </c>
    </row>
    <row r="4653" spans="2:2" x14ac:dyDescent="0.3">
      <c r="B4653" s="84" t="s">
        <v>6257</v>
      </c>
    </row>
    <row r="4654" spans="2:2" x14ac:dyDescent="0.3">
      <c r="B4654" s="84" t="s">
        <v>6258</v>
      </c>
    </row>
    <row r="4655" spans="2:2" x14ac:dyDescent="0.3">
      <c r="B4655" s="84" t="s">
        <v>6259</v>
      </c>
    </row>
    <row r="4656" spans="2:2" x14ac:dyDescent="0.3">
      <c r="B4656" s="84" t="s">
        <v>6260</v>
      </c>
    </row>
    <row r="4657" spans="2:2" x14ac:dyDescent="0.3">
      <c r="B4657" s="84" t="s">
        <v>6261</v>
      </c>
    </row>
    <row r="4658" spans="2:2" x14ac:dyDescent="0.3">
      <c r="B4658" s="84" t="s">
        <v>6262</v>
      </c>
    </row>
    <row r="4659" spans="2:2" x14ac:dyDescent="0.3">
      <c r="B4659" s="84" t="s">
        <v>6263</v>
      </c>
    </row>
    <row r="4660" spans="2:2" x14ac:dyDescent="0.3">
      <c r="B4660" s="84" t="s">
        <v>6264</v>
      </c>
    </row>
    <row r="4661" spans="2:2" x14ac:dyDescent="0.3">
      <c r="B4661" s="84" t="s">
        <v>6265</v>
      </c>
    </row>
    <row r="4662" spans="2:2" x14ac:dyDescent="0.3">
      <c r="B4662" s="84" t="s">
        <v>6266</v>
      </c>
    </row>
    <row r="4663" spans="2:2" x14ac:dyDescent="0.3">
      <c r="B4663" s="84" t="s">
        <v>6267</v>
      </c>
    </row>
    <row r="4664" spans="2:2" x14ac:dyDescent="0.3">
      <c r="B4664" s="84" t="s">
        <v>6268</v>
      </c>
    </row>
    <row r="4665" spans="2:2" x14ac:dyDescent="0.3">
      <c r="B4665" s="84" t="s">
        <v>6269</v>
      </c>
    </row>
    <row r="4666" spans="2:2" x14ac:dyDescent="0.3">
      <c r="B4666" s="84" t="s">
        <v>6270</v>
      </c>
    </row>
    <row r="4667" spans="2:2" x14ac:dyDescent="0.3">
      <c r="B4667" s="84" t="s">
        <v>6271</v>
      </c>
    </row>
    <row r="4668" spans="2:2" x14ac:dyDescent="0.3">
      <c r="B4668" s="84" t="s">
        <v>6272</v>
      </c>
    </row>
    <row r="4669" spans="2:2" x14ac:dyDescent="0.3">
      <c r="B4669" s="84" t="s">
        <v>6273</v>
      </c>
    </row>
    <row r="4670" spans="2:2" x14ac:dyDescent="0.3">
      <c r="B4670" s="84" t="s">
        <v>6274</v>
      </c>
    </row>
    <row r="4671" spans="2:2" x14ac:dyDescent="0.3">
      <c r="B4671" s="84" t="s">
        <v>6275</v>
      </c>
    </row>
    <row r="4672" spans="2:2" x14ac:dyDescent="0.3">
      <c r="B4672" s="84" t="s">
        <v>6276</v>
      </c>
    </row>
    <row r="4673" spans="2:2" x14ac:dyDescent="0.3">
      <c r="B4673" s="84" t="s">
        <v>6277</v>
      </c>
    </row>
    <row r="4674" spans="2:2" x14ac:dyDescent="0.3">
      <c r="B4674" s="84" t="s">
        <v>6278</v>
      </c>
    </row>
    <row r="4675" spans="2:2" x14ac:dyDescent="0.3">
      <c r="B4675" s="84" t="s">
        <v>6279</v>
      </c>
    </row>
    <row r="4676" spans="2:2" x14ac:dyDescent="0.3">
      <c r="B4676" s="84" t="s">
        <v>6280</v>
      </c>
    </row>
    <row r="4677" spans="2:2" x14ac:dyDescent="0.3">
      <c r="B4677" s="84" t="s">
        <v>6281</v>
      </c>
    </row>
    <row r="4678" spans="2:2" x14ac:dyDescent="0.3">
      <c r="B4678" s="84" t="s">
        <v>6282</v>
      </c>
    </row>
    <row r="4679" spans="2:2" x14ac:dyDescent="0.3">
      <c r="B4679" s="84" t="s">
        <v>6283</v>
      </c>
    </row>
    <row r="4680" spans="2:2" x14ac:dyDescent="0.3">
      <c r="B4680" s="84" t="s">
        <v>6284</v>
      </c>
    </row>
    <row r="4681" spans="2:2" x14ac:dyDescent="0.3">
      <c r="B4681" s="84" t="s">
        <v>6285</v>
      </c>
    </row>
    <row r="4682" spans="2:2" x14ac:dyDescent="0.3">
      <c r="B4682" s="84" t="s">
        <v>6286</v>
      </c>
    </row>
    <row r="4683" spans="2:2" x14ac:dyDescent="0.3">
      <c r="B4683" s="84" t="s">
        <v>6287</v>
      </c>
    </row>
    <row r="4684" spans="2:2" x14ac:dyDescent="0.3">
      <c r="B4684" s="84" t="s">
        <v>6288</v>
      </c>
    </row>
    <row r="4685" spans="2:2" x14ac:dyDescent="0.3">
      <c r="B4685" s="84" t="s">
        <v>6289</v>
      </c>
    </row>
    <row r="4686" spans="2:2" x14ac:dyDescent="0.3">
      <c r="B4686" s="84" t="s">
        <v>6290</v>
      </c>
    </row>
    <row r="4687" spans="2:2" x14ac:dyDescent="0.3">
      <c r="B4687" s="84" t="s">
        <v>6291</v>
      </c>
    </row>
    <row r="4688" spans="2:2" x14ac:dyDescent="0.3">
      <c r="B4688" s="84" t="s">
        <v>6292</v>
      </c>
    </row>
    <row r="4689" spans="2:2" x14ac:dyDescent="0.3">
      <c r="B4689" s="84" t="s">
        <v>6293</v>
      </c>
    </row>
    <row r="4690" spans="2:2" x14ac:dyDescent="0.3">
      <c r="B4690" s="84" t="s">
        <v>6294</v>
      </c>
    </row>
    <row r="4691" spans="2:2" x14ac:dyDescent="0.3">
      <c r="B4691" s="84" t="s">
        <v>6295</v>
      </c>
    </row>
    <row r="4692" spans="2:2" x14ac:dyDescent="0.3">
      <c r="B4692" s="84" t="s">
        <v>4148</v>
      </c>
    </row>
    <row r="4693" spans="2:2" x14ac:dyDescent="0.3">
      <c r="B4693" s="84" t="s">
        <v>4159</v>
      </c>
    </row>
    <row r="4694" spans="2:2" x14ac:dyDescent="0.3">
      <c r="B4694" s="84" t="s">
        <v>4149</v>
      </c>
    </row>
    <row r="4695" spans="2:2" x14ac:dyDescent="0.3">
      <c r="B4695" s="84" t="s">
        <v>4160</v>
      </c>
    </row>
    <row r="4696" spans="2:2" x14ac:dyDescent="0.3">
      <c r="B4696" s="84" t="s">
        <v>4138</v>
      </c>
    </row>
    <row r="4697" spans="2:2" x14ac:dyDescent="0.3">
      <c r="B4697" s="84" t="s">
        <v>4139</v>
      </c>
    </row>
    <row r="4698" spans="2:2" x14ac:dyDescent="0.3">
      <c r="B4698" s="84" t="s">
        <v>4150</v>
      </c>
    </row>
    <row r="4699" spans="2:2" x14ac:dyDescent="0.3">
      <c r="B4699" s="84" t="s">
        <v>4161</v>
      </c>
    </row>
    <row r="4700" spans="2:2" x14ac:dyDescent="0.3">
      <c r="B4700" s="84" t="s">
        <v>4140</v>
      </c>
    </row>
    <row r="4701" spans="2:2" x14ac:dyDescent="0.3">
      <c r="B4701" s="84" t="s">
        <v>4151</v>
      </c>
    </row>
    <row r="4702" spans="2:2" x14ac:dyDescent="0.3">
      <c r="B4702" s="84" t="s">
        <v>4162</v>
      </c>
    </row>
    <row r="4703" spans="2:2" x14ac:dyDescent="0.3">
      <c r="B4703" s="84" t="s">
        <v>4141</v>
      </c>
    </row>
    <row r="4704" spans="2:2" x14ac:dyDescent="0.3">
      <c r="B4704" s="84" t="s">
        <v>4152</v>
      </c>
    </row>
    <row r="4705" spans="2:2" x14ac:dyDescent="0.3">
      <c r="B4705" s="84" t="s">
        <v>4142</v>
      </c>
    </row>
    <row r="4706" spans="2:2" x14ac:dyDescent="0.3">
      <c r="B4706" s="84" t="s">
        <v>4153</v>
      </c>
    </row>
    <row r="4707" spans="2:2" x14ac:dyDescent="0.3">
      <c r="B4707" s="84" t="s">
        <v>4143</v>
      </c>
    </row>
    <row r="4708" spans="2:2" x14ac:dyDescent="0.3">
      <c r="B4708" s="84" t="s">
        <v>4154</v>
      </c>
    </row>
    <row r="4709" spans="2:2" x14ac:dyDescent="0.3">
      <c r="B4709" s="84" t="s">
        <v>4144</v>
      </c>
    </row>
    <row r="4710" spans="2:2" x14ac:dyDescent="0.3">
      <c r="B4710" s="84" t="s">
        <v>4155</v>
      </c>
    </row>
    <row r="4711" spans="2:2" x14ac:dyDescent="0.3">
      <c r="B4711" s="84" t="s">
        <v>4145</v>
      </c>
    </row>
    <row r="4712" spans="2:2" x14ac:dyDescent="0.3">
      <c r="B4712" s="84" t="s">
        <v>4156</v>
      </c>
    </row>
    <row r="4713" spans="2:2" x14ac:dyDescent="0.3">
      <c r="B4713" s="84" t="s">
        <v>4146</v>
      </c>
    </row>
    <row r="4714" spans="2:2" x14ac:dyDescent="0.3">
      <c r="B4714" s="84" t="s">
        <v>4157</v>
      </c>
    </row>
    <row r="4715" spans="2:2" x14ac:dyDescent="0.3">
      <c r="B4715" s="84" t="s">
        <v>4147</v>
      </c>
    </row>
    <row r="4716" spans="2:2" x14ac:dyDescent="0.3">
      <c r="B4716" s="84" t="s">
        <v>4158</v>
      </c>
    </row>
    <row r="4717" spans="2:2" x14ac:dyDescent="0.3">
      <c r="B4717" s="84" t="s">
        <v>6296</v>
      </c>
    </row>
    <row r="4718" spans="2:2" x14ac:dyDescent="0.3">
      <c r="B4718" s="84" t="s">
        <v>6297</v>
      </c>
    </row>
    <row r="4719" spans="2:2" x14ac:dyDescent="0.3">
      <c r="B4719" s="84" t="s">
        <v>6298</v>
      </c>
    </row>
    <row r="4720" spans="2:2" x14ac:dyDescent="0.3">
      <c r="B4720" s="84" t="s">
        <v>6299</v>
      </c>
    </row>
    <row r="4721" spans="2:2" x14ac:dyDescent="0.3">
      <c r="B4721" s="84" t="s">
        <v>6300</v>
      </c>
    </row>
    <row r="4722" spans="2:2" x14ac:dyDescent="0.3">
      <c r="B4722" s="84" t="s">
        <v>6301</v>
      </c>
    </row>
    <row r="4723" spans="2:2" x14ac:dyDescent="0.3">
      <c r="B4723" s="84" t="s">
        <v>6302</v>
      </c>
    </row>
    <row r="4724" spans="2:2" x14ac:dyDescent="0.3">
      <c r="B4724" s="84" t="s">
        <v>6303</v>
      </c>
    </row>
    <row r="4725" spans="2:2" x14ac:dyDescent="0.3">
      <c r="B4725" s="84" t="s">
        <v>6304</v>
      </c>
    </row>
    <row r="4726" spans="2:2" x14ac:dyDescent="0.3">
      <c r="B4726" s="84" t="s">
        <v>6305</v>
      </c>
    </row>
    <row r="4727" spans="2:2" x14ac:dyDescent="0.3">
      <c r="B4727" s="84" t="s">
        <v>6306</v>
      </c>
    </row>
    <row r="4728" spans="2:2" x14ac:dyDescent="0.3">
      <c r="B4728" s="84" t="s">
        <v>6307</v>
      </c>
    </row>
    <row r="4729" spans="2:2" x14ac:dyDescent="0.3">
      <c r="B4729" s="84" t="s">
        <v>6308</v>
      </c>
    </row>
    <row r="4730" spans="2:2" x14ac:dyDescent="0.3">
      <c r="B4730" s="84" t="s">
        <v>6309</v>
      </c>
    </row>
    <row r="4731" spans="2:2" x14ac:dyDescent="0.3">
      <c r="B4731" s="84" t="s">
        <v>6310</v>
      </c>
    </row>
    <row r="4732" spans="2:2" x14ac:dyDescent="0.3">
      <c r="B4732" s="84" t="s">
        <v>6311</v>
      </c>
    </row>
    <row r="4733" spans="2:2" x14ac:dyDescent="0.3">
      <c r="B4733" s="84" t="s">
        <v>6312</v>
      </c>
    </row>
    <row r="4734" spans="2:2" x14ac:dyDescent="0.3">
      <c r="B4734" s="84" t="s">
        <v>6313</v>
      </c>
    </row>
    <row r="4735" spans="2:2" x14ac:dyDescent="0.3">
      <c r="B4735" s="84" t="s">
        <v>6314</v>
      </c>
    </row>
    <row r="4736" spans="2:2" x14ac:dyDescent="0.3">
      <c r="B4736" s="84" t="s">
        <v>6315</v>
      </c>
    </row>
    <row r="4737" spans="2:2" x14ac:dyDescent="0.3">
      <c r="B4737" s="84" t="s">
        <v>6316</v>
      </c>
    </row>
    <row r="4738" spans="2:2" x14ac:dyDescent="0.3">
      <c r="B4738" s="84" t="s">
        <v>6317</v>
      </c>
    </row>
    <row r="4739" spans="2:2" x14ac:dyDescent="0.3">
      <c r="B4739" s="84" t="s">
        <v>6318</v>
      </c>
    </row>
    <row r="4740" spans="2:2" x14ac:dyDescent="0.3">
      <c r="B4740" s="84" t="s">
        <v>6319</v>
      </c>
    </row>
    <row r="4741" spans="2:2" x14ac:dyDescent="0.3">
      <c r="B4741" s="84" t="s">
        <v>6320</v>
      </c>
    </row>
    <row r="4742" spans="2:2" x14ac:dyDescent="0.3">
      <c r="B4742" s="84" t="s">
        <v>4123</v>
      </c>
    </row>
    <row r="4743" spans="2:2" x14ac:dyDescent="0.3">
      <c r="B4743" s="84" t="s">
        <v>4134</v>
      </c>
    </row>
    <row r="4744" spans="2:2" x14ac:dyDescent="0.3">
      <c r="B4744" s="84" t="s">
        <v>4124</v>
      </c>
    </row>
    <row r="4745" spans="2:2" x14ac:dyDescent="0.3">
      <c r="B4745" s="84" t="s">
        <v>4135</v>
      </c>
    </row>
    <row r="4746" spans="2:2" x14ac:dyDescent="0.3">
      <c r="B4746" s="84" t="s">
        <v>4113</v>
      </c>
    </row>
    <row r="4747" spans="2:2" x14ac:dyDescent="0.3">
      <c r="B4747" s="84" t="s">
        <v>4114</v>
      </c>
    </row>
    <row r="4748" spans="2:2" x14ac:dyDescent="0.3">
      <c r="B4748" s="84" t="s">
        <v>4125</v>
      </c>
    </row>
    <row r="4749" spans="2:2" x14ac:dyDescent="0.3">
      <c r="B4749" s="84" t="s">
        <v>4136</v>
      </c>
    </row>
    <row r="4750" spans="2:2" x14ac:dyDescent="0.3">
      <c r="B4750" s="84" t="s">
        <v>4115</v>
      </c>
    </row>
    <row r="4751" spans="2:2" x14ac:dyDescent="0.3">
      <c r="B4751" s="84" t="s">
        <v>4126</v>
      </c>
    </row>
    <row r="4752" spans="2:2" x14ac:dyDescent="0.3">
      <c r="B4752" s="84" t="s">
        <v>4137</v>
      </c>
    </row>
    <row r="4753" spans="2:2" x14ac:dyDescent="0.3">
      <c r="B4753" s="84" t="s">
        <v>4116</v>
      </c>
    </row>
    <row r="4754" spans="2:2" x14ac:dyDescent="0.3">
      <c r="B4754" s="84" t="s">
        <v>4127</v>
      </c>
    </row>
    <row r="4755" spans="2:2" x14ac:dyDescent="0.3">
      <c r="B4755" s="84" t="s">
        <v>4117</v>
      </c>
    </row>
    <row r="4756" spans="2:2" x14ac:dyDescent="0.3">
      <c r="B4756" s="84" t="s">
        <v>4128</v>
      </c>
    </row>
    <row r="4757" spans="2:2" x14ac:dyDescent="0.3">
      <c r="B4757" s="84" t="s">
        <v>4118</v>
      </c>
    </row>
    <row r="4758" spans="2:2" x14ac:dyDescent="0.3">
      <c r="B4758" s="84" t="s">
        <v>4129</v>
      </c>
    </row>
    <row r="4759" spans="2:2" x14ac:dyDescent="0.3">
      <c r="B4759" s="84" t="s">
        <v>4119</v>
      </c>
    </row>
    <row r="4760" spans="2:2" x14ac:dyDescent="0.3">
      <c r="B4760" s="84" t="s">
        <v>4130</v>
      </c>
    </row>
    <row r="4761" spans="2:2" x14ac:dyDescent="0.3">
      <c r="B4761" s="84" t="s">
        <v>4120</v>
      </c>
    </row>
    <row r="4762" spans="2:2" x14ac:dyDescent="0.3">
      <c r="B4762" s="84" t="s">
        <v>4131</v>
      </c>
    </row>
    <row r="4763" spans="2:2" x14ac:dyDescent="0.3">
      <c r="B4763" s="84" t="s">
        <v>4121</v>
      </c>
    </row>
    <row r="4764" spans="2:2" x14ac:dyDescent="0.3">
      <c r="B4764" s="84" t="s">
        <v>4132</v>
      </c>
    </row>
    <row r="4765" spans="2:2" x14ac:dyDescent="0.3">
      <c r="B4765" s="84" t="s">
        <v>4122</v>
      </c>
    </row>
    <row r="4766" spans="2:2" x14ac:dyDescent="0.3">
      <c r="B4766" s="84" t="s">
        <v>4133</v>
      </c>
    </row>
    <row r="4767" spans="2:2" x14ac:dyDescent="0.3">
      <c r="B4767" s="84" t="s">
        <v>4198</v>
      </c>
    </row>
    <row r="4768" spans="2:2" x14ac:dyDescent="0.3">
      <c r="B4768" s="84" t="s">
        <v>4209</v>
      </c>
    </row>
    <row r="4769" spans="2:2" x14ac:dyDescent="0.3">
      <c r="B4769" s="84" t="s">
        <v>4199</v>
      </c>
    </row>
    <row r="4770" spans="2:2" x14ac:dyDescent="0.3">
      <c r="B4770" s="84" t="s">
        <v>4210</v>
      </c>
    </row>
    <row r="4771" spans="2:2" x14ac:dyDescent="0.3">
      <c r="B4771" s="84" t="s">
        <v>4188</v>
      </c>
    </row>
    <row r="4772" spans="2:2" x14ac:dyDescent="0.3">
      <c r="B4772" s="84" t="s">
        <v>4189</v>
      </c>
    </row>
    <row r="4773" spans="2:2" x14ac:dyDescent="0.3">
      <c r="B4773" s="84" t="s">
        <v>4200</v>
      </c>
    </row>
    <row r="4774" spans="2:2" x14ac:dyDescent="0.3">
      <c r="B4774" s="84" t="s">
        <v>4211</v>
      </c>
    </row>
    <row r="4775" spans="2:2" x14ac:dyDescent="0.3">
      <c r="B4775" s="84" t="s">
        <v>4190</v>
      </c>
    </row>
    <row r="4776" spans="2:2" x14ac:dyDescent="0.3">
      <c r="B4776" s="84" t="s">
        <v>4201</v>
      </c>
    </row>
    <row r="4777" spans="2:2" x14ac:dyDescent="0.3">
      <c r="B4777" s="84" t="s">
        <v>4212</v>
      </c>
    </row>
    <row r="4778" spans="2:2" x14ac:dyDescent="0.3">
      <c r="B4778" s="84" t="s">
        <v>4191</v>
      </c>
    </row>
    <row r="4779" spans="2:2" x14ac:dyDescent="0.3">
      <c r="B4779" s="84" t="s">
        <v>4202</v>
      </c>
    </row>
    <row r="4780" spans="2:2" x14ac:dyDescent="0.3">
      <c r="B4780" s="84" t="s">
        <v>4192</v>
      </c>
    </row>
    <row r="4781" spans="2:2" x14ac:dyDescent="0.3">
      <c r="B4781" s="84" t="s">
        <v>4203</v>
      </c>
    </row>
    <row r="4782" spans="2:2" x14ac:dyDescent="0.3">
      <c r="B4782" s="84" t="s">
        <v>4193</v>
      </c>
    </row>
    <row r="4783" spans="2:2" x14ac:dyDescent="0.3">
      <c r="B4783" s="84" t="s">
        <v>4204</v>
      </c>
    </row>
    <row r="4784" spans="2:2" x14ac:dyDescent="0.3">
      <c r="B4784" s="84" t="s">
        <v>4194</v>
      </c>
    </row>
    <row r="4785" spans="2:2" x14ac:dyDescent="0.3">
      <c r="B4785" s="84" t="s">
        <v>4205</v>
      </c>
    </row>
    <row r="4786" spans="2:2" x14ac:dyDescent="0.3">
      <c r="B4786" s="84" t="s">
        <v>4195</v>
      </c>
    </row>
    <row r="4787" spans="2:2" x14ac:dyDescent="0.3">
      <c r="B4787" s="84" t="s">
        <v>4206</v>
      </c>
    </row>
    <row r="4788" spans="2:2" x14ac:dyDescent="0.3">
      <c r="B4788" s="84" t="s">
        <v>4196</v>
      </c>
    </row>
    <row r="4789" spans="2:2" x14ac:dyDescent="0.3">
      <c r="B4789" s="84" t="s">
        <v>4207</v>
      </c>
    </row>
    <row r="4790" spans="2:2" x14ac:dyDescent="0.3">
      <c r="B4790" s="84" t="s">
        <v>4197</v>
      </c>
    </row>
    <row r="4791" spans="2:2" x14ac:dyDescent="0.3">
      <c r="B4791" s="84" t="s">
        <v>4208</v>
      </c>
    </row>
    <row r="4792" spans="2:2" x14ac:dyDescent="0.3">
      <c r="B4792" s="84" t="s">
        <v>4523</v>
      </c>
    </row>
    <row r="4793" spans="2:2" x14ac:dyDescent="0.3">
      <c r="B4793" s="84" t="s">
        <v>4534</v>
      </c>
    </row>
    <row r="4794" spans="2:2" x14ac:dyDescent="0.3">
      <c r="B4794" s="84" t="s">
        <v>4524</v>
      </c>
    </row>
    <row r="4795" spans="2:2" x14ac:dyDescent="0.3">
      <c r="B4795" s="84" t="s">
        <v>4535</v>
      </c>
    </row>
    <row r="4796" spans="2:2" x14ac:dyDescent="0.3">
      <c r="B4796" s="84" t="s">
        <v>4513</v>
      </c>
    </row>
    <row r="4797" spans="2:2" x14ac:dyDescent="0.3">
      <c r="B4797" s="84" t="s">
        <v>4514</v>
      </c>
    </row>
    <row r="4798" spans="2:2" x14ac:dyDescent="0.3">
      <c r="B4798" s="84" t="s">
        <v>4525</v>
      </c>
    </row>
    <row r="4799" spans="2:2" x14ac:dyDescent="0.3">
      <c r="B4799" s="84" t="s">
        <v>4536</v>
      </c>
    </row>
    <row r="4800" spans="2:2" x14ac:dyDescent="0.3">
      <c r="B4800" s="84" t="s">
        <v>4515</v>
      </c>
    </row>
    <row r="4801" spans="2:2" x14ac:dyDescent="0.3">
      <c r="B4801" s="84" t="s">
        <v>4526</v>
      </c>
    </row>
    <row r="4802" spans="2:2" x14ac:dyDescent="0.3">
      <c r="B4802" s="84" t="s">
        <v>4537</v>
      </c>
    </row>
    <row r="4803" spans="2:2" x14ac:dyDescent="0.3">
      <c r="B4803" s="84" t="s">
        <v>4516</v>
      </c>
    </row>
    <row r="4804" spans="2:2" x14ac:dyDescent="0.3">
      <c r="B4804" s="84" t="s">
        <v>4527</v>
      </c>
    </row>
    <row r="4805" spans="2:2" x14ac:dyDescent="0.3">
      <c r="B4805" s="84" t="s">
        <v>4517</v>
      </c>
    </row>
    <row r="4806" spans="2:2" x14ac:dyDescent="0.3">
      <c r="B4806" s="84" t="s">
        <v>4528</v>
      </c>
    </row>
    <row r="4807" spans="2:2" x14ac:dyDescent="0.3">
      <c r="B4807" s="84" t="s">
        <v>4518</v>
      </c>
    </row>
    <row r="4808" spans="2:2" x14ac:dyDescent="0.3">
      <c r="B4808" s="84" t="s">
        <v>4529</v>
      </c>
    </row>
    <row r="4809" spans="2:2" x14ac:dyDescent="0.3">
      <c r="B4809" s="84" t="s">
        <v>4519</v>
      </c>
    </row>
    <row r="4810" spans="2:2" x14ac:dyDescent="0.3">
      <c r="B4810" s="84" t="s">
        <v>4530</v>
      </c>
    </row>
    <row r="4811" spans="2:2" x14ac:dyDescent="0.3">
      <c r="B4811" s="84" t="s">
        <v>4520</v>
      </c>
    </row>
    <row r="4812" spans="2:2" x14ac:dyDescent="0.3">
      <c r="B4812" s="84" t="s">
        <v>4531</v>
      </c>
    </row>
    <row r="4813" spans="2:2" x14ac:dyDescent="0.3">
      <c r="B4813" s="84" t="s">
        <v>4521</v>
      </c>
    </row>
    <row r="4814" spans="2:2" x14ac:dyDescent="0.3">
      <c r="B4814" s="84" t="s">
        <v>4532</v>
      </c>
    </row>
    <row r="4815" spans="2:2" x14ac:dyDescent="0.3">
      <c r="B4815" s="84" t="s">
        <v>4522</v>
      </c>
    </row>
    <row r="4816" spans="2:2" x14ac:dyDescent="0.3">
      <c r="B4816" s="84" t="s">
        <v>4533</v>
      </c>
    </row>
    <row r="4817" spans="2:2" x14ac:dyDescent="0.3">
      <c r="B4817" s="84" t="s">
        <v>4373</v>
      </c>
    </row>
    <row r="4818" spans="2:2" x14ac:dyDescent="0.3">
      <c r="B4818" s="84" t="s">
        <v>4384</v>
      </c>
    </row>
    <row r="4819" spans="2:2" x14ac:dyDescent="0.3">
      <c r="B4819" s="84" t="s">
        <v>4374</v>
      </c>
    </row>
    <row r="4820" spans="2:2" x14ac:dyDescent="0.3">
      <c r="B4820" s="84" t="s">
        <v>4385</v>
      </c>
    </row>
    <row r="4821" spans="2:2" x14ac:dyDescent="0.3">
      <c r="B4821" s="84" t="s">
        <v>4363</v>
      </c>
    </row>
    <row r="4822" spans="2:2" x14ac:dyDescent="0.3">
      <c r="B4822" s="84" t="s">
        <v>4364</v>
      </c>
    </row>
    <row r="4823" spans="2:2" x14ac:dyDescent="0.3">
      <c r="B4823" s="84" t="s">
        <v>4375</v>
      </c>
    </row>
    <row r="4824" spans="2:2" x14ac:dyDescent="0.3">
      <c r="B4824" s="84" t="s">
        <v>4386</v>
      </c>
    </row>
    <row r="4825" spans="2:2" x14ac:dyDescent="0.3">
      <c r="B4825" s="84" t="s">
        <v>4365</v>
      </c>
    </row>
    <row r="4826" spans="2:2" x14ac:dyDescent="0.3">
      <c r="B4826" s="84" t="s">
        <v>4376</v>
      </c>
    </row>
    <row r="4827" spans="2:2" x14ac:dyDescent="0.3">
      <c r="B4827" s="84" t="s">
        <v>4387</v>
      </c>
    </row>
    <row r="4828" spans="2:2" x14ac:dyDescent="0.3">
      <c r="B4828" s="84" t="s">
        <v>4366</v>
      </c>
    </row>
    <row r="4829" spans="2:2" x14ac:dyDescent="0.3">
      <c r="B4829" s="84" t="s">
        <v>4377</v>
      </c>
    </row>
    <row r="4830" spans="2:2" x14ac:dyDescent="0.3">
      <c r="B4830" s="84" t="s">
        <v>4367</v>
      </c>
    </row>
    <row r="4831" spans="2:2" x14ac:dyDescent="0.3">
      <c r="B4831" s="84" t="s">
        <v>4378</v>
      </c>
    </row>
    <row r="4832" spans="2:2" x14ac:dyDescent="0.3">
      <c r="B4832" s="84" t="s">
        <v>4368</v>
      </c>
    </row>
    <row r="4833" spans="2:2" x14ac:dyDescent="0.3">
      <c r="B4833" s="84" t="s">
        <v>4379</v>
      </c>
    </row>
    <row r="4834" spans="2:2" x14ac:dyDescent="0.3">
      <c r="B4834" s="84" t="s">
        <v>4369</v>
      </c>
    </row>
    <row r="4835" spans="2:2" x14ac:dyDescent="0.3">
      <c r="B4835" s="84" t="s">
        <v>4380</v>
      </c>
    </row>
    <row r="4836" spans="2:2" x14ac:dyDescent="0.3">
      <c r="B4836" s="84" t="s">
        <v>4370</v>
      </c>
    </row>
    <row r="4837" spans="2:2" x14ac:dyDescent="0.3">
      <c r="B4837" s="84" t="s">
        <v>4381</v>
      </c>
    </row>
    <row r="4838" spans="2:2" x14ac:dyDescent="0.3">
      <c r="B4838" s="84" t="s">
        <v>4371</v>
      </c>
    </row>
    <row r="4839" spans="2:2" x14ac:dyDescent="0.3">
      <c r="B4839" s="84" t="s">
        <v>4382</v>
      </c>
    </row>
    <row r="4840" spans="2:2" x14ac:dyDescent="0.3">
      <c r="B4840" s="84" t="s">
        <v>4372</v>
      </c>
    </row>
    <row r="4841" spans="2:2" x14ac:dyDescent="0.3">
      <c r="B4841" s="84" t="s">
        <v>4383</v>
      </c>
    </row>
    <row r="4842" spans="2:2" x14ac:dyDescent="0.3">
      <c r="B4842" s="84" t="s">
        <v>4498</v>
      </c>
    </row>
    <row r="4843" spans="2:2" x14ac:dyDescent="0.3">
      <c r="B4843" s="84" t="s">
        <v>4509</v>
      </c>
    </row>
    <row r="4844" spans="2:2" x14ac:dyDescent="0.3">
      <c r="B4844" s="84" t="s">
        <v>4499</v>
      </c>
    </row>
    <row r="4845" spans="2:2" x14ac:dyDescent="0.3">
      <c r="B4845" s="84" t="s">
        <v>4510</v>
      </c>
    </row>
    <row r="4846" spans="2:2" x14ac:dyDescent="0.3">
      <c r="B4846" s="84" t="s">
        <v>4488</v>
      </c>
    </row>
    <row r="4847" spans="2:2" x14ac:dyDescent="0.3">
      <c r="B4847" s="84" t="s">
        <v>4489</v>
      </c>
    </row>
    <row r="4848" spans="2:2" x14ac:dyDescent="0.3">
      <c r="B4848" s="84" t="s">
        <v>4500</v>
      </c>
    </row>
    <row r="4849" spans="2:2" x14ac:dyDescent="0.3">
      <c r="B4849" s="84" t="s">
        <v>4511</v>
      </c>
    </row>
    <row r="4850" spans="2:2" x14ac:dyDescent="0.3">
      <c r="B4850" s="84" t="s">
        <v>4490</v>
      </c>
    </row>
    <row r="4851" spans="2:2" x14ac:dyDescent="0.3">
      <c r="B4851" s="84" t="s">
        <v>4501</v>
      </c>
    </row>
    <row r="4852" spans="2:2" x14ac:dyDescent="0.3">
      <c r="B4852" s="84" t="s">
        <v>4512</v>
      </c>
    </row>
    <row r="4853" spans="2:2" x14ac:dyDescent="0.3">
      <c r="B4853" s="84" t="s">
        <v>4491</v>
      </c>
    </row>
    <row r="4854" spans="2:2" x14ac:dyDescent="0.3">
      <c r="B4854" s="84" t="s">
        <v>4502</v>
      </c>
    </row>
    <row r="4855" spans="2:2" x14ac:dyDescent="0.3">
      <c r="B4855" s="84" t="s">
        <v>4492</v>
      </c>
    </row>
    <row r="4856" spans="2:2" x14ac:dyDescent="0.3">
      <c r="B4856" s="84" t="s">
        <v>4503</v>
      </c>
    </row>
    <row r="4857" spans="2:2" x14ac:dyDescent="0.3">
      <c r="B4857" s="84" t="s">
        <v>4493</v>
      </c>
    </row>
    <row r="4858" spans="2:2" x14ac:dyDescent="0.3">
      <c r="B4858" s="84" t="s">
        <v>4504</v>
      </c>
    </row>
    <row r="4859" spans="2:2" x14ac:dyDescent="0.3">
      <c r="B4859" s="84" t="s">
        <v>4494</v>
      </c>
    </row>
    <row r="4860" spans="2:2" x14ac:dyDescent="0.3">
      <c r="B4860" s="84" t="s">
        <v>4505</v>
      </c>
    </row>
    <row r="4861" spans="2:2" x14ac:dyDescent="0.3">
      <c r="B4861" s="84" t="s">
        <v>4495</v>
      </c>
    </row>
    <row r="4862" spans="2:2" x14ac:dyDescent="0.3">
      <c r="B4862" s="84" t="s">
        <v>4506</v>
      </c>
    </row>
    <row r="4863" spans="2:2" x14ac:dyDescent="0.3">
      <c r="B4863" s="84" t="s">
        <v>4496</v>
      </c>
    </row>
    <row r="4864" spans="2:2" x14ac:dyDescent="0.3">
      <c r="B4864" s="84" t="s">
        <v>4507</v>
      </c>
    </row>
    <row r="4865" spans="2:2" x14ac:dyDescent="0.3">
      <c r="B4865" s="84" t="s">
        <v>4497</v>
      </c>
    </row>
    <row r="4866" spans="2:2" x14ac:dyDescent="0.3">
      <c r="B4866" s="84" t="s">
        <v>4508</v>
      </c>
    </row>
    <row r="4867" spans="2:2" x14ac:dyDescent="0.3">
      <c r="B4867" s="84" t="s">
        <v>6321</v>
      </c>
    </row>
    <row r="4868" spans="2:2" x14ac:dyDescent="0.3">
      <c r="B4868" s="84" t="s">
        <v>6322</v>
      </c>
    </row>
    <row r="4869" spans="2:2" x14ac:dyDescent="0.3">
      <c r="B4869" s="84" t="s">
        <v>6323</v>
      </c>
    </row>
    <row r="4870" spans="2:2" x14ac:dyDescent="0.3">
      <c r="B4870" s="84" t="s">
        <v>6324</v>
      </c>
    </row>
    <row r="4871" spans="2:2" x14ac:dyDescent="0.3">
      <c r="B4871" s="84" t="s">
        <v>6325</v>
      </c>
    </row>
    <row r="4872" spans="2:2" x14ac:dyDescent="0.3">
      <c r="B4872" s="84" t="s">
        <v>6326</v>
      </c>
    </row>
    <row r="4873" spans="2:2" x14ac:dyDescent="0.3">
      <c r="B4873" s="84" t="s">
        <v>6327</v>
      </c>
    </row>
    <row r="4874" spans="2:2" x14ac:dyDescent="0.3">
      <c r="B4874" s="84" t="s">
        <v>6328</v>
      </c>
    </row>
    <row r="4875" spans="2:2" x14ac:dyDescent="0.3">
      <c r="B4875" s="84" t="s">
        <v>6329</v>
      </c>
    </row>
    <row r="4876" spans="2:2" x14ac:dyDescent="0.3">
      <c r="B4876" s="84" t="s">
        <v>6330</v>
      </c>
    </row>
    <row r="4877" spans="2:2" x14ac:dyDescent="0.3">
      <c r="B4877" s="84" t="s">
        <v>6331</v>
      </c>
    </row>
    <row r="4878" spans="2:2" x14ac:dyDescent="0.3">
      <c r="B4878" s="84" t="s">
        <v>6332</v>
      </c>
    </row>
    <row r="4879" spans="2:2" x14ac:dyDescent="0.3">
      <c r="B4879" s="84" t="s">
        <v>6333</v>
      </c>
    </row>
    <row r="4880" spans="2:2" x14ac:dyDescent="0.3">
      <c r="B4880" s="84" t="s">
        <v>6334</v>
      </c>
    </row>
    <row r="4881" spans="2:2" x14ac:dyDescent="0.3">
      <c r="B4881" s="84" t="s">
        <v>6335</v>
      </c>
    </row>
    <row r="4882" spans="2:2" x14ac:dyDescent="0.3">
      <c r="B4882" s="84" t="s">
        <v>6336</v>
      </c>
    </row>
    <row r="4883" spans="2:2" x14ac:dyDescent="0.3">
      <c r="B4883" s="84" t="s">
        <v>6337</v>
      </c>
    </row>
    <row r="4884" spans="2:2" x14ac:dyDescent="0.3">
      <c r="B4884" s="84" t="s">
        <v>6338</v>
      </c>
    </row>
    <row r="4885" spans="2:2" x14ac:dyDescent="0.3">
      <c r="B4885" s="84" t="s">
        <v>6339</v>
      </c>
    </row>
    <row r="4886" spans="2:2" x14ac:dyDescent="0.3">
      <c r="B4886" s="84" t="s">
        <v>6340</v>
      </c>
    </row>
    <row r="4887" spans="2:2" x14ac:dyDescent="0.3">
      <c r="B4887" s="84" t="s">
        <v>6341</v>
      </c>
    </row>
    <row r="4888" spans="2:2" x14ac:dyDescent="0.3">
      <c r="B4888" s="84" t="s">
        <v>6342</v>
      </c>
    </row>
    <row r="4889" spans="2:2" x14ac:dyDescent="0.3">
      <c r="B4889" s="84" t="s">
        <v>6343</v>
      </c>
    </row>
    <row r="4890" spans="2:2" x14ac:dyDescent="0.3">
      <c r="B4890" s="84" t="s">
        <v>6344</v>
      </c>
    </row>
    <row r="4891" spans="2:2" x14ac:dyDescent="0.3">
      <c r="B4891" s="84" t="s">
        <v>6345</v>
      </c>
    </row>
    <row r="4892" spans="2:2" x14ac:dyDescent="0.3">
      <c r="B4892" s="84" t="s">
        <v>6346</v>
      </c>
    </row>
    <row r="4893" spans="2:2" x14ac:dyDescent="0.3">
      <c r="B4893" s="84" t="s">
        <v>6347</v>
      </c>
    </row>
    <row r="4894" spans="2:2" x14ac:dyDescent="0.3">
      <c r="B4894" s="84" t="s">
        <v>6348</v>
      </c>
    </row>
    <row r="4895" spans="2:2" x14ac:dyDescent="0.3">
      <c r="B4895" s="84" t="s">
        <v>6349</v>
      </c>
    </row>
    <row r="4896" spans="2:2" x14ac:dyDescent="0.3">
      <c r="B4896" s="84" t="s">
        <v>6350</v>
      </c>
    </row>
    <row r="4897" spans="2:2" x14ac:dyDescent="0.3">
      <c r="B4897" s="84" t="s">
        <v>6351</v>
      </c>
    </row>
    <row r="4898" spans="2:2" x14ac:dyDescent="0.3">
      <c r="B4898" s="84" t="s">
        <v>6352</v>
      </c>
    </row>
    <row r="4899" spans="2:2" x14ac:dyDescent="0.3">
      <c r="B4899" s="84" t="s">
        <v>6353</v>
      </c>
    </row>
    <row r="4900" spans="2:2" x14ac:dyDescent="0.3">
      <c r="B4900" s="84" t="s">
        <v>6354</v>
      </c>
    </row>
    <row r="4901" spans="2:2" x14ac:dyDescent="0.3">
      <c r="B4901" s="84" t="s">
        <v>6355</v>
      </c>
    </row>
    <row r="4902" spans="2:2" x14ac:dyDescent="0.3">
      <c r="B4902" s="84" t="s">
        <v>6356</v>
      </c>
    </row>
    <row r="4903" spans="2:2" x14ac:dyDescent="0.3">
      <c r="B4903" s="84" t="s">
        <v>6357</v>
      </c>
    </row>
    <row r="4904" spans="2:2" x14ac:dyDescent="0.3">
      <c r="B4904" s="84" t="s">
        <v>6358</v>
      </c>
    </row>
    <row r="4905" spans="2:2" x14ac:dyDescent="0.3">
      <c r="B4905" s="84" t="s">
        <v>6359</v>
      </c>
    </row>
    <row r="4906" spans="2:2" x14ac:dyDescent="0.3">
      <c r="B4906" s="84" t="s">
        <v>6360</v>
      </c>
    </row>
    <row r="4907" spans="2:2" x14ac:dyDescent="0.3">
      <c r="B4907" s="84" t="s">
        <v>6361</v>
      </c>
    </row>
    <row r="4908" spans="2:2" x14ac:dyDescent="0.3">
      <c r="B4908" s="84" t="s">
        <v>6362</v>
      </c>
    </row>
    <row r="4909" spans="2:2" x14ac:dyDescent="0.3">
      <c r="B4909" s="84" t="s">
        <v>6363</v>
      </c>
    </row>
    <row r="4910" spans="2:2" x14ac:dyDescent="0.3">
      <c r="B4910" s="84" t="s">
        <v>6364</v>
      </c>
    </row>
    <row r="4911" spans="2:2" x14ac:dyDescent="0.3">
      <c r="B4911" s="84" t="s">
        <v>6365</v>
      </c>
    </row>
    <row r="4912" spans="2:2" x14ac:dyDescent="0.3">
      <c r="B4912" s="84" t="s">
        <v>6366</v>
      </c>
    </row>
    <row r="4913" spans="2:2" x14ac:dyDescent="0.3">
      <c r="B4913" s="84" t="s">
        <v>6367</v>
      </c>
    </row>
    <row r="4914" spans="2:2" x14ac:dyDescent="0.3">
      <c r="B4914" s="84" t="s">
        <v>6368</v>
      </c>
    </row>
    <row r="4915" spans="2:2" x14ac:dyDescent="0.3">
      <c r="B4915" s="84" t="s">
        <v>6369</v>
      </c>
    </row>
    <row r="4916" spans="2:2" x14ac:dyDescent="0.3">
      <c r="B4916" s="84" t="s">
        <v>6370</v>
      </c>
    </row>
    <row r="4917" spans="2:2" x14ac:dyDescent="0.3">
      <c r="B4917" s="84" t="s">
        <v>3373</v>
      </c>
    </row>
    <row r="4918" spans="2:2" x14ac:dyDescent="0.3">
      <c r="B4918" s="84" t="s">
        <v>3384</v>
      </c>
    </row>
    <row r="4919" spans="2:2" x14ac:dyDescent="0.3">
      <c r="B4919" s="84" t="s">
        <v>3374</v>
      </c>
    </row>
    <row r="4920" spans="2:2" x14ac:dyDescent="0.3">
      <c r="B4920" s="84" t="s">
        <v>3385</v>
      </c>
    </row>
    <row r="4921" spans="2:2" x14ac:dyDescent="0.3">
      <c r="B4921" s="84" t="s">
        <v>3363</v>
      </c>
    </row>
    <row r="4922" spans="2:2" x14ac:dyDescent="0.3">
      <c r="B4922" s="84" t="s">
        <v>3364</v>
      </c>
    </row>
    <row r="4923" spans="2:2" x14ac:dyDescent="0.3">
      <c r="B4923" s="84" t="s">
        <v>3375</v>
      </c>
    </row>
    <row r="4924" spans="2:2" x14ac:dyDescent="0.3">
      <c r="B4924" s="84" t="s">
        <v>3386</v>
      </c>
    </row>
    <row r="4925" spans="2:2" x14ac:dyDescent="0.3">
      <c r="B4925" s="84" t="s">
        <v>3365</v>
      </c>
    </row>
    <row r="4926" spans="2:2" x14ac:dyDescent="0.3">
      <c r="B4926" s="84" t="s">
        <v>3376</v>
      </c>
    </row>
    <row r="4927" spans="2:2" x14ac:dyDescent="0.3">
      <c r="B4927" s="84" t="s">
        <v>3387</v>
      </c>
    </row>
    <row r="4928" spans="2:2" x14ac:dyDescent="0.3">
      <c r="B4928" s="84" t="s">
        <v>3366</v>
      </c>
    </row>
    <row r="4929" spans="2:2" x14ac:dyDescent="0.3">
      <c r="B4929" s="84" t="s">
        <v>3377</v>
      </c>
    </row>
    <row r="4930" spans="2:2" x14ac:dyDescent="0.3">
      <c r="B4930" s="84" t="s">
        <v>3367</v>
      </c>
    </row>
    <row r="4931" spans="2:2" x14ac:dyDescent="0.3">
      <c r="B4931" s="84" t="s">
        <v>3378</v>
      </c>
    </row>
    <row r="4932" spans="2:2" x14ac:dyDescent="0.3">
      <c r="B4932" s="84" t="s">
        <v>3368</v>
      </c>
    </row>
    <row r="4933" spans="2:2" x14ac:dyDescent="0.3">
      <c r="B4933" s="84" t="s">
        <v>3379</v>
      </c>
    </row>
    <row r="4934" spans="2:2" x14ac:dyDescent="0.3">
      <c r="B4934" s="84" t="s">
        <v>3369</v>
      </c>
    </row>
    <row r="4935" spans="2:2" x14ac:dyDescent="0.3">
      <c r="B4935" s="84" t="s">
        <v>3380</v>
      </c>
    </row>
    <row r="4936" spans="2:2" x14ac:dyDescent="0.3">
      <c r="B4936" s="84" t="s">
        <v>3370</v>
      </c>
    </row>
    <row r="4937" spans="2:2" x14ac:dyDescent="0.3">
      <c r="B4937" s="84" t="s">
        <v>3381</v>
      </c>
    </row>
    <row r="4938" spans="2:2" x14ac:dyDescent="0.3">
      <c r="B4938" s="84" t="s">
        <v>3371</v>
      </c>
    </row>
    <row r="4939" spans="2:2" x14ac:dyDescent="0.3">
      <c r="B4939" s="84" t="s">
        <v>3382</v>
      </c>
    </row>
    <row r="4940" spans="2:2" x14ac:dyDescent="0.3">
      <c r="B4940" s="84" t="s">
        <v>3372</v>
      </c>
    </row>
    <row r="4941" spans="2:2" x14ac:dyDescent="0.3">
      <c r="B4941" s="84" t="s">
        <v>3383</v>
      </c>
    </row>
    <row r="4942" spans="2:2" x14ac:dyDescent="0.3">
      <c r="B4942" s="84" t="s">
        <v>6371</v>
      </c>
    </row>
    <row r="4943" spans="2:2" x14ac:dyDescent="0.3">
      <c r="B4943" s="84" t="s">
        <v>6372</v>
      </c>
    </row>
    <row r="4944" spans="2:2" x14ac:dyDescent="0.3">
      <c r="B4944" s="84" t="s">
        <v>6373</v>
      </c>
    </row>
    <row r="4945" spans="2:2" x14ac:dyDescent="0.3">
      <c r="B4945" s="84" t="s">
        <v>6374</v>
      </c>
    </row>
    <row r="4946" spans="2:2" x14ac:dyDescent="0.3">
      <c r="B4946" s="84" t="s">
        <v>6375</v>
      </c>
    </row>
    <row r="4947" spans="2:2" x14ac:dyDescent="0.3">
      <c r="B4947" s="84" t="s">
        <v>6376</v>
      </c>
    </row>
    <row r="4948" spans="2:2" x14ac:dyDescent="0.3">
      <c r="B4948" s="84" t="s">
        <v>6377</v>
      </c>
    </row>
    <row r="4949" spans="2:2" x14ac:dyDescent="0.3">
      <c r="B4949" s="84" t="s">
        <v>6378</v>
      </c>
    </row>
    <row r="4950" spans="2:2" x14ac:dyDescent="0.3">
      <c r="B4950" s="84" t="s">
        <v>6379</v>
      </c>
    </row>
    <row r="4951" spans="2:2" x14ac:dyDescent="0.3">
      <c r="B4951" s="84" t="s">
        <v>6380</v>
      </c>
    </row>
    <row r="4952" spans="2:2" x14ac:dyDescent="0.3">
      <c r="B4952" s="84" t="s">
        <v>6381</v>
      </c>
    </row>
    <row r="4953" spans="2:2" x14ac:dyDescent="0.3">
      <c r="B4953" s="84" t="s">
        <v>6382</v>
      </c>
    </row>
    <row r="4954" spans="2:2" x14ac:dyDescent="0.3">
      <c r="B4954" s="84" t="s">
        <v>6383</v>
      </c>
    </row>
    <row r="4955" spans="2:2" x14ac:dyDescent="0.3">
      <c r="B4955" s="84" t="s">
        <v>6384</v>
      </c>
    </row>
    <row r="4956" spans="2:2" x14ac:dyDescent="0.3">
      <c r="B4956" s="84" t="s">
        <v>6385</v>
      </c>
    </row>
    <row r="4957" spans="2:2" x14ac:dyDescent="0.3">
      <c r="B4957" s="84" t="s">
        <v>6386</v>
      </c>
    </row>
    <row r="4958" spans="2:2" x14ac:dyDescent="0.3">
      <c r="B4958" s="84" t="s">
        <v>6387</v>
      </c>
    </row>
    <row r="4959" spans="2:2" x14ac:dyDescent="0.3">
      <c r="B4959" s="84" t="s">
        <v>6388</v>
      </c>
    </row>
    <row r="4960" spans="2:2" x14ac:dyDescent="0.3">
      <c r="B4960" s="84" t="s">
        <v>6389</v>
      </c>
    </row>
    <row r="4961" spans="2:2" x14ac:dyDescent="0.3">
      <c r="B4961" s="84" t="s">
        <v>6390</v>
      </c>
    </row>
    <row r="4962" spans="2:2" x14ac:dyDescent="0.3">
      <c r="B4962" s="84" t="s">
        <v>6391</v>
      </c>
    </row>
    <row r="4963" spans="2:2" x14ac:dyDescent="0.3">
      <c r="B4963" s="84" t="s">
        <v>6392</v>
      </c>
    </row>
    <row r="4964" spans="2:2" x14ac:dyDescent="0.3">
      <c r="B4964" s="84" t="s">
        <v>6393</v>
      </c>
    </row>
    <row r="4965" spans="2:2" x14ac:dyDescent="0.3">
      <c r="B4965" s="84" t="s">
        <v>6394</v>
      </c>
    </row>
    <row r="4966" spans="2:2" x14ac:dyDescent="0.3">
      <c r="B4966" s="84" t="s">
        <v>6395</v>
      </c>
    </row>
    <row r="4967" spans="2:2" x14ac:dyDescent="0.3">
      <c r="B4967" s="84" t="s">
        <v>3273</v>
      </c>
    </row>
    <row r="4968" spans="2:2" x14ac:dyDescent="0.3">
      <c r="B4968" s="84" t="s">
        <v>3284</v>
      </c>
    </row>
    <row r="4969" spans="2:2" x14ac:dyDescent="0.3">
      <c r="B4969" s="84" t="s">
        <v>3274</v>
      </c>
    </row>
    <row r="4970" spans="2:2" x14ac:dyDescent="0.3">
      <c r="B4970" s="84" t="s">
        <v>3285</v>
      </c>
    </row>
    <row r="4971" spans="2:2" x14ac:dyDescent="0.3">
      <c r="B4971" s="84" t="s">
        <v>3263</v>
      </c>
    </row>
    <row r="4972" spans="2:2" x14ac:dyDescent="0.3">
      <c r="B4972" s="84" t="s">
        <v>3264</v>
      </c>
    </row>
    <row r="4973" spans="2:2" x14ac:dyDescent="0.3">
      <c r="B4973" s="84" t="s">
        <v>3275</v>
      </c>
    </row>
    <row r="4974" spans="2:2" x14ac:dyDescent="0.3">
      <c r="B4974" s="84" t="s">
        <v>3286</v>
      </c>
    </row>
    <row r="4975" spans="2:2" x14ac:dyDescent="0.3">
      <c r="B4975" s="84" t="s">
        <v>3265</v>
      </c>
    </row>
    <row r="4976" spans="2:2" x14ac:dyDescent="0.3">
      <c r="B4976" s="84" t="s">
        <v>3276</v>
      </c>
    </row>
    <row r="4977" spans="2:2" x14ac:dyDescent="0.3">
      <c r="B4977" s="84" t="s">
        <v>3287</v>
      </c>
    </row>
    <row r="4978" spans="2:2" x14ac:dyDescent="0.3">
      <c r="B4978" s="84" t="s">
        <v>3266</v>
      </c>
    </row>
    <row r="4979" spans="2:2" x14ac:dyDescent="0.3">
      <c r="B4979" s="84" t="s">
        <v>3277</v>
      </c>
    </row>
    <row r="4980" spans="2:2" x14ac:dyDescent="0.3">
      <c r="B4980" s="84" t="s">
        <v>3267</v>
      </c>
    </row>
    <row r="4981" spans="2:2" x14ac:dyDescent="0.3">
      <c r="B4981" s="84" t="s">
        <v>3278</v>
      </c>
    </row>
    <row r="4982" spans="2:2" x14ac:dyDescent="0.3">
      <c r="B4982" s="84" t="s">
        <v>3268</v>
      </c>
    </row>
    <row r="4983" spans="2:2" x14ac:dyDescent="0.3">
      <c r="B4983" s="84" t="s">
        <v>3279</v>
      </c>
    </row>
    <row r="4984" spans="2:2" x14ac:dyDescent="0.3">
      <c r="B4984" s="84" t="s">
        <v>3269</v>
      </c>
    </row>
    <row r="4985" spans="2:2" x14ac:dyDescent="0.3">
      <c r="B4985" s="84" t="s">
        <v>3280</v>
      </c>
    </row>
    <row r="4986" spans="2:2" x14ac:dyDescent="0.3">
      <c r="B4986" s="84" t="s">
        <v>3270</v>
      </c>
    </row>
    <row r="4987" spans="2:2" x14ac:dyDescent="0.3">
      <c r="B4987" s="84" t="s">
        <v>3281</v>
      </c>
    </row>
    <row r="4988" spans="2:2" x14ac:dyDescent="0.3">
      <c r="B4988" s="84" t="s">
        <v>3271</v>
      </c>
    </row>
    <row r="4989" spans="2:2" x14ac:dyDescent="0.3">
      <c r="B4989" s="84" t="s">
        <v>3282</v>
      </c>
    </row>
    <row r="4990" spans="2:2" x14ac:dyDescent="0.3">
      <c r="B4990" s="84" t="s">
        <v>3272</v>
      </c>
    </row>
    <row r="4991" spans="2:2" x14ac:dyDescent="0.3">
      <c r="B4991" s="84" t="s">
        <v>3283</v>
      </c>
    </row>
    <row r="4992" spans="2:2" x14ac:dyDescent="0.3">
      <c r="B4992" s="84" t="s">
        <v>6396</v>
      </c>
    </row>
    <row r="4993" spans="2:2" x14ac:dyDescent="0.3">
      <c r="B4993" s="84" t="s">
        <v>6397</v>
      </c>
    </row>
    <row r="4994" spans="2:2" x14ac:dyDescent="0.3">
      <c r="B4994" s="84" t="s">
        <v>6398</v>
      </c>
    </row>
    <row r="4995" spans="2:2" x14ac:dyDescent="0.3">
      <c r="B4995" s="84" t="s">
        <v>6399</v>
      </c>
    </row>
    <row r="4996" spans="2:2" x14ac:dyDescent="0.3">
      <c r="B4996" s="84" t="s">
        <v>6400</v>
      </c>
    </row>
    <row r="4997" spans="2:2" x14ac:dyDescent="0.3">
      <c r="B4997" s="84" t="s">
        <v>6401</v>
      </c>
    </row>
    <row r="4998" spans="2:2" x14ac:dyDescent="0.3">
      <c r="B4998" s="84" t="s">
        <v>6402</v>
      </c>
    </row>
    <row r="4999" spans="2:2" x14ac:dyDescent="0.3">
      <c r="B4999" s="84" t="s">
        <v>6403</v>
      </c>
    </row>
    <row r="5000" spans="2:2" x14ac:dyDescent="0.3">
      <c r="B5000" s="84" t="s">
        <v>6404</v>
      </c>
    </row>
    <row r="5001" spans="2:2" x14ac:dyDescent="0.3">
      <c r="B5001" s="84" t="s">
        <v>6405</v>
      </c>
    </row>
    <row r="5002" spans="2:2" x14ac:dyDescent="0.3">
      <c r="B5002" s="84" t="s">
        <v>6406</v>
      </c>
    </row>
    <row r="5003" spans="2:2" x14ac:dyDescent="0.3">
      <c r="B5003" s="84" t="s">
        <v>6407</v>
      </c>
    </row>
    <row r="5004" spans="2:2" x14ac:dyDescent="0.3">
      <c r="B5004" s="84" t="s">
        <v>6408</v>
      </c>
    </row>
    <row r="5005" spans="2:2" x14ac:dyDescent="0.3">
      <c r="B5005" s="84" t="s">
        <v>6409</v>
      </c>
    </row>
    <row r="5006" spans="2:2" x14ac:dyDescent="0.3">
      <c r="B5006" s="84" t="s">
        <v>6410</v>
      </c>
    </row>
    <row r="5007" spans="2:2" x14ac:dyDescent="0.3">
      <c r="B5007" s="84" t="s">
        <v>6411</v>
      </c>
    </row>
    <row r="5008" spans="2:2" x14ac:dyDescent="0.3">
      <c r="B5008" s="84" t="s">
        <v>6412</v>
      </c>
    </row>
    <row r="5009" spans="2:2" x14ac:dyDescent="0.3">
      <c r="B5009" s="84" t="s">
        <v>6413</v>
      </c>
    </row>
    <row r="5010" spans="2:2" x14ac:dyDescent="0.3">
      <c r="B5010" s="84" t="s">
        <v>6414</v>
      </c>
    </row>
    <row r="5011" spans="2:2" x14ac:dyDescent="0.3">
      <c r="B5011" s="84" t="s">
        <v>6415</v>
      </c>
    </row>
    <row r="5012" spans="2:2" x14ac:dyDescent="0.3">
      <c r="B5012" s="84" t="s">
        <v>6416</v>
      </c>
    </row>
    <row r="5013" spans="2:2" x14ac:dyDescent="0.3">
      <c r="B5013" s="84" t="s">
        <v>6417</v>
      </c>
    </row>
    <row r="5014" spans="2:2" x14ac:dyDescent="0.3">
      <c r="B5014" s="84" t="s">
        <v>6418</v>
      </c>
    </row>
    <row r="5015" spans="2:2" x14ac:dyDescent="0.3">
      <c r="B5015" s="84" t="s">
        <v>6419</v>
      </c>
    </row>
    <row r="5016" spans="2:2" x14ac:dyDescent="0.3">
      <c r="B5016" s="84" t="s">
        <v>6420</v>
      </c>
    </row>
    <row r="5017" spans="2:2" x14ac:dyDescent="0.3">
      <c r="B5017" s="84" t="s">
        <v>6421</v>
      </c>
    </row>
    <row r="5018" spans="2:2" x14ac:dyDescent="0.3">
      <c r="B5018" s="84" t="s">
        <v>6422</v>
      </c>
    </row>
    <row r="5019" spans="2:2" x14ac:dyDescent="0.3">
      <c r="B5019" s="84" t="s">
        <v>6423</v>
      </c>
    </row>
    <row r="5020" spans="2:2" x14ac:dyDescent="0.3">
      <c r="B5020" s="84" t="s">
        <v>6424</v>
      </c>
    </row>
    <row r="5021" spans="2:2" x14ac:dyDescent="0.3">
      <c r="B5021" s="84" t="s">
        <v>6425</v>
      </c>
    </row>
    <row r="5022" spans="2:2" x14ac:dyDescent="0.3">
      <c r="B5022" s="84" t="s">
        <v>6426</v>
      </c>
    </row>
    <row r="5023" spans="2:2" x14ac:dyDescent="0.3">
      <c r="B5023" s="84" t="s">
        <v>6427</v>
      </c>
    </row>
    <row r="5024" spans="2:2" x14ac:dyDescent="0.3">
      <c r="B5024" s="84" t="s">
        <v>6428</v>
      </c>
    </row>
    <row r="5025" spans="2:2" x14ac:dyDescent="0.3">
      <c r="B5025" s="84" t="s">
        <v>6429</v>
      </c>
    </row>
    <row r="5026" spans="2:2" x14ac:dyDescent="0.3">
      <c r="B5026" s="84" t="s">
        <v>6430</v>
      </c>
    </row>
    <row r="5027" spans="2:2" x14ac:dyDescent="0.3">
      <c r="B5027" s="84" t="s">
        <v>6431</v>
      </c>
    </row>
    <row r="5028" spans="2:2" x14ac:dyDescent="0.3">
      <c r="B5028" s="84" t="s">
        <v>6432</v>
      </c>
    </row>
    <row r="5029" spans="2:2" x14ac:dyDescent="0.3">
      <c r="B5029" s="84" t="s">
        <v>6433</v>
      </c>
    </row>
    <row r="5030" spans="2:2" x14ac:dyDescent="0.3">
      <c r="B5030" s="84" t="s">
        <v>6434</v>
      </c>
    </row>
    <row r="5031" spans="2:2" x14ac:dyDescent="0.3">
      <c r="B5031" s="84" t="s">
        <v>6435</v>
      </c>
    </row>
    <row r="5032" spans="2:2" x14ac:dyDescent="0.3">
      <c r="B5032" s="84" t="s">
        <v>6436</v>
      </c>
    </row>
    <row r="5033" spans="2:2" x14ac:dyDescent="0.3">
      <c r="B5033" s="84" t="s">
        <v>6437</v>
      </c>
    </row>
    <row r="5034" spans="2:2" x14ac:dyDescent="0.3">
      <c r="B5034" s="84" t="s">
        <v>6438</v>
      </c>
    </row>
    <row r="5035" spans="2:2" x14ac:dyDescent="0.3">
      <c r="B5035" s="84" t="s">
        <v>6439</v>
      </c>
    </row>
    <row r="5036" spans="2:2" x14ac:dyDescent="0.3">
      <c r="B5036" s="84" t="s">
        <v>6440</v>
      </c>
    </row>
    <row r="5037" spans="2:2" x14ac:dyDescent="0.3">
      <c r="B5037" s="84" t="s">
        <v>6441</v>
      </c>
    </row>
    <row r="5038" spans="2:2" x14ac:dyDescent="0.3">
      <c r="B5038" s="84" t="s">
        <v>6442</v>
      </c>
    </row>
    <row r="5039" spans="2:2" x14ac:dyDescent="0.3">
      <c r="B5039" s="84" t="s">
        <v>6443</v>
      </c>
    </row>
    <row r="5040" spans="2:2" x14ac:dyDescent="0.3">
      <c r="B5040" s="84" t="s">
        <v>6444</v>
      </c>
    </row>
    <row r="5041" spans="2:2" x14ac:dyDescent="0.3">
      <c r="B5041" s="84" t="s">
        <v>6445</v>
      </c>
    </row>
    <row r="5042" spans="2:2" x14ac:dyDescent="0.3">
      <c r="B5042" s="84" t="s">
        <v>4173</v>
      </c>
    </row>
    <row r="5043" spans="2:2" x14ac:dyDescent="0.3">
      <c r="B5043" s="84" t="s">
        <v>4184</v>
      </c>
    </row>
    <row r="5044" spans="2:2" x14ac:dyDescent="0.3">
      <c r="B5044" s="84" t="s">
        <v>4174</v>
      </c>
    </row>
    <row r="5045" spans="2:2" x14ac:dyDescent="0.3">
      <c r="B5045" s="84" t="s">
        <v>4185</v>
      </c>
    </row>
    <row r="5046" spans="2:2" x14ac:dyDescent="0.3">
      <c r="B5046" s="84" t="s">
        <v>4163</v>
      </c>
    </row>
    <row r="5047" spans="2:2" x14ac:dyDescent="0.3">
      <c r="B5047" s="84" t="s">
        <v>4164</v>
      </c>
    </row>
    <row r="5048" spans="2:2" x14ac:dyDescent="0.3">
      <c r="B5048" s="84" t="s">
        <v>4175</v>
      </c>
    </row>
    <row r="5049" spans="2:2" x14ac:dyDescent="0.3">
      <c r="B5049" s="84" t="s">
        <v>4186</v>
      </c>
    </row>
    <row r="5050" spans="2:2" x14ac:dyDescent="0.3">
      <c r="B5050" s="84" t="s">
        <v>4165</v>
      </c>
    </row>
    <row r="5051" spans="2:2" x14ac:dyDescent="0.3">
      <c r="B5051" s="84" t="s">
        <v>4176</v>
      </c>
    </row>
    <row r="5052" spans="2:2" x14ac:dyDescent="0.3">
      <c r="B5052" s="84" t="s">
        <v>4187</v>
      </c>
    </row>
    <row r="5053" spans="2:2" x14ac:dyDescent="0.3">
      <c r="B5053" s="84" t="s">
        <v>4166</v>
      </c>
    </row>
    <row r="5054" spans="2:2" x14ac:dyDescent="0.3">
      <c r="B5054" s="84" t="s">
        <v>4177</v>
      </c>
    </row>
    <row r="5055" spans="2:2" x14ac:dyDescent="0.3">
      <c r="B5055" s="84" t="s">
        <v>4167</v>
      </c>
    </row>
    <row r="5056" spans="2:2" x14ac:dyDescent="0.3">
      <c r="B5056" s="84" t="s">
        <v>4178</v>
      </c>
    </row>
    <row r="5057" spans="2:2" x14ac:dyDescent="0.3">
      <c r="B5057" s="84" t="s">
        <v>4168</v>
      </c>
    </row>
    <row r="5058" spans="2:2" x14ac:dyDescent="0.3">
      <c r="B5058" s="84" t="s">
        <v>4179</v>
      </c>
    </row>
    <row r="5059" spans="2:2" x14ac:dyDescent="0.3">
      <c r="B5059" s="84" t="s">
        <v>4169</v>
      </c>
    </row>
    <row r="5060" spans="2:2" x14ac:dyDescent="0.3">
      <c r="B5060" s="84" t="s">
        <v>4180</v>
      </c>
    </row>
    <row r="5061" spans="2:2" x14ac:dyDescent="0.3">
      <c r="B5061" s="84" t="s">
        <v>4170</v>
      </c>
    </row>
    <row r="5062" spans="2:2" x14ac:dyDescent="0.3">
      <c r="B5062" s="84" t="s">
        <v>4181</v>
      </c>
    </row>
    <row r="5063" spans="2:2" x14ac:dyDescent="0.3">
      <c r="B5063" s="84" t="s">
        <v>4171</v>
      </c>
    </row>
    <row r="5064" spans="2:2" x14ac:dyDescent="0.3">
      <c r="B5064" s="84" t="s">
        <v>4182</v>
      </c>
    </row>
    <row r="5065" spans="2:2" x14ac:dyDescent="0.3">
      <c r="B5065" s="84" t="s">
        <v>4172</v>
      </c>
    </row>
    <row r="5066" spans="2:2" x14ac:dyDescent="0.3">
      <c r="B5066" s="84" t="s">
        <v>4183</v>
      </c>
    </row>
    <row r="5067" spans="2:2" x14ac:dyDescent="0.3">
      <c r="B5067" s="84" t="s">
        <v>4323</v>
      </c>
    </row>
    <row r="5068" spans="2:2" x14ac:dyDescent="0.3">
      <c r="B5068" s="84" t="s">
        <v>4334</v>
      </c>
    </row>
    <row r="5069" spans="2:2" x14ac:dyDescent="0.3">
      <c r="B5069" s="84" t="s">
        <v>4324</v>
      </c>
    </row>
    <row r="5070" spans="2:2" x14ac:dyDescent="0.3">
      <c r="B5070" s="84" t="s">
        <v>4335</v>
      </c>
    </row>
    <row r="5071" spans="2:2" x14ac:dyDescent="0.3">
      <c r="B5071" s="84" t="s">
        <v>4313</v>
      </c>
    </row>
    <row r="5072" spans="2:2" x14ac:dyDescent="0.3">
      <c r="B5072" s="84" t="s">
        <v>4314</v>
      </c>
    </row>
    <row r="5073" spans="2:2" x14ac:dyDescent="0.3">
      <c r="B5073" s="84" t="s">
        <v>4325</v>
      </c>
    </row>
    <row r="5074" spans="2:2" x14ac:dyDescent="0.3">
      <c r="B5074" s="84" t="s">
        <v>4336</v>
      </c>
    </row>
    <row r="5075" spans="2:2" x14ac:dyDescent="0.3">
      <c r="B5075" s="84" t="s">
        <v>4315</v>
      </c>
    </row>
    <row r="5076" spans="2:2" x14ac:dyDescent="0.3">
      <c r="B5076" s="84" t="s">
        <v>4326</v>
      </c>
    </row>
    <row r="5077" spans="2:2" x14ac:dyDescent="0.3">
      <c r="B5077" s="84" t="s">
        <v>4337</v>
      </c>
    </row>
    <row r="5078" spans="2:2" x14ac:dyDescent="0.3">
      <c r="B5078" s="84" t="s">
        <v>4316</v>
      </c>
    </row>
    <row r="5079" spans="2:2" x14ac:dyDescent="0.3">
      <c r="B5079" s="84" t="s">
        <v>4327</v>
      </c>
    </row>
    <row r="5080" spans="2:2" x14ac:dyDescent="0.3">
      <c r="B5080" s="84" t="s">
        <v>4317</v>
      </c>
    </row>
    <row r="5081" spans="2:2" x14ac:dyDescent="0.3">
      <c r="B5081" s="84" t="s">
        <v>4328</v>
      </c>
    </row>
    <row r="5082" spans="2:2" x14ac:dyDescent="0.3">
      <c r="B5082" s="84" t="s">
        <v>4318</v>
      </c>
    </row>
    <row r="5083" spans="2:2" x14ac:dyDescent="0.3">
      <c r="B5083" s="84" t="s">
        <v>4329</v>
      </c>
    </row>
    <row r="5084" spans="2:2" x14ac:dyDescent="0.3">
      <c r="B5084" s="84" t="s">
        <v>4319</v>
      </c>
    </row>
    <row r="5085" spans="2:2" x14ac:dyDescent="0.3">
      <c r="B5085" s="84" t="s">
        <v>4330</v>
      </c>
    </row>
    <row r="5086" spans="2:2" x14ac:dyDescent="0.3">
      <c r="B5086" s="84" t="s">
        <v>4320</v>
      </c>
    </row>
    <row r="5087" spans="2:2" x14ac:dyDescent="0.3">
      <c r="B5087" s="84" t="s">
        <v>4331</v>
      </c>
    </row>
    <row r="5088" spans="2:2" x14ac:dyDescent="0.3">
      <c r="B5088" s="84" t="s">
        <v>4321</v>
      </c>
    </row>
    <row r="5089" spans="2:2" x14ac:dyDescent="0.3">
      <c r="B5089" s="84" t="s">
        <v>4332</v>
      </c>
    </row>
    <row r="5090" spans="2:2" x14ac:dyDescent="0.3">
      <c r="B5090" s="84" t="s">
        <v>4322</v>
      </c>
    </row>
    <row r="5091" spans="2:2" x14ac:dyDescent="0.3">
      <c r="B5091" s="84" t="s">
        <v>4333</v>
      </c>
    </row>
    <row r="5092" spans="2:2" x14ac:dyDescent="0.3">
      <c r="B5092" s="84" t="s">
        <v>4398</v>
      </c>
    </row>
    <row r="5093" spans="2:2" x14ac:dyDescent="0.3">
      <c r="B5093" s="84" t="s">
        <v>4409</v>
      </c>
    </row>
    <row r="5094" spans="2:2" x14ac:dyDescent="0.3">
      <c r="B5094" s="84" t="s">
        <v>4399</v>
      </c>
    </row>
    <row r="5095" spans="2:2" x14ac:dyDescent="0.3">
      <c r="B5095" s="84" t="s">
        <v>4410</v>
      </c>
    </row>
    <row r="5096" spans="2:2" x14ac:dyDescent="0.3">
      <c r="B5096" s="84" t="s">
        <v>4388</v>
      </c>
    </row>
    <row r="5097" spans="2:2" x14ac:dyDescent="0.3">
      <c r="B5097" s="84" t="s">
        <v>4389</v>
      </c>
    </row>
    <row r="5098" spans="2:2" x14ac:dyDescent="0.3">
      <c r="B5098" s="84" t="s">
        <v>4400</v>
      </c>
    </row>
    <row r="5099" spans="2:2" x14ac:dyDescent="0.3">
      <c r="B5099" s="84" t="s">
        <v>4411</v>
      </c>
    </row>
    <row r="5100" spans="2:2" x14ac:dyDescent="0.3">
      <c r="B5100" s="84" t="s">
        <v>4390</v>
      </c>
    </row>
    <row r="5101" spans="2:2" x14ac:dyDescent="0.3">
      <c r="B5101" s="84" t="s">
        <v>4401</v>
      </c>
    </row>
    <row r="5102" spans="2:2" x14ac:dyDescent="0.3">
      <c r="B5102" s="84" t="s">
        <v>4412</v>
      </c>
    </row>
    <row r="5103" spans="2:2" x14ac:dyDescent="0.3">
      <c r="B5103" s="84" t="s">
        <v>4391</v>
      </c>
    </row>
    <row r="5104" spans="2:2" x14ac:dyDescent="0.3">
      <c r="B5104" s="84" t="s">
        <v>4402</v>
      </c>
    </row>
    <row r="5105" spans="2:2" x14ac:dyDescent="0.3">
      <c r="B5105" s="84" t="s">
        <v>4392</v>
      </c>
    </row>
    <row r="5106" spans="2:2" x14ac:dyDescent="0.3">
      <c r="B5106" s="84" t="s">
        <v>4403</v>
      </c>
    </row>
    <row r="5107" spans="2:2" x14ac:dyDescent="0.3">
      <c r="B5107" s="84" t="s">
        <v>4393</v>
      </c>
    </row>
    <row r="5108" spans="2:2" x14ac:dyDescent="0.3">
      <c r="B5108" s="84" t="s">
        <v>4404</v>
      </c>
    </row>
    <row r="5109" spans="2:2" x14ac:dyDescent="0.3">
      <c r="B5109" s="84" t="s">
        <v>4394</v>
      </c>
    </row>
    <row r="5110" spans="2:2" x14ac:dyDescent="0.3">
      <c r="B5110" s="84" t="s">
        <v>4405</v>
      </c>
    </row>
    <row r="5111" spans="2:2" x14ac:dyDescent="0.3">
      <c r="B5111" s="84" t="s">
        <v>4395</v>
      </c>
    </row>
    <row r="5112" spans="2:2" x14ac:dyDescent="0.3">
      <c r="B5112" s="84" t="s">
        <v>4406</v>
      </c>
    </row>
    <row r="5113" spans="2:2" x14ac:dyDescent="0.3">
      <c r="B5113" s="84" t="s">
        <v>4396</v>
      </c>
    </row>
    <row r="5114" spans="2:2" x14ac:dyDescent="0.3">
      <c r="B5114" s="84" t="s">
        <v>4407</v>
      </c>
    </row>
    <row r="5115" spans="2:2" x14ac:dyDescent="0.3">
      <c r="B5115" s="84" t="s">
        <v>4397</v>
      </c>
    </row>
    <row r="5116" spans="2:2" x14ac:dyDescent="0.3">
      <c r="B5116" s="84" t="s">
        <v>4408</v>
      </c>
    </row>
    <row r="5117" spans="2:2" x14ac:dyDescent="0.3">
      <c r="B5117" s="84" t="s">
        <v>4048</v>
      </c>
    </row>
    <row r="5118" spans="2:2" x14ac:dyDescent="0.3">
      <c r="B5118" s="84" t="s">
        <v>4059</v>
      </c>
    </row>
    <row r="5119" spans="2:2" x14ac:dyDescent="0.3">
      <c r="B5119" s="84" t="s">
        <v>4049</v>
      </c>
    </row>
    <row r="5120" spans="2:2" x14ac:dyDescent="0.3">
      <c r="B5120" s="84" t="s">
        <v>4060</v>
      </c>
    </row>
    <row r="5121" spans="2:2" x14ac:dyDescent="0.3">
      <c r="B5121" s="84" t="s">
        <v>4038</v>
      </c>
    </row>
    <row r="5122" spans="2:2" x14ac:dyDescent="0.3">
      <c r="B5122" s="84" t="s">
        <v>4039</v>
      </c>
    </row>
    <row r="5123" spans="2:2" x14ac:dyDescent="0.3">
      <c r="B5123" s="84" t="s">
        <v>4050</v>
      </c>
    </row>
    <row r="5124" spans="2:2" x14ac:dyDescent="0.3">
      <c r="B5124" s="84" t="s">
        <v>4061</v>
      </c>
    </row>
    <row r="5125" spans="2:2" x14ac:dyDescent="0.3">
      <c r="B5125" s="84" t="s">
        <v>4040</v>
      </c>
    </row>
    <row r="5126" spans="2:2" x14ac:dyDescent="0.3">
      <c r="B5126" s="84" t="s">
        <v>4051</v>
      </c>
    </row>
    <row r="5127" spans="2:2" x14ac:dyDescent="0.3">
      <c r="B5127" s="84" t="s">
        <v>4062</v>
      </c>
    </row>
    <row r="5128" spans="2:2" x14ac:dyDescent="0.3">
      <c r="B5128" s="84" t="s">
        <v>4041</v>
      </c>
    </row>
    <row r="5129" spans="2:2" x14ac:dyDescent="0.3">
      <c r="B5129" s="84" t="s">
        <v>4052</v>
      </c>
    </row>
    <row r="5130" spans="2:2" x14ac:dyDescent="0.3">
      <c r="B5130" s="84" t="s">
        <v>4042</v>
      </c>
    </row>
    <row r="5131" spans="2:2" x14ac:dyDescent="0.3">
      <c r="B5131" s="84" t="s">
        <v>4053</v>
      </c>
    </row>
    <row r="5132" spans="2:2" x14ac:dyDescent="0.3">
      <c r="B5132" s="84" t="s">
        <v>4043</v>
      </c>
    </row>
    <row r="5133" spans="2:2" x14ac:dyDescent="0.3">
      <c r="B5133" s="84" t="s">
        <v>4054</v>
      </c>
    </row>
    <row r="5134" spans="2:2" x14ac:dyDescent="0.3">
      <c r="B5134" s="84" t="s">
        <v>4044</v>
      </c>
    </row>
    <row r="5135" spans="2:2" x14ac:dyDescent="0.3">
      <c r="B5135" s="84" t="s">
        <v>4055</v>
      </c>
    </row>
    <row r="5136" spans="2:2" x14ac:dyDescent="0.3">
      <c r="B5136" s="84" t="s">
        <v>4045</v>
      </c>
    </row>
    <row r="5137" spans="2:2" x14ac:dyDescent="0.3">
      <c r="B5137" s="84" t="s">
        <v>4056</v>
      </c>
    </row>
    <row r="5138" spans="2:2" x14ac:dyDescent="0.3">
      <c r="B5138" s="84" t="s">
        <v>4046</v>
      </c>
    </row>
    <row r="5139" spans="2:2" x14ac:dyDescent="0.3">
      <c r="B5139" s="84" t="s">
        <v>4057</v>
      </c>
    </row>
    <row r="5140" spans="2:2" x14ac:dyDescent="0.3">
      <c r="B5140" s="84" t="s">
        <v>4047</v>
      </c>
    </row>
    <row r="5141" spans="2:2" x14ac:dyDescent="0.3">
      <c r="B5141" s="84" t="s">
        <v>4058</v>
      </c>
    </row>
    <row r="5142" spans="2:2" x14ac:dyDescent="0.3">
      <c r="B5142" s="84" t="s">
        <v>6446</v>
      </c>
    </row>
    <row r="5143" spans="2:2" x14ac:dyDescent="0.3">
      <c r="B5143" s="84" t="s">
        <v>6447</v>
      </c>
    </row>
    <row r="5144" spans="2:2" x14ac:dyDescent="0.3">
      <c r="B5144" s="84" t="s">
        <v>6448</v>
      </c>
    </row>
    <row r="5145" spans="2:2" x14ac:dyDescent="0.3">
      <c r="B5145" s="84" t="s">
        <v>6449</v>
      </c>
    </row>
    <row r="5146" spans="2:2" x14ac:dyDescent="0.3">
      <c r="B5146" s="84" t="s">
        <v>6450</v>
      </c>
    </row>
    <row r="5147" spans="2:2" x14ac:dyDescent="0.3">
      <c r="B5147" s="84" t="s">
        <v>6451</v>
      </c>
    </row>
    <row r="5148" spans="2:2" x14ac:dyDescent="0.3">
      <c r="B5148" s="84" t="s">
        <v>6452</v>
      </c>
    </row>
    <row r="5149" spans="2:2" x14ac:dyDescent="0.3">
      <c r="B5149" s="84" t="s">
        <v>6453</v>
      </c>
    </row>
    <row r="5150" spans="2:2" x14ac:dyDescent="0.3">
      <c r="B5150" s="84" t="s">
        <v>6454</v>
      </c>
    </row>
    <row r="5151" spans="2:2" x14ac:dyDescent="0.3">
      <c r="B5151" s="84" t="s">
        <v>6455</v>
      </c>
    </row>
    <row r="5152" spans="2:2" x14ac:dyDescent="0.3">
      <c r="B5152" s="84" t="s">
        <v>6456</v>
      </c>
    </row>
    <row r="5153" spans="2:2" x14ac:dyDescent="0.3">
      <c r="B5153" s="84" t="s">
        <v>6457</v>
      </c>
    </row>
    <row r="5154" spans="2:2" x14ac:dyDescent="0.3">
      <c r="B5154" s="84" t="s">
        <v>6458</v>
      </c>
    </row>
    <row r="5155" spans="2:2" x14ac:dyDescent="0.3">
      <c r="B5155" s="84" t="s">
        <v>6459</v>
      </c>
    </row>
    <row r="5156" spans="2:2" x14ac:dyDescent="0.3">
      <c r="B5156" s="84" t="s">
        <v>6460</v>
      </c>
    </row>
    <row r="5157" spans="2:2" x14ac:dyDescent="0.3">
      <c r="B5157" s="84" t="s">
        <v>6461</v>
      </c>
    </row>
    <row r="5158" spans="2:2" x14ac:dyDescent="0.3">
      <c r="B5158" s="84" t="s">
        <v>6462</v>
      </c>
    </row>
    <row r="5159" spans="2:2" x14ac:dyDescent="0.3">
      <c r="B5159" s="84" t="s">
        <v>6463</v>
      </c>
    </row>
    <row r="5160" spans="2:2" x14ac:dyDescent="0.3">
      <c r="B5160" s="84" t="s">
        <v>6464</v>
      </c>
    </row>
    <row r="5161" spans="2:2" x14ac:dyDescent="0.3">
      <c r="B5161" s="84" t="s">
        <v>6465</v>
      </c>
    </row>
    <row r="5162" spans="2:2" x14ac:dyDescent="0.3">
      <c r="B5162" s="84" t="s">
        <v>6466</v>
      </c>
    </row>
    <row r="5163" spans="2:2" x14ac:dyDescent="0.3">
      <c r="B5163" s="84" t="s">
        <v>6467</v>
      </c>
    </row>
    <row r="5164" spans="2:2" x14ac:dyDescent="0.3">
      <c r="B5164" s="84" t="s">
        <v>6468</v>
      </c>
    </row>
    <row r="5165" spans="2:2" x14ac:dyDescent="0.3">
      <c r="B5165" s="84" t="s">
        <v>6469</v>
      </c>
    </row>
    <row r="5166" spans="2:2" x14ac:dyDescent="0.3">
      <c r="B5166" s="84" t="s">
        <v>6470</v>
      </c>
    </row>
    <row r="5167" spans="2:2" x14ac:dyDescent="0.3">
      <c r="B5167" s="84" t="s">
        <v>6471</v>
      </c>
    </row>
    <row r="5168" spans="2:2" x14ac:dyDescent="0.3">
      <c r="B5168" s="84" t="s">
        <v>6472</v>
      </c>
    </row>
    <row r="5169" spans="2:2" x14ac:dyDescent="0.3">
      <c r="B5169" s="84" t="s">
        <v>6473</v>
      </c>
    </row>
    <row r="5170" spans="2:2" x14ac:dyDescent="0.3">
      <c r="B5170" s="84" t="s">
        <v>6474</v>
      </c>
    </row>
    <row r="5171" spans="2:2" x14ac:dyDescent="0.3">
      <c r="B5171" s="84" t="s">
        <v>6475</v>
      </c>
    </row>
    <row r="5172" spans="2:2" x14ac:dyDescent="0.3">
      <c r="B5172" s="84" t="s">
        <v>6476</v>
      </c>
    </row>
    <row r="5173" spans="2:2" x14ac:dyDescent="0.3">
      <c r="B5173" s="84" t="s">
        <v>6477</v>
      </c>
    </row>
    <row r="5174" spans="2:2" x14ac:dyDescent="0.3">
      <c r="B5174" s="84" t="s">
        <v>6478</v>
      </c>
    </row>
    <row r="5175" spans="2:2" x14ac:dyDescent="0.3">
      <c r="B5175" s="84" t="s">
        <v>6479</v>
      </c>
    </row>
    <row r="5176" spans="2:2" x14ac:dyDescent="0.3">
      <c r="B5176" s="84" t="s">
        <v>6480</v>
      </c>
    </row>
    <row r="5177" spans="2:2" x14ac:dyDescent="0.3">
      <c r="B5177" s="84" t="s">
        <v>6481</v>
      </c>
    </row>
    <row r="5178" spans="2:2" x14ac:dyDescent="0.3">
      <c r="B5178" s="84" t="s">
        <v>6482</v>
      </c>
    </row>
    <row r="5179" spans="2:2" x14ac:dyDescent="0.3">
      <c r="B5179" s="84" t="s">
        <v>6483</v>
      </c>
    </row>
    <row r="5180" spans="2:2" x14ac:dyDescent="0.3">
      <c r="B5180" s="84" t="s">
        <v>6484</v>
      </c>
    </row>
    <row r="5181" spans="2:2" x14ac:dyDescent="0.3">
      <c r="B5181" s="84" t="s">
        <v>6485</v>
      </c>
    </row>
    <row r="5182" spans="2:2" x14ac:dyDescent="0.3">
      <c r="B5182" s="84" t="s">
        <v>6486</v>
      </c>
    </row>
    <row r="5183" spans="2:2" x14ac:dyDescent="0.3">
      <c r="B5183" s="84" t="s">
        <v>6487</v>
      </c>
    </row>
    <row r="5184" spans="2:2" x14ac:dyDescent="0.3">
      <c r="B5184" s="84" t="s">
        <v>6488</v>
      </c>
    </row>
    <row r="5185" spans="2:2" x14ac:dyDescent="0.3">
      <c r="B5185" s="84" t="s">
        <v>6489</v>
      </c>
    </row>
    <row r="5186" spans="2:2" x14ac:dyDescent="0.3">
      <c r="B5186" s="84" t="s">
        <v>6490</v>
      </c>
    </row>
    <row r="5187" spans="2:2" x14ac:dyDescent="0.3">
      <c r="B5187" s="84" t="s">
        <v>6491</v>
      </c>
    </row>
    <row r="5188" spans="2:2" x14ac:dyDescent="0.3">
      <c r="B5188" s="84" t="s">
        <v>6492</v>
      </c>
    </row>
    <row r="5189" spans="2:2" x14ac:dyDescent="0.3">
      <c r="B5189" s="84" t="s">
        <v>6493</v>
      </c>
    </row>
    <row r="5190" spans="2:2" x14ac:dyDescent="0.3">
      <c r="B5190" s="84" t="s">
        <v>6494</v>
      </c>
    </row>
    <row r="5191" spans="2:2" x14ac:dyDescent="0.3">
      <c r="B5191" s="84" t="s">
        <v>6495</v>
      </c>
    </row>
    <row r="5192" spans="2:2" x14ac:dyDescent="0.3">
      <c r="B5192" s="84" t="s">
        <v>6496</v>
      </c>
    </row>
    <row r="5193" spans="2:2" x14ac:dyDescent="0.3">
      <c r="B5193" s="84" t="s">
        <v>6497</v>
      </c>
    </row>
    <row r="5194" spans="2:2" x14ac:dyDescent="0.3">
      <c r="B5194" s="84" t="s">
        <v>6498</v>
      </c>
    </row>
    <row r="5195" spans="2:2" x14ac:dyDescent="0.3">
      <c r="B5195" s="84" t="s">
        <v>6499</v>
      </c>
    </row>
    <row r="5196" spans="2:2" x14ac:dyDescent="0.3">
      <c r="B5196" s="84" t="s">
        <v>3298</v>
      </c>
    </row>
    <row r="5197" spans="2:2" x14ac:dyDescent="0.3">
      <c r="B5197" s="84" t="s">
        <v>3309</v>
      </c>
    </row>
    <row r="5198" spans="2:2" x14ac:dyDescent="0.3">
      <c r="B5198" s="84" t="s">
        <v>3299</v>
      </c>
    </row>
    <row r="5199" spans="2:2" x14ac:dyDescent="0.3">
      <c r="B5199" s="84" t="s">
        <v>3310</v>
      </c>
    </row>
    <row r="5200" spans="2:2" x14ac:dyDescent="0.3">
      <c r="B5200" s="84" t="s">
        <v>3288</v>
      </c>
    </row>
    <row r="5201" spans="2:2" x14ac:dyDescent="0.3">
      <c r="B5201" s="84" t="s">
        <v>3289</v>
      </c>
    </row>
    <row r="5202" spans="2:2" x14ac:dyDescent="0.3">
      <c r="B5202" s="84" t="s">
        <v>3300</v>
      </c>
    </row>
    <row r="5203" spans="2:2" x14ac:dyDescent="0.3">
      <c r="B5203" s="84" t="s">
        <v>3311</v>
      </c>
    </row>
    <row r="5204" spans="2:2" x14ac:dyDescent="0.3">
      <c r="B5204" s="84" t="s">
        <v>3290</v>
      </c>
    </row>
    <row r="5205" spans="2:2" x14ac:dyDescent="0.3">
      <c r="B5205" s="84" t="s">
        <v>3301</v>
      </c>
    </row>
    <row r="5206" spans="2:2" x14ac:dyDescent="0.3">
      <c r="B5206" s="84" t="s">
        <v>3312</v>
      </c>
    </row>
    <row r="5207" spans="2:2" x14ac:dyDescent="0.3">
      <c r="B5207" s="84" t="s">
        <v>3291</v>
      </c>
    </row>
    <row r="5208" spans="2:2" x14ac:dyDescent="0.3">
      <c r="B5208" s="84" t="s">
        <v>3302</v>
      </c>
    </row>
    <row r="5209" spans="2:2" x14ac:dyDescent="0.3">
      <c r="B5209" s="84" t="s">
        <v>3292</v>
      </c>
    </row>
    <row r="5210" spans="2:2" x14ac:dyDescent="0.3">
      <c r="B5210" s="84" t="s">
        <v>3303</v>
      </c>
    </row>
    <row r="5211" spans="2:2" x14ac:dyDescent="0.3">
      <c r="B5211" s="84" t="s">
        <v>3293</v>
      </c>
    </row>
    <row r="5212" spans="2:2" x14ac:dyDescent="0.3">
      <c r="B5212" s="84" t="s">
        <v>3304</v>
      </c>
    </row>
    <row r="5213" spans="2:2" x14ac:dyDescent="0.3">
      <c r="B5213" s="84" t="s">
        <v>3294</v>
      </c>
    </row>
    <row r="5214" spans="2:2" x14ac:dyDescent="0.3">
      <c r="B5214" s="84" t="s">
        <v>3305</v>
      </c>
    </row>
    <row r="5215" spans="2:2" x14ac:dyDescent="0.3">
      <c r="B5215" s="84" t="s">
        <v>3295</v>
      </c>
    </row>
    <row r="5216" spans="2:2" x14ac:dyDescent="0.3">
      <c r="B5216" s="84" t="s">
        <v>3306</v>
      </c>
    </row>
    <row r="5217" spans="2:2" x14ac:dyDescent="0.3">
      <c r="B5217" s="84" t="s">
        <v>3296</v>
      </c>
    </row>
    <row r="5218" spans="2:2" x14ac:dyDescent="0.3">
      <c r="B5218" s="84" t="s">
        <v>3307</v>
      </c>
    </row>
    <row r="5219" spans="2:2" x14ac:dyDescent="0.3">
      <c r="B5219" s="84" t="s">
        <v>3297</v>
      </c>
    </row>
    <row r="5220" spans="2:2" x14ac:dyDescent="0.3">
      <c r="B5220" s="84" t="s">
        <v>3308</v>
      </c>
    </row>
  </sheetData>
  <conditionalFormatting sqref="B1216:B1218">
    <cfRule type="duplicateValues" dxfId="4" priority="4"/>
  </conditionalFormatting>
  <conditionalFormatting sqref="B1219:B1221">
    <cfRule type="duplicateValues" dxfId="3" priority="3"/>
  </conditionalFormatting>
  <conditionalFormatting sqref="E1341">
    <cfRule type="duplicateValues" dxfId="2" priority="2"/>
  </conditionalFormatting>
  <conditionalFormatting sqref="B1213:B1215 B1222:B1248 B1252:B1255 E1212:E1259">
    <cfRule type="duplicateValues" dxfId="1" priority="5"/>
  </conditionalFormatting>
  <conditionalFormatting sqref="E1265:E1267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Ref_PassALM">
    <tabColor theme="9" tint="0.39997558519241921"/>
  </sheetPr>
  <dimension ref="A1:E200"/>
  <sheetViews>
    <sheetView showGridLines="0" zoomScale="90" zoomScaleNormal="90" workbookViewId="0">
      <selection activeCell="A17" sqref="A17"/>
    </sheetView>
  </sheetViews>
  <sheetFormatPr baseColWidth="10" defaultColWidth="11.44140625" defaultRowHeight="14.4" x14ac:dyDescent="0.3"/>
  <cols>
    <col min="1" max="2" width="19.44140625" style="135" customWidth="1"/>
    <col min="3" max="4" width="11.44140625" style="139"/>
    <col min="6" max="16384" width="11.44140625" style="139"/>
  </cols>
  <sheetData>
    <row r="1" spans="1:3" x14ac:dyDescent="0.3">
      <c r="A1" s="312" t="s">
        <v>634</v>
      </c>
      <c r="B1" s="312"/>
      <c r="C1" s="312"/>
    </row>
    <row r="2" spans="1:3" x14ac:dyDescent="0.3">
      <c r="A2" s="133" t="s">
        <v>296</v>
      </c>
      <c r="B2" s="133" t="s">
        <v>265</v>
      </c>
      <c r="C2" s="133" t="s">
        <v>1481</v>
      </c>
    </row>
    <row r="3" spans="1:3" x14ac:dyDescent="0.3">
      <c r="A3" s="134" t="s">
        <v>2</v>
      </c>
      <c r="B3" s="135" t="s">
        <v>160</v>
      </c>
      <c r="C3" s="134" t="s">
        <v>307</v>
      </c>
    </row>
    <row r="4" spans="1:3" x14ac:dyDescent="0.3">
      <c r="A4" s="134" t="s">
        <v>1824</v>
      </c>
      <c r="B4" s="135" t="s">
        <v>165</v>
      </c>
      <c r="C4" s="134" t="s">
        <v>307</v>
      </c>
    </row>
    <row r="5" spans="1:3" x14ac:dyDescent="0.3">
      <c r="A5" s="134" t="s">
        <v>1651</v>
      </c>
      <c r="B5" s="135" t="s">
        <v>192</v>
      </c>
      <c r="C5" s="134" t="s">
        <v>307</v>
      </c>
    </row>
    <row r="6" spans="1:3" x14ac:dyDescent="0.3">
      <c r="A6" s="134" t="s">
        <v>1711</v>
      </c>
      <c r="B6" s="135" t="s">
        <v>167</v>
      </c>
      <c r="C6" s="134" t="s">
        <v>307</v>
      </c>
    </row>
    <row r="7" spans="1:3" x14ac:dyDescent="0.3">
      <c r="A7" s="134" t="s">
        <v>1745</v>
      </c>
      <c r="B7" s="135" t="s">
        <v>193</v>
      </c>
      <c r="C7" s="134" t="s">
        <v>307</v>
      </c>
    </row>
    <row r="8" spans="1:3" x14ac:dyDescent="0.3">
      <c r="A8" s="134" t="s">
        <v>1925</v>
      </c>
      <c r="B8" s="135" t="s">
        <v>160</v>
      </c>
      <c r="C8" s="134" t="s">
        <v>307</v>
      </c>
    </row>
    <row r="9" spans="1:3" x14ac:dyDescent="0.3">
      <c r="A9" s="134" t="s">
        <v>405</v>
      </c>
      <c r="B9" s="135" t="s">
        <v>160</v>
      </c>
      <c r="C9" s="134" t="s">
        <v>307</v>
      </c>
    </row>
    <row r="10" spans="1:3" x14ac:dyDescent="0.3">
      <c r="A10" s="134" t="s">
        <v>635</v>
      </c>
      <c r="B10" s="135" t="s">
        <v>160</v>
      </c>
      <c r="C10" s="134" t="s">
        <v>307</v>
      </c>
    </row>
    <row r="11" spans="1:3" x14ac:dyDescent="0.3">
      <c r="A11" s="134" t="s">
        <v>198</v>
      </c>
      <c r="B11" s="135" t="s">
        <v>160</v>
      </c>
      <c r="C11" s="134" t="s">
        <v>307</v>
      </c>
    </row>
    <row r="12" spans="1:3" x14ac:dyDescent="0.3">
      <c r="A12" s="134" t="s">
        <v>636</v>
      </c>
      <c r="B12" s="135" t="s">
        <v>165</v>
      </c>
      <c r="C12" s="134" t="s">
        <v>307</v>
      </c>
    </row>
    <row r="13" spans="1:3" x14ac:dyDescent="0.3">
      <c r="A13" s="134" t="s">
        <v>199</v>
      </c>
      <c r="B13" s="135" t="s">
        <v>160</v>
      </c>
      <c r="C13" s="134" t="s">
        <v>307</v>
      </c>
    </row>
    <row r="14" spans="1:3" x14ac:dyDescent="0.3">
      <c r="A14" s="134" t="s">
        <v>1480</v>
      </c>
      <c r="B14" s="135" t="s">
        <v>165</v>
      </c>
      <c r="C14" s="134" t="s">
        <v>307</v>
      </c>
    </row>
    <row r="15" spans="1:3" x14ac:dyDescent="0.3">
      <c r="A15" s="134" t="s">
        <v>1419</v>
      </c>
      <c r="B15" s="135" t="s">
        <v>192</v>
      </c>
      <c r="C15" s="134" t="s">
        <v>308</v>
      </c>
    </row>
    <row r="16" spans="1:3" x14ac:dyDescent="0.3">
      <c r="A16" s="134" t="s">
        <v>1420</v>
      </c>
      <c r="B16" s="135" t="s">
        <v>192</v>
      </c>
      <c r="C16" s="134" t="s">
        <v>308</v>
      </c>
    </row>
    <row r="17" spans="1:3" x14ac:dyDescent="0.3">
      <c r="A17" s="140" t="s">
        <v>1421</v>
      </c>
      <c r="B17" s="135" t="s">
        <v>192</v>
      </c>
      <c r="C17" s="134" t="s">
        <v>308</v>
      </c>
    </row>
    <row r="18" spans="1:3" x14ac:dyDescent="0.3">
      <c r="A18" s="134" t="s">
        <v>1411</v>
      </c>
      <c r="B18" s="135" t="s">
        <v>160</v>
      </c>
      <c r="C18" s="134" t="s">
        <v>308</v>
      </c>
    </row>
    <row r="19" spans="1:3" x14ac:dyDescent="0.3">
      <c r="A19" s="134" t="s">
        <v>1402</v>
      </c>
      <c r="B19" s="135" t="s">
        <v>160</v>
      </c>
      <c r="C19" s="134" t="s">
        <v>308</v>
      </c>
    </row>
    <row r="20" spans="1:3" x14ac:dyDescent="0.3">
      <c r="A20" s="140" t="s">
        <v>1406</v>
      </c>
      <c r="B20" s="135" t="s">
        <v>160</v>
      </c>
      <c r="C20" s="134" t="s">
        <v>308</v>
      </c>
    </row>
    <row r="21" spans="1:3" x14ac:dyDescent="0.3">
      <c r="A21" s="140" t="s">
        <v>1405</v>
      </c>
      <c r="B21" s="135" t="s">
        <v>160</v>
      </c>
      <c r="C21" s="134" t="s">
        <v>308</v>
      </c>
    </row>
    <row r="22" spans="1:3" x14ac:dyDescent="0.3">
      <c r="A22" s="140" t="s">
        <v>1408</v>
      </c>
      <c r="B22" s="135" t="s">
        <v>160</v>
      </c>
      <c r="C22" s="134" t="s">
        <v>308</v>
      </c>
    </row>
    <row r="23" spans="1:3" x14ac:dyDescent="0.3">
      <c r="A23" s="134" t="s">
        <v>1403</v>
      </c>
      <c r="B23" s="135" t="s">
        <v>160</v>
      </c>
      <c r="C23" s="134" t="s">
        <v>307</v>
      </c>
    </row>
    <row r="24" spans="1:3" x14ac:dyDescent="0.3">
      <c r="A24" s="140" t="s">
        <v>1409</v>
      </c>
      <c r="B24" s="135" t="s">
        <v>160</v>
      </c>
      <c r="C24" s="134" t="s">
        <v>308</v>
      </c>
    </row>
    <row r="25" spans="1:3" x14ac:dyDescent="0.3">
      <c r="A25" s="140" t="s">
        <v>1407</v>
      </c>
      <c r="B25" s="135" t="s">
        <v>160</v>
      </c>
      <c r="C25" s="134" t="s">
        <v>308</v>
      </c>
    </row>
    <row r="26" spans="1:3" x14ac:dyDescent="0.3">
      <c r="A26" s="134" t="s">
        <v>1404</v>
      </c>
      <c r="B26" s="135" t="s">
        <v>160</v>
      </c>
      <c r="C26" s="134" t="s">
        <v>308</v>
      </c>
    </row>
    <row r="27" spans="1:3" x14ac:dyDescent="0.3">
      <c r="A27" s="140" t="s">
        <v>1410</v>
      </c>
      <c r="B27" s="135" t="s">
        <v>160</v>
      </c>
      <c r="C27" s="134" t="s">
        <v>308</v>
      </c>
    </row>
    <row r="28" spans="1:3" x14ac:dyDescent="0.3">
      <c r="A28" s="134" t="s">
        <v>1422</v>
      </c>
      <c r="B28" s="135" t="s">
        <v>167</v>
      </c>
      <c r="C28" s="134" t="s">
        <v>308</v>
      </c>
    </row>
    <row r="29" spans="1:3" x14ac:dyDescent="0.3">
      <c r="A29" s="134" t="s">
        <v>1423</v>
      </c>
      <c r="B29" s="135" t="s">
        <v>167</v>
      </c>
      <c r="C29" s="134" t="s">
        <v>308</v>
      </c>
    </row>
    <row r="30" spans="1:3" x14ac:dyDescent="0.3">
      <c r="A30" s="140" t="s">
        <v>1424</v>
      </c>
      <c r="B30" s="135" t="s">
        <v>167</v>
      </c>
      <c r="C30" s="134" t="s">
        <v>308</v>
      </c>
    </row>
    <row r="31" spans="1:3" x14ac:dyDescent="0.3">
      <c r="A31" s="134" t="s">
        <v>1416</v>
      </c>
      <c r="B31" s="135" t="s">
        <v>193</v>
      </c>
      <c r="C31" s="134" t="s">
        <v>308</v>
      </c>
    </row>
    <row r="32" spans="1:3" x14ac:dyDescent="0.3">
      <c r="A32" s="134" t="s">
        <v>1417</v>
      </c>
      <c r="B32" s="152" t="s">
        <v>193</v>
      </c>
      <c r="C32" s="134" t="s">
        <v>308</v>
      </c>
    </row>
    <row r="33" spans="1:3" x14ac:dyDescent="0.3">
      <c r="A33" s="140" t="s">
        <v>1418</v>
      </c>
      <c r="B33" s="135" t="s">
        <v>193</v>
      </c>
      <c r="C33" s="134" t="s">
        <v>308</v>
      </c>
    </row>
    <row r="34" spans="1:3" x14ac:dyDescent="0.3">
      <c r="A34" s="134" t="s">
        <v>1412</v>
      </c>
      <c r="B34" s="135" t="s">
        <v>160</v>
      </c>
      <c r="C34" s="134" t="s">
        <v>308</v>
      </c>
    </row>
    <row r="35" spans="1:3" x14ac:dyDescent="0.3">
      <c r="A35" s="134" t="s">
        <v>1414</v>
      </c>
      <c r="B35" s="135" t="s">
        <v>165</v>
      </c>
      <c r="C35" s="134" t="s">
        <v>307</v>
      </c>
    </row>
    <row r="36" spans="1:3" x14ac:dyDescent="0.3">
      <c r="A36" s="134" t="s">
        <v>1415</v>
      </c>
      <c r="B36" s="135" t="s">
        <v>165</v>
      </c>
      <c r="C36" s="134" t="s">
        <v>308</v>
      </c>
    </row>
    <row r="37" spans="1:3" x14ac:dyDescent="0.3">
      <c r="A37" s="140" t="s">
        <v>1425</v>
      </c>
      <c r="B37" s="135" t="s">
        <v>165</v>
      </c>
      <c r="C37" s="134" t="s">
        <v>308</v>
      </c>
    </row>
    <row r="38" spans="1:3" x14ac:dyDescent="0.3">
      <c r="A38" s="140" t="s">
        <v>1426</v>
      </c>
      <c r="B38" s="135" t="s">
        <v>160</v>
      </c>
      <c r="C38" s="134" t="s">
        <v>308</v>
      </c>
    </row>
    <row r="39" spans="1:3" x14ac:dyDescent="0.3">
      <c r="A39" s="140" t="s">
        <v>1413</v>
      </c>
      <c r="B39" s="135" t="s">
        <v>160</v>
      </c>
      <c r="C39" s="134" t="s">
        <v>308</v>
      </c>
    </row>
    <row r="40" spans="1:3" x14ac:dyDescent="0.3">
      <c r="A40" s="140" t="s">
        <v>1655</v>
      </c>
      <c r="B40" s="135" t="s">
        <v>192</v>
      </c>
      <c r="C40" s="134" t="s">
        <v>308</v>
      </c>
    </row>
    <row r="41" spans="1:3" x14ac:dyDescent="0.3">
      <c r="A41" s="134" t="s">
        <v>1716</v>
      </c>
      <c r="B41" s="135" t="s">
        <v>167</v>
      </c>
      <c r="C41" s="134" t="s">
        <v>308</v>
      </c>
    </row>
    <row r="42" spans="1:3" x14ac:dyDescent="0.3">
      <c r="A42" s="134" t="s">
        <v>1746</v>
      </c>
      <c r="B42" s="135" t="s">
        <v>193</v>
      </c>
      <c r="C42" s="134" t="s">
        <v>308</v>
      </c>
    </row>
    <row r="43" spans="1:3" x14ac:dyDescent="0.3">
      <c r="A43" s="134" t="s">
        <v>1821</v>
      </c>
      <c r="B43" s="135" t="s">
        <v>165</v>
      </c>
      <c r="C43" s="134" t="s">
        <v>308</v>
      </c>
    </row>
    <row r="44" spans="1:3" x14ac:dyDescent="0.3">
      <c r="A44" s="134" t="s">
        <v>1710</v>
      </c>
      <c r="B44" s="135" t="s">
        <v>160</v>
      </c>
      <c r="C44" s="134" t="s">
        <v>308</v>
      </c>
    </row>
    <row r="45" spans="1:3" x14ac:dyDescent="0.3">
      <c r="A45" s="134" t="s">
        <v>1770</v>
      </c>
      <c r="B45" s="135" t="s">
        <v>1769</v>
      </c>
      <c r="C45" s="134" t="s">
        <v>308</v>
      </c>
    </row>
    <row r="46" spans="1:3" x14ac:dyDescent="0.3">
      <c r="A46" s="140" t="s">
        <v>1633</v>
      </c>
      <c r="B46" s="135" t="s">
        <v>1632</v>
      </c>
      <c r="C46" s="134" t="s">
        <v>308</v>
      </c>
    </row>
    <row r="47" spans="1:3" x14ac:dyDescent="0.3">
      <c r="A47" s="134" t="s">
        <v>1929</v>
      </c>
      <c r="B47" s="135" t="s">
        <v>1769</v>
      </c>
      <c r="C47" s="134" t="s">
        <v>308</v>
      </c>
    </row>
    <row r="48" spans="1:3" x14ac:dyDescent="0.3">
      <c r="A48" s="134"/>
      <c r="C48" s="134"/>
    </row>
    <row r="49" spans="1:1" x14ac:dyDescent="0.3">
      <c r="A49" s="134"/>
    </row>
    <row r="50" spans="1:1" x14ac:dyDescent="0.3">
      <c r="A50" s="134"/>
    </row>
    <row r="51" spans="1:1" x14ac:dyDescent="0.3">
      <c r="A51" s="140"/>
    </row>
    <row r="52" spans="1:1" x14ac:dyDescent="0.3">
      <c r="A52" s="140"/>
    </row>
    <row r="53" spans="1:1" x14ac:dyDescent="0.3">
      <c r="A53" s="140"/>
    </row>
    <row r="54" spans="1:1" x14ac:dyDescent="0.3">
      <c r="A54" s="134"/>
    </row>
    <row r="55" spans="1:1" x14ac:dyDescent="0.3">
      <c r="A55" s="140"/>
    </row>
    <row r="56" spans="1:1" x14ac:dyDescent="0.3">
      <c r="A56" s="140"/>
    </row>
    <row r="57" spans="1:1" x14ac:dyDescent="0.3">
      <c r="A57" s="134"/>
    </row>
    <row r="58" spans="1:1" x14ac:dyDescent="0.3">
      <c r="A58" s="140"/>
    </row>
    <row r="59" spans="1:1" x14ac:dyDescent="0.3">
      <c r="A59" s="140"/>
    </row>
    <row r="60" spans="1:1" x14ac:dyDescent="0.3">
      <c r="A60" s="134"/>
    </row>
    <row r="61" spans="1:1" x14ac:dyDescent="0.3">
      <c r="A61" s="134"/>
    </row>
    <row r="62" spans="1:1" x14ac:dyDescent="0.3">
      <c r="A62" s="140"/>
    </row>
    <row r="63" spans="1:1" x14ac:dyDescent="0.3">
      <c r="A63" s="134"/>
    </row>
    <row r="64" spans="1:1" x14ac:dyDescent="0.3">
      <c r="A64" s="134"/>
    </row>
    <row r="65" spans="1:1" x14ac:dyDescent="0.3">
      <c r="A65" s="140"/>
    </row>
    <row r="66" spans="1:1" x14ac:dyDescent="0.3">
      <c r="A66" s="140"/>
    </row>
    <row r="67" spans="1:1" x14ac:dyDescent="0.3">
      <c r="A67" s="134"/>
    </row>
    <row r="68" spans="1:1" x14ac:dyDescent="0.3">
      <c r="A68" s="134"/>
    </row>
    <row r="69" spans="1:1" x14ac:dyDescent="0.3">
      <c r="A69" s="134"/>
    </row>
    <row r="70" spans="1:1" x14ac:dyDescent="0.3">
      <c r="A70" s="140"/>
    </row>
    <row r="71" spans="1:1" x14ac:dyDescent="0.3">
      <c r="A71" s="134"/>
    </row>
    <row r="72" spans="1:1" x14ac:dyDescent="0.3">
      <c r="A72" s="134"/>
    </row>
    <row r="73" spans="1:1" x14ac:dyDescent="0.3">
      <c r="A73" s="134"/>
    </row>
    <row r="74" spans="1:1" x14ac:dyDescent="0.3">
      <c r="A74" s="134"/>
    </row>
    <row r="75" spans="1:1" x14ac:dyDescent="0.3">
      <c r="A75" s="134"/>
    </row>
    <row r="76" spans="1:1" x14ac:dyDescent="0.3">
      <c r="A76" s="134"/>
    </row>
    <row r="77" spans="1:1" x14ac:dyDescent="0.3">
      <c r="A77" s="134"/>
    </row>
    <row r="78" spans="1:1" x14ac:dyDescent="0.3">
      <c r="A78" s="134"/>
    </row>
    <row r="79" spans="1:1" x14ac:dyDescent="0.3">
      <c r="A79" s="140"/>
    </row>
    <row r="80" spans="1:1" x14ac:dyDescent="0.3">
      <c r="A80" s="134"/>
    </row>
    <row r="81" spans="1:1" x14ac:dyDescent="0.3">
      <c r="A81" s="140"/>
    </row>
    <row r="82" spans="1:1" x14ac:dyDescent="0.3">
      <c r="A82" s="140"/>
    </row>
    <row r="83" spans="1:1" x14ac:dyDescent="0.3">
      <c r="A83" s="140"/>
    </row>
    <row r="84" spans="1:1" x14ac:dyDescent="0.3">
      <c r="A84" s="140"/>
    </row>
    <row r="85" spans="1:1" x14ac:dyDescent="0.3">
      <c r="A85" s="140"/>
    </row>
    <row r="86" spans="1:1" x14ac:dyDescent="0.3">
      <c r="A86" s="140"/>
    </row>
    <row r="87" spans="1:1" x14ac:dyDescent="0.3">
      <c r="A87" s="140"/>
    </row>
    <row r="88" spans="1:1" x14ac:dyDescent="0.3">
      <c r="A88" s="140"/>
    </row>
    <row r="89" spans="1:1" x14ac:dyDescent="0.3">
      <c r="A89" s="140"/>
    </row>
    <row r="90" spans="1:1" x14ac:dyDescent="0.3">
      <c r="A90" s="140"/>
    </row>
    <row r="91" spans="1:1" x14ac:dyDescent="0.3">
      <c r="A91" s="140"/>
    </row>
    <row r="92" spans="1:1" x14ac:dyDescent="0.3">
      <c r="A92" s="140"/>
    </row>
    <row r="93" spans="1:1" x14ac:dyDescent="0.3">
      <c r="A93" s="140"/>
    </row>
    <row r="94" spans="1:1" x14ac:dyDescent="0.3">
      <c r="A94" s="140"/>
    </row>
    <row r="95" spans="1:1" x14ac:dyDescent="0.3">
      <c r="A95" s="140"/>
    </row>
    <row r="96" spans="1:1" x14ac:dyDescent="0.3">
      <c r="A96" s="140"/>
    </row>
    <row r="97" spans="1:1" x14ac:dyDescent="0.3">
      <c r="A97" s="140"/>
    </row>
    <row r="98" spans="1:1" x14ac:dyDescent="0.3">
      <c r="A98" s="140"/>
    </row>
    <row r="99" spans="1:1" x14ac:dyDescent="0.3">
      <c r="A99" s="140"/>
    </row>
    <row r="100" spans="1:1" x14ac:dyDescent="0.3">
      <c r="A100" s="140"/>
    </row>
    <row r="101" spans="1:1" x14ac:dyDescent="0.3">
      <c r="A101" s="140"/>
    </row>
    <row r="102" spans="1:1" x14ac:dyDescent="0.3">
      <c r="A102" s="140"/>
    </row>
    <row r="103" spans="1:1" x14ac:dyDescent="0.3">
      <c r="A103" s="140"/>
    </row>
    <row r="104" spans="1:1" x14ac:dyDescent="0.3">
      <c r="A104" s="140"/>
    </row>
    <row r="105" spans="1:1" x14ac:dyDescent="0.3">
      <c r="A105" s="140"/>
    </row>
    <row r="106" spans="1:1" x14ac:dyDescent="0.3">
      <c r="A106" s="140"/>
    </row>
    <row r="107" spans="1:1" x14ac:dyDescent="0.3">
      <c r="A107" s="140"/>
    </row>
    <row r="108" spans="1:1" x14ac:dyDescent="0.3">
      <c r="A108" s="140"/>
    </row>
    <row r="109" spans="1:1" x14ac:dyDescent="0.3">
      <c r="A109" s="140"/>
    </row>
    <row r="110" spans="1:1" x14ac:dyDescent="0.3">
      <c r="A110" s="140"/>
    </row>
    <row r="111" spans="1:1" x14ac:dyDescent="0.3">
      <c r="A111" s="140"/>
    </row>
    <row r="112" spans="1:1" x14ac:dyDescent="0.3">
      <c r="A112" s="140"/>
    </row>
    <row r="113" spans="1:1" x14ac:dyDescent="0.3">
      <c r="A113" s="140"/>
    </row>
    <row r="114" spans="1:1" x14ac:dyDescent="0.3">
      <c r="A114" s="140"/>
    </row>
    <row r="115" spans="1:1" x14ac:dyDescent="0.3">
      <c r="A115" s="140"/>
    </row>
    <row r="116" spans="1:1" x14ac:dyDescent="0.3">
      <c r="A116" s="140"/>
    </row>
    <row r="117" spans="1:1" x14ac:dyDescent="0.3">
      <c r="A117" s="140"/>
    </row>
    <row r="118" spans="1:1" x14ac:dyDescent="0.3">
      <c r="A118" s="140"/>
    </row>
    <row r="119" spans="1:1" x14ac:dyDescent="0.3">
      <c r="A119" s="140"/>
    </row>
    <row r="120" spans="1:1" x14ac:dyDescent="0.3">
      <c r="A120" s="140"/>
    </row>
    <row r="121" spans="1:1" x14ac:dyDescent="0.3">
      <c r="A121" s="140"/>
    </row>
    <row r="122" spans="1:1" x14ac:dyDescent="0.3">
      <c r="A122" s="140"/>
    </row>
    <row r="123" spans="1:1" x14ac:dyDescent="0.3">
      <c r="A123" s="140"/>
    </row>
    <row r="124" spans="1:1" x14ac:dyDescent="0.3">
      <c r="A124" s="140"/>
    </row>
    <row r="125" spans="1:1" x14ac:dyDescent="0.3">
      <c r="A125" s="140"/>
    </row>
    <row r="126" spans="1:1" x14ac:dyDescent="0.3">
      <c r="A126" s="140"/>
    </row>
    <row r="127" spans="1:1" x14ac:dyDescent="0.3">
      <c r="A127" s="140"/>
    </row>
    <row r="128" spans="1:1" x14ac:dyDescent="0.3">
      <c r="A128" s="140"/>
    </row>
    <row r="129" spans="1:1" x14ac:dyDescent="0.3">
      <c r="A129" s="140"/>
    </row>
    <row r="130" spans="1:1" x14ac:dyDescent="0.3">
      <c r="A130" s="140"/>
    </row>
    <row r="131" spans="1:1" x14ac:dyDescent="0.3">
      <c r="A131" s="140"/>
    </row>
    <row r="132" spans="1:1" x14ac:dyDescent="0.3">
      <c r="A132" s="140"/>
    </row>
    <row r="163" spans="1:3" x14ac:dyDescent="0.3">
      <c r="A163" s="138"/>
      <c r="B163" s="138"/>
    </row>
    <row r="164" spans="1:3" x14ac:dyDescent="0.3">
      <c r="A164" s="138"/>
      <c r="B164" s="138"/>
    </row>
    <row r="165" spans="1:3" x14ac:dyDescent="0.3">
      <c r="A165" s="138"/>
      <c r="B165" s="138"/>
    </row>
    <row r="166" spans="1:3" x14ac:dyDescent="0.3">
      <c r="A166" s="138"/>
      <c r="B166" s="138"/>
    </row>
    <row r="167" spans="1:3" x14ac:dyDescent="0.3">
      <c r="A167" s="138"/>
      <c r="B167" s="138"/>
    </row>
    <row r="168" spans="1:3" x14ac:dyDescent="0.3">
      <c r="A168" s="138"/>
      <c r="B168" s="138"/>
      <c r="C168" s="141"/>
    </row>
    <row r="169" spans="1:3" x14ac:dyDescent="0.3">
      <c r="A169" s="138"/>
      <c r="B169" s="138"/>
      <c r="C169" s="141"/>
    </row>
    <row r="170" spans="1:3" x14ac:dyDescent="0.3">
      <c r="A170" s="138"/>
      <c r="B170" s="138"/>
      <c r="C170" s="141"/>
    </row>
    <row r="171" spans="1:3" x14ac:dyDescent="0.3">
      <c r="A171" s="138"/>
      <c r="B171" s="138"/>
      <c r="C171" s="141"/>
    </row>
    <row r="172" spans="1:3" x14ac:dyDescent="0.3">
      <c r="A172" s="138"/>
      <c r="B172" s="138"/>
      <c r="C172" s="141"/>
    </row>
    <row r="173" spans="1:3" x14ac:dyDescent="0.3">
      <c r="A173" s="138"/>
      <c r="B173" s="138"/>
      <c r="C173" s="141"/>
    </row>
    <row r="174" spans="1:3" s="141" customFormat="1" x14ac:dyDescent="0.3">
      <c r="A174" s="138"/>
      <c r="B174" s="138"/>
    </row>
    <row r="175" spans="1:3" s="141" customFormat="1" x14ac:dyDescent="0.3">
      <c r="A175" s="138"/>
      <c r="B175" s="138"/>
    </row>
    <row r="176" spans="1:3" s="141" customFormat="1" x14ac:dyDescent="0.3">
      <c r="A176" s="138"/>
      <c r="B176" s="138"/>
    </row>
    <row r="177" spans="1:2" s="141" customFormat="1" x14ac:dyDescent="0.3">
      <c r="A177" s="138"/>
      <c r="B177" s="138"/>
    </row>
    <row r="178" spans="1:2" s="141" customFormat="1" x14ac:dyDescent="0.3">
      <c r="A178" s="138"/>
      <c r="B178" s="138"/>
    </row>
    <row r="179" spans="1:2" s="141" customFormat="1" x14ac:dyDescent="0.3">
      <c r="A179" s="138"/>
      <c r="B179" s="138"/>
    </row>
    <row r="180" spans="1:2" s="141" customFormat="1" x14ac:dyDescent="0.3">
      <c r="A180" s="138"/>
      <c r="B180" s="138"/>
    </row>
    <row r="181" spans="1:2" s="141" customFormat="1" x14ac:dyDescent="0.3">
      <c r="A181" s="138"/>
      <c r="B181" s="138"/>
    </row>
    <row r="182" spans="1:2" s="141" customFormat="1" x14ac:dyDescent="0.3">
      <c r="A182" s="138"/>
      <c r="B182" s="138"/>
    </row>
    <row r="183" spans="1:2" s="141" customFormat="1" x14ac:dyDescent="0.3">
      <c r="A183" s="138"/>
      <c r="B183" s="138"/>
    </row>
    <row r="184" spans="1:2" s="141" customFormat="1" x14ac:dyDescent="0.3">
      <c r="A184" s="138"/>
      <c r="B184" s="138"/>
    </row>
    <row r="185" spans="1:2" s="141" customFormat="1" x14ac:dyDescent="0.3">
      <c r="A185" s="138"/>
      <c r="B185" s="138"/>
    </row>
    <row r="186" spans="1:2" s="141" customFormat="1" x14ac:dyDescent="0.3">
      <c r="A186" s="138"/>
      <c r="B186" s="138"/>
    </row>
    <row r="187" spans="1:2" s="141" customFormat="1" x14ac:dyDescent="0.3">
      <c r="A187" s="138"/>
      <c r="B187" s="138"/>
    </row>
    <row r="188" spans="1:2" s="141" customFormat="1" x14ac:dyDescent="0.3">
      <c r="A188" s="138"/>
      <c r="B188" s="138"/>
    </row>
    <row r="189" spans="1:2" s="141" customFormat="1" x14ac:dyDescent="0.3">
      <c r="A189" s="138"/>
      <c r="B189" s="138"/>
    </row>
    <row r="190" spans="1:2" s="141" customFormat="1" x14ac:dyDescent="0.3">
      <c r="A190" s="135"/>
      <c r="B190" s="135"/>
    </row>
    <row r="191" spans="1:2" s="141" customFormat="1" x14ac:dyDescent="0.3">
      <c r="A191" s="135"/>
      <c r="B191" s="135"/>
    </row>
    <row r="192" spans="1:2" s="141" customFormat="1" x14ac:dyDescent="0.3">
      <c r="A192" s="135"/>
      <c r="B192" s="135"/>
    </row>
    <row r="193" spans="1:3" s="141" customFormat="1" x14ac:dyDescent="0.3">
      <c r="A193" s="135"/>
      <c r="B193" s="135"/>
    </row>
    <row r="194" spans="1:3" s="141" customFormat="1" x14ac:dyDescent="0.3">
      <c r="A194" s="135"/>
      <c r="B194" s="135"/>
    </row>
    <row r="195" spans="1:3" s="141" customFormat="1" x14ac:dyDescent="0.3">
      <c r="A195" s="135"/>
      <c r="B195" s="135"/>
      <c r="C195" s="139"/>
    </row>
    <row r="196" spans="1:3" s="141" customFormat="1" x14ac:dyDescent="0.3">
      <c r="A196" s="135"/>
      <c r="B196" s="135"/>
      <c r="C196" s="139"/>
    </row>
    <row r="197" spans="1:3" s="141" customFormat="1" x14ac:dyDescent="0.3">
      <c r="A197" s="135"/>
      <c r="B197" s="135"/>
      <c r="C197" s="139"/>
    </row>
    <row r="198" spans="1:3" s="141" customFormat="1" x14ac:dyDescent="0.3">
      <c r="A198" s="135"/>
      <c r="B198" s="135"/>
      <c r="C198" s="139"/>
    </row>
    <row r="199" spans="1:3" s="141" customFormat="1" x14ac:dyDescent="0.3">
      <c r="A199" s="135"/>
      <c r="B199" s="135"/>
      <c r="C199" s="139"/>
    </row>
    <row r="200" spans="1:3" s="141" customFormat="1" x14ac:dyDescent="0.3">
      <c r="A200" s="135"/>
      <c r="B200" s="135"/>
      <c r="C200" s="139"/>
    </row>
  </sheetData>
  <mergeCells count="1">
    <mergeCell ref="A1:C1"/>
  </mergeCell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aramétrage">
    <tabColor theme="9" tint="0.39997558519241921"/>
  </sheetPr>
  <dimension ref="A1:AO3421"/>
  <sheetViews>
    <sheetView showGridLines="0" topLeftCell="P1" workbookViewId="0">
      <selection activeCell="A29" sqref="A29:A35"/>
    </sheetView>
  </sheetViews>
  <sheetFormatPr baseColWidth="10" defaultColWidth="11.44140625" defaultRowHeight="13.2" x14ac:dyDescent="0.3"/>
  <cols>
    <col min="1" max="1" width="41.77734375" style="84" customWidth="1"/>
    <col min="2" max="2" width="4.21875" style="84" customWidth="1"/>
    <col min="3" max="3" width="26.5546875" style="84" customWidth="1"/>
    <col min="4" max="4" width="4.21875" style="84" customWidth="1"/>
    <col min="5" max="5" width="11.44140625" style="84"/>
    <col min="6" max="6" width="3.44140625" style="84" customWidth="1"/>
    <col min="7" max="7" width="14.44140625" style="81" customWidth="1"/>
    <col min="8" max="8" width="3.77734375" style="81" customWidth="1"/>
    <col min="9" max="10" width="22.44140625" style="81" customWidth="1"/>
    <col min="11" max="11" width="3.44140625" style="84" customWidth="1"/>
    <col min="12" max="12" width="11.21875" style="81" bestFit="1" customWidth="1"/>
    <col min="13" max="13" width="5.44140625" style="81" customWidth="1"/>
    <col min="14" max="14" width="11.44140625" style="81"/>
    <col min="15" max="15" width="2.5546875" style="81" customWidth="1"/>
    <col min="16" max="16" width="4.44140625" style="81" customWidth="1"/>
    <col min="17" max="17" width="21.6640625" style="81" customWidth="1"/>
    <col min="18" max="18" width="4.77734375" style="81" customWidth="1"/>
    <col min="19" max="19" width="4" style="81" customWidth="1"/>
    <col min="20" max="20" width="15.77734375" style="81" customWidth="1"/>
    <col min="21" max="21" width="2.77734375" style="81" customWidth="1"/>
    <col min="22" max="22" width="5.21875" style="81" customWidth="1"/>
    <col min="23" max="23" width="15.5546875" style="81" bestFit="1" customWidth="1"/>
    <col min="24" max="24" width="3.77734375" style="81" customWidth="1"/>
    <col min="25" max="25" width="16.44140625" style="84" customWidth="1"/>
    <col min="26" max="26" width="3.5546875" style="81" customWidth="1"/>
    <col min="27" max="27" width="11.44140625" style="81"/>
    <col min="28" max="28" width="2.77734375" style="81" customWidth="1"/>
    <col min="29" max="29" width="38.5546875" style="84" customWidth="1"/>
    <col min="30" max="30" width="3.21875" style="84" customWidth="1"/>
    <col min="31" max="31" width="15.5546875" style="84" customWidth="1"/>
    <col min="32" max="32" width="19.21875" style="84" customWidth="1"/>
    <col min="33" max="33" width="3.5546875" style="84" customWidth="1"/>
    <col min="34" max="34" width="14.21875" style="84" customWidth="1"/>
    <col min="35" max="35" width="27.77734375" style="84" customWidth="1"/>
    <col min="36" max="36" width="3.5546875" style="84" customWidth="1"/>
    <col min="37" max="38" width="11.44140625" style="84"/>
    <col min="39" max="40" width="13.44140625" style="84" customWidth="1"/>
    <col min="41" max="41" width="36.77734375" style="84" customWidth="1"/>
    <col min="42" max="42" width="7" style="84" customWidth="1"/>
    <col min="43" max="43" width="19.21875" style="84" customWidth="1"/>
    <col min="44" max="16384" width="11.44140625" style="84"/>
  </cols>
  <sheetData>
    <row r="1" spans="1:41" s="81" customFormat="1" x14ac:dyDescent="0.3"/>
    <row r="2" spans="1:41" s="81" customFormat="1" x14ac:dyDescent="0.3"/>
    <row r="3" spans="1:41" s="81" customFormat="1" x14ac:dyDescent="0.3"/>
    <row r="4" spans="1:41" s="81" customFormat="1" x14ac:dyDescent="0.3"/>
    <row r="5" spans="1:41" s="81" customFormat="1" x14ac:dyDescent="0.3">
      <c r="A5" s="82" t="s">
        <v>1400</v>
      </c>
      <c r="C5" s="82" t="s">
        <v>4567</v>
      </c>
      <c r="E5" s="82" t="s">
        <v>1399</v>
      </c>
      <c r="G5" s="82" t="s">
        <v>196</v>
      </c>
      <c r="I5" s="82" t="s">
        <v>162</v>
      </c>
      <c r="J5" s="82" t="s">
        <v>4570</v>
      </c>
      <c r="L5" s="82" t="s">
        <v>195</v>
      </c>
      <c r="N5" s="82" t="s">
        <v>0</v>
      </c>
      <c r="Q5" s="82" t="s">
        <v>203</v>
      </c>
      <c r="T5" s="83" t="s">
        <v>222</v>
      </c>
      <c r="W5" s="83" t="s">
        <v>257</v>
      </c>
      <c r="Y5" s="83" t="s">
        <v>412</v>
      </c>
      <c r="AA5" s="83" t="s">
        <v>399</v>
      </c>
      <c r="AC5" s="83" t="s">
        <v>589</v>
      </c>
      <c r="AE5" s="83" t="s">
        <v>590</v>
      </c>
      <c r="AF5" s="83" t="s">
        <v>528</v>
      </c>
      <c r="AG5" s="86"/>
      <c r="AH5" s="83" t="s">
        <v>590</v>
      </c>
      <c r="AI5" s="83" t="s">
        <v>522</v>
      </c>
      <c r="AK5" s="313" t="s">
        <v>595</v>
      </c>
      <c r="AL5" s="313"/>
      <c r="AM5" s="313"/>
      <c r="AN5" s="313"/>
      <c r="AO5" s="313"/>
    </row>
    <row r="6" spans="1:41" x14ac:dyDescent="0.3">
      <c r="A6" s="81" t="s">
        <v>2634</v>
      </c>
      <c r="C6" s="84" t="s">
        <v>4568</v>
      </c>
      <c r="E6" s="81" t="s">
        <v>1401</v>
      </c>
      <c r="G6" s="81" t="s">
        <v>197</v>
      </c>
      <c r="I6" s="81" t="s">
        <v>33</v>
      </c>
      <c r="J6" s="81" t="s">
        <v>200</v>
      </c>
      <c r="L6" s="81" t="s">
        <v>259</v>
      </c>
      <c r="N6" s="81" t="s">
        <v>259</v>
      </c>
      <c r="Q6" s="81" t="s">
        <v>292</v>
      </c>
      <c r="T6" s="81" t="s">
        <v>223</v>
      </c>
      <c r="W6" s="85">
        <v>36892</v>
      </c>
      <c r="Y6" s="84" t="s">
        <v>419</v>
      </c>
      <c r="AA6" s="81" t="s">
        <v>307</v>
      </c>
      <c r="AC6" s="84" t="s">
        <v>414</v>
      </c>
      <c r="AE6" s="84" t="s">
        <v>413</v>
      </c>
      <c r="AF6" s="86" t="s">
        <v>229</v>
      </c>
      <c r="AG6" s="86"/>
      <c r="AH6" s="84" t="s">
        <v>413</v>
      </c>
      <c r="AI6" s="91" t="s">
        <v>596</v>
      </c>
      <c r="AK6" s="87" t="s">
        <v>604</v>
      </c>
      <c r="AL6" s="87" t="s">
        <v>602</v>
      </c>
      <c r="AM6" s="87" t="s">
        <v>593</v>
      </c>
      <c r="AN6" s="87" t="s">
        <v>594</v>
      </c>
      <c r="AO6" s="87"/>
    </row>
    <row r="7" spans="1:41" x14ac:dyDescent="0.3">
      <c r="A7" s="81" t="s">
        <v>2635</v>
      </c>
      <c r="C7" s="84" t="s">
        <v>4569</v>
      </c>
      <c r="E7" s="81"/>
      <c r="G7" s="81" t="s">
        <v>225</v>
      </c>
      <c r="I7" s="81" t="s">
        <v>230</v>
      </c>
      <c r="J7" s="81" t="s">
        <v>200</v>
      </c>
      <c r="L7" s="81" t="s">
        <v>1888</v>
      </c>
      <c r="N7" s="81" t="s">
        <v>163</v>
      </c>
      <c r="Q7" s="81" t="s">
        <v>202</v>
      </c>
      <c r="T7" s="81" t="s">
        <v>220</v>
      </c>
      <c r="W7" s="85">
        <v>36906</v>
      </c>
      <c r="Y7" s="84" t="s">
        <v>420</v>
      </c>
      <c r="AA7" s="81" t="s">
        <v>308</v>
      </c>
      <c r="AC7" s="84" t="s">
        <v>413</v>
      </c>
      <c r="AE7" s="84" t="s">
        <v>521</v>
      </c>
      <c r="AF7" s="86" t="s">
        <v>229</v>
      </c>
      <c r="AG7" s="86"/>
      <c r="AH7" s="84" t="s">
        <v>520</v>
      </c>
      <c r="AI7" s="91" t="s">
        <v>596</v>
      </c>
      <c r="AK7" s="84" t="s">
        <v>520</v>
      </c>
      <c r="AL7" s="84" t="s">
        <v>520</v>
      </c>
      <c r="AM7" s="84" t="s">
        <v>472</v>
      </c>
      <c r="AN7" s="84" t="s">
        <v>450</v>
      </c>
    </row>
    <row r="8" spans="1:41" x14ac:dyDescent="0.3">
      <c r="A8" s="81" t="s">
        <v>2636</v>
      </c>
      <c r="E8" s="81"/>
      <c r="G8" s="81" t="s">
        <v>1</v>
      </c>
      <c r="I8" s="81" t="s">
        <v>298</v>
      </c>
      <c r="J8" s="81" t="s">
        <v>200</v>
      </c>
      <c r="L8" s="81" t="s">
        <v>1889</v>
      </c>
      <c r="N8" s="81" t="s">
        <v>164</v>
      </c>
      <c r="Q8" s="81" t="s">
        <v>525</v>
      </c>
      <c r="T8" s="81" t="s">
        <v>221</v>
      </c>
      <c r="W8" s="85">
        <v>36941</v>
      </c>
      <c r="Y8" s="84" t="s">
        <v>421</v>
      </c>
      <c r="AC8" s="84" t="s">
        <v>410</v>
      </c>
      <c r="AE8" s="84" t="s">
        <v>520</v>
      </c>
      <c r="AF8" s="86" t="s">
        <v>229</v>
      </c>
      <c r="AG8" s="86"/>
      <c r="AH8" s="84" t="s">
        <v>521</v>
      </c>
      <c r="AI8" s="91" t="s">
        <v>596</v>
      </c>
      <c r="AK8" s="84" t="s">
        <v>521</v>
      </c>
      <c r="AL8" s="84" t="s">
        <v>519</v>
      </c>
      <c r="AM8" s="84" t="s">
        <v>592</v>
      </c>
    </row>
    <row r="9" spans="1:41" x14ac:dyDescent="0.3">
      <c r="A9" s="81" t="s">
        <v>4540</v>
      </c>
      <c r="E9" s="81"/>
      <c r="G9" s="81" t="s">
        <v>300</v>
      </c>
      <c r="I9" s="81" t="s">
        <v>1823</v>
      </c>
      <c r="J9" s="81" t="s">
        <v>200</v>
      </c>
      <c r="L9" s="81" t="s">
        <v>1890</v>
      </c>
      <c r="N9" s="81" t="s">
        <v>166</v>
      </c>
      <c r="Q9" s="81" t="s">
        <v>294</v>
      </c>
      <c r="T9" s="81" t="s">
        <v>224</v>
      </c>
      <c r="W9" s="85">
        <v>37039</v>
      </c>
      <c r="Y9" s="84" t="s">
        <v>422</v>
      </c>
      <c r="AC9" s="84" t="s">
        <v>520</v>
      </c>
      <c r="AE9" s="84" t="s">
        <v>519</v>
      </c>
      <c r="AF9" s="86" t="s">
        <v>229</v>
      </c>
      <c r="AG9" s="86"/>
      <c r="AH9" s="84" t="s">
        <v>520</v>
      </c>
      <c r="AI9" s="91" t="s">
        <v>596</v>
      </c>
      <c r="AK9" s="84" t="s">
        <v>417</v>
      </c>
      <c r="AM9" s="84" t="s">
        <v>410</v>
      </c>
    </row>
    <row r="10" spans="1:41" x14ac:dyDescent="0.3">
      <c r="A10" s="81" t="s">
        <v>4541</v>
      </c>
      <c r="E10" s="81"/>
      <c r="G10" s="81" t="s">
        <v>258</v>
      </c>
      <c r="I10" s="132" t="s">
        <v>191</v>
      </c>
      <c r="J10" s="81" t="s">
        <v>200</v>
      </c>
      <c r="L10" s="81" t="s">
        <v>1891</v>
      </c>
      <c r="N10" s="81" t="s">
        <v>161</v>
      </c>
      <c r="W10" s="85">
        <v>37076</v>
      </c>
      <c r="Y10" s="84" t="s">
        <v>423</v>
      </c>
      <c r="AC10" s="84" t="s">
        <v>519</v>
      </c>
      <c r="AE10" s="84" t="s">
        <v>591</v>
      </c>
      <c r="AF10" s="86" t="s">
        <v>229</v>
      </c>
      <c r="AG10" s="86"/>
      <c r="AH10" s="84" t="s">
        <v>519</v>
      </c>
      <c r="AI10" s="91" t="s">
        <v>596</v>
      </c>
      <c r="AM10" s="84" t="s">
        <v>415</v>
      </c>
    </row>
    <row r="11" spans="1:41" x14ac:dyDescent="0.3">
      <c r="A11" s="84" t="s">
        <v>2637</v>
      </c>
      <c r="I11" s="81" t="s">
        <v>404</v>
      </c>
      <c r="J11" s="81" t="s">
        <v>633</v>
      </c>
      <c r="L11" s="81" t="s">
        <v>1892</v>
      </c>
      <c r="N11" s="81" t="s">
        <v>168</v>
      </c>
      <c r="W11" s="85">
        <v>37137</v>
      </c>
      <c r="Y11" s="84" t="s">
        <v>424</v>
      </c>
      <c r="AC11" s="84" t="s">
        <v>4564</v>
      </c>
      <c r="AE11" s="84" t="s">
        <v>416</v>
      </c>
      <c r="AF11" s="86" t="s">
        <v>229</v>
      </c>
      <c r="AG11" s="86"/>
      <c r="AH11" s="84" t="s">
        <v>591</v>
      </c>
      <c r="AI11" s="91" t="s">
        <v>4563</v>
      </c>
    </row>
    <row r="12" spans="1:41" x14ac:dyDescent="0.3">
      <c r="A12" s="84" t="s">
        <v>2638</v>
      </c>
      <c r="I12" s="81" t="s">
        <v>405</v>
      </c>
      <c r="J12" s="81" t="s">
        <v>633</v>
      </c>
      <c r="L12" s="81" t="s">
        <v>1893</v>
      </c>
      <c r="N12" s="81" t="s">
        <v>169</v>
      </c>
      <c r="T12" s="83" t="s">
        <v>4572</v>
      </c>
      <c r="W12" s="85">
        <v>37172</v>
      </c>
      <c r="Y12" s="84" t="s">
        <v>425</v>
      </c>
      <c r="AE12" s="84" t="s">
        <v>417</v>
      </c>
      <c r="AF12" s="86" t="s">
        <v>229</v>
      </c>
      <c r="AG12" s="86"/>
      <c r="AH12" s="84" t="s">
        <v>410</v>
      </c>
      <c r="AI12" s="91" t="s">
        <v>1247</v>
      </c>
    </row>
    <row r="13" spans="1:41" x14ac:dyDescent="0.3">
      <c r="A13" s="84" t="s">
        <v>2639</v>
      </c>
      <c r="I13" s="81" t="s">
        <v>635</v>
      </c>
      <c r="J13" s="81" t="s">
        <v>633</v>
      </c>
      <c r="L13" s="81" t="s">
        <v>1894</v>
      </c>
      <c r="N13" s="81" t="s">
        <v>170</v>
      </c>
      <c r="Q13" s="82" t="s">
        <v>302</v>
      </c>
      <c r="T13" s="81" t="s">
        <v>292</v>
      </c>
      <c r="W13" s="85">
        <v>37206</v>
      </c>
      <c r="Y13" s="84" t="s">
        <v>426</v>
      </c>
      <c r="AE13" s="84" t="s">
        <v>415</v>
      </c>
      <c r="AF13" s="86" t="s">
        <v>229</v>
      </c>
      <c r="AG13" s="86"/>
      <c r="AH13" s="84" t="s">
        <v>414</v>
      </c>
      <c r="AI13" s="91" t="s">
        <v>596</v>
      </c>
    </row>
    <row r="14" spans="1:41" x14ac:dyDescent="0.3">
      <c r="A14" s="84" t="s">
        <v>2640</v>
      </c>
      <c r="I14" s="81" t="s">
        <v>198</v>
      </c>
      <c r="J14" s="81" t="s">
        <v>633</v>
      </c>
      <c r="L14" s="81" t="s">
        <v>1895</v>
      </c>
      <c r="N14" s="81" t="s">
        <v>171</v>
      </c>
      <c r="Q14" s="81" t="s">
        <v>260</v>
      </c>
      <c r="T14" s="81" t="s">
        <v>288</v>
      </c>
      <c r="W14" s="85">
        <v>37207</v>
      </c>
      <c r="Y14" s="84" t="s">
        <v>427</v>
      </c>
      <c r="AH14" s="84" t="s">
        <v>4564</v>
      </c>
      <c r="AI14" s="91" t="s">
        <v>596</v>
      </c>
    </row>
    <row r="15" spans="1:41" x14ac:dyDescent="0.3">
      <c r="A15" s="84" t="s">
        <v>2641</v>
      </c>
      <c r="I15" s="81" t="s">
        <v>636</v>
      </c>
      <c r="J15" s="81" t="s">
        <v>633</v>
      </c>
      <c r="L15" s="81" t="s">
        <v>1896</v>
      </c>
      <c r="N15" s="81" t="s">
        <v>172</v>
      </c>
      <c r="Q15" s="81" t="s">
        <v>299</v>
      </c>
      <c r="T15" s="81" t="s">
        <v>194</v>
      </c>
      <c r="W15" s="85">
        <v>37217</v>
      </c>
      <c r="Y15" s="84" t="s">
        <v>428</v>
      </c>
      <c r="AH15" s="84" t="s">
        <v>4565</v>
      </c>
      <c r="AI15" s="91" t="s">
        <v>4563</v>
      </c>
    </row>
    <row r="16" spans="1:41" x14ac:dyDescent="0.3">
      <c r="A16" s="84" t="s">
        <v>2642</v>
      </c>
      <c r="I16" s="81" t="s">
        <v>1242</v>
      </c>
      <c r="J16" s="81" t="s">
        <v>200</v>
      </c>
      <c r="L16" s="81" t="s">
        <v>1897</v>
      </c>
      <c r="N16" s="81" t="s">
        <v>173</v>
      </c>
      <c r="Q16" s="81" t="s">
        <v>261</v>
      </c>
      <c r="W16" s="85">
        <v>37250</v>
      </c>
      <c r="Y16" s="84" t="s">
        <v>429</v>
      </c>
    </row>
    <row r="17" spans="1:25" x14ac:dyDescent="0.3">
      <c r="A17" s="84" t="s">
        <v>2643</v>
      </c>
      <c r="I17" s="81" t="s">
        <v>32</v>
      </c>
      <c r="J17" s="81" t="s">
        <v>200</v>
      </c>
      <c r="L17" s="81" t="s">
        <v>1898</v>
      </c>
      <c r="N17" s="81" t="s">
        <v>174</v>
      </c>
      <c r="W17" s="85">
        <v>37257</v>
      </c>
      <c r="Y17" s="84" t="s">
        <v>430</v>
      </c>
    </row>
    <row r="18" spans="1:25" x14ac:dyDescent="0.3">
      <c r="A18" s="84" t="s">
        <v>2644</v>
      </c>
      <c r="I18" s="81" t="s">
        <v>199</v>
      </c>
      <c r="J18" s="81" t="s">
        <v>200</v>
      </c>
      <c r="L18" s="81" t="s">
        <v>1899</v>
      </c>
      <c r="N18" s="81" t="s">
        <v>175</v>
      </c>
      <c r="Q18" s="82" t="s">
        <v>287</v>
      </c>
      <c r="W18" s="85">
        <v>37277</v>
      </c>
      <c r="Y18" s="84" t="s">
        <v>431</v>
      </c>
    </row>
    <row r="19" spans="1:25" x14ac:dyDescent="0.3">
      <c r="A19" s="84" t="s">
        <v>2645</v>
      </c>
      <c r="I19" s="81" t="s">
        <v>228</v>
      </c>
      <c r="J19" s="81" t="s">
        <v>200</v>
      </c>
      <c r="L19" s="81" t="s">
        <v>1900</v>
      </c>
      <c r="N19" s="81" t="s">
        <v>176</v>
      </c>
      <c r="Q19" s="81" t="s">
        <v>288</v>
      </c>
      <c r="W19" s="85">
        <v>37305</v>
      </c>
      <c r="Y19" s="84" t="s">
        <v>432</v>
      </c>
    </row>
    <row r="20" spans="1:25" x14ac:dyDescent="0.3">
      <c r="A20" s="84" t="s">
        <v>2646</v>
      </c>
      <c r="I20" s="81" t="s">
        <v>1243</v>
      </c>
      <c r="J20" s="81" t="s">
        <v>633</v>
      </c>
      <c r="L20" s="81" t="s">
        <v>1901</v>
      </c>
      <c r="N20" s="81" t="s">
        <v>177</v>
      </c>
      <c r="Q20" s="81" t="s">
        <v>293</v>
      </c>
      <c r="W20" s="85">
        <v>37403</v>
      </c>
      <c r="Y20" s="84" t="s">
        <v>433</v>
      </c>
    </row>
    <row r="21" spans="1:25" x14ac:dyDescent="0.3">
      <c r="A21" s="84" t="s">
        <v>2647</v>
      </c>
      <c r="I21" s="81" t="s">
        <v>1630</v>
      </c>
      <c r="J21" s="81" t="s">
        <v>200</v>
      </c>
      <c r="L21" s="81" t="s">
        <v>1902</v>
      </c>
      <c r="N21" s="81" t="s">
        <v>178</v>
      </c>
      <c r="Q21" s="81" t="s">
        <v>289</v>
      </c>
      <c r="W21" s="85">
        <v>37441</v>
      </c>
      <c r="Y21" s="84" t="s">
        <v>415</v>
      </c>
    </row>
    <row r="22" spans="1:25" x14ac:dyDescent="0.3">
      <c r="A22" s="84" t="s">
        <v>2648</v>
      </c>
      <c r="I22" s="81" t="s">
        <v>1633</v>
      </c>
      <c r="J22" s="81" t="s">
        <v>200</v>
      </c>
      <c r="L22" s="81" t="s">
        <v>1903</v>
      </c>
      <c r="N22" s="81" t="s">
        <v>179</v>
      </c>
      <c r="Q22" s="81" t="s">
        <v>290</v>
      </c>
      <c r="W22" s="85">
        <v>37501</v>
      </c>
      <c r="Y22" s="84" t="s">
        <v>434</v>
      </c>
    </row>
    <row r="23" spans="1:25" x14ac:dyDescent="0.3">
      <c r="A23" s="84" t="s">
        <v>2649</v>
      </c>
      <c r="I23" s="81" t="s">
        <v>1643</v>
      </c>
      <c r="J23" s="81" t="s">
        <v>200</v>
      </c>
      <c r="L23" s="81" t="s">
        <v>305</v>
      </c>
      <c r="N23" s="81" t="s">
        <v>180</v>
      </c>
      <c r="W23" s="85">
        <v>37543</v>
      </c>
      <c r="Y23" s="84" t="s">
        <v>435</v>
      </c>
    </row>
    <row r="24" spans="1:25" x14ac:dyDescent="0.3">
      <c r="A24" s="84" t="s">
        <v>2650</v>
      </c>
      <c r="I24" s="81" t="s">
        <v>1646</v>
      </c>
      <c r="J24" s="81" t="s">
        <v>200</v>
      </c>
      <c r="L24" s="81" t="s">
        <v>1904</v>
      </c>
      <c r="N24" s="81" t="s">
        <v>181</v>
      </c>
      <c r="Q24" s="82" t="s">
        <v>291</v>
      </c>
      <c r="W24" s="85">
        <v>37571</v>
      </c>
      <c r="Y24" s="84" t="s">
        <v>436</v>
      </c>
    </row>
    <row r="25" spans="1:25" x14ac:dyDescent="0.3">
      <c r="A25" s="84" t="s">
        <v>2651</v>
      </c>
      <c r="I25" s="81" t="s">
        <v>1651</v>
      </c>
      <c r="J25" s="81" t="s">
        <v>200</v>
      </c>
      <c r="L25" s="81" t="s">
        <v>1905</v>
      </c>
      <c r="N25" s="81" t="s">
        <v>182</v>
      </c>
      <c r="Q25" s="81" t="s">
        <v>292</v>
      </c>
      <c r="W25" s="85">
        <v>37588</v>
      </c>
      <c r="Y25" s="84" t="s">
        <v>437</v>
      </c>
    </row>
    <row r="26" spans="1:25" x14ac:dyDescent="0.3">
      <c r="A26" s="84" t="s">
        <v>2652</v>
      </c>
      <c r="I26" s="81" t="s">
        <v>1655</v>
      </c>
      <c r="J26" s="81" t="s">
        <v>200</v>
      </c>
      <c r="L26" s="81" t="s">
        <v>1906</v>
      </c>
      <c r="N26" s="81" t="s">
        <v>183</v>
      </c>
      <c r="Q26" s="81" t="s">
        <v>294</v>
      </c>
      <c r="W26" s="85">
        <v>37615</v>
      </c>
      <c r="Y26" s="84" t="s">
        <v>438</v>
      </c>
    </row>
    <row r="27" spans="1:25" x14ac:dyDescent="0.3">
      <c r="A27" s="84" t="s">
        <v>2643</v>
      </c>
      <c r="I27" s="81" t="s">
        <v>1658</v>
      </c>
      <c r="J27" s="81" t="s">
        <v>200</v>
      </c>
      <c r="L27" s="81" t="s">
        <v>1907</v>
      </c>
      <c r="N27" s="81" t="s">
        <v>184</v>
      </c>
      <c r="Q27" s="81" t="s">
        <v>290</v>
      </c>
      <c r="W27" s="85">
        <v>37622</v>
      </c>
      <c r="Y27" s="84" t="s">
        <v>439</v>
      </c>
    </row>
    <row r="28" spans="1:25" x14ac:dyDescent="0.3">
      <c r="A28" s="84" t="s">
        <v>2644</v>
      </c>
      <c r="I28" s="81" t="s">
        <v>1661</v>
      </c>
      <c r="J28" s="81" t="s">
        <v>200</v>
      </c>
      <c r="L28" s="81" t="s">
        <v>1908</v>
      </c>
      <c r="N28" s="81" t="s">
        <v>185</v>
      </c>
      <c r="W28" s="85">
        <v>37641</v>
      </c>
      <c r="Y28" s="84" t="s">
        <v>440</v>
      </c>
    </row>
    <row r="29" spans="1:25" x14ac:dyDescent="0.3">
      <c r="A29" s="84" t="s">
        <v>6668</v>
      </c>
      <c r="I29" s="81" t="s">
        <v>1664</v>
      </c>
      <c r="J29" s="81" t="s">
        <v>200</v>
      </c>
      <c r="L29" s="81" t="s">
        <v>1909</v>
      </c>
      <c r="N29" s="81" t="s">
        <v>186</v>
      </c>
      <c r="Q29" s="82" t="s">
        <v>303</v>
      </c>
      <c r="W29" s="85">
        <v>37669</v>
      </c>
      <c r="Y29" s="84" t="s">
        <v>441</v>
      </c>
    </row>
    <row r="30" spans="1:25" x14ac:dyDescent="0.3">
      <c r="A30" s="84" t="s">
        <v>6669</v>
      </c>
      <c r="I30" s="81" t="s">
        <v>1668</v>
      </c>
      <c r="J30" s="81" t="s">
        <v>200</v>
      </c>
      <c r="L30" s="81" t="s">
        <v>1910</v>
      </c>
      <c r="N30" s="81" t="s">
        <v>187</v>
      </c>
      <c r="Q30" s="81" t="s">
        <v>260</v>
      </c>
      <c r="W30" s="85">
        <v>37767</v>
      </c>
      <c r="Y30" s="84" t="s">
        <v>410</v>
      </c>
    </row>
    <row r="31" spans="1:25" x14ac:dyDescent="0.3">
      <c r="A31" s="84" t="s">
        <v>202</v>
      </c>
      <c r="I31" s="81" t="s">
        <v>1673</v>
      </c>
      <c r="J31" s="81" t="s">
        <v>200</v>
      </c>
      <c r="L31" s="81" t="s">
        <v>1911</v>
      </c>
      <c r="N31" s="81" t="s">
        <v>188</v>
      </c>
      <c r="W31" s="85">
        <v>37806</v>
      </c>
      <c r="Y31" s="84" t="s">
        <v>442</v>
      </c>
    </row>
    <row r="32" spans="1:25" x14ac:dyDescent="0.3">
      <c r="A32" s="84" t="s">
        <v>201</v>
      </c>
      <c r="I32" s="81" t="s">
        <v>1678</v>
      </c>
      <c r="J32" s="81" t="s">
        <v>200</v>
      </c>
      <c r="L32" s="81" t="s">
        <v>1912</v>
      </c>
      <c r="N32" s="81" t="s">
        <v>189</v>
      </c>
      <c r="W32" s="85">
        <v>37865</v>
      </c>
      <c r="Y32" s="84" t="s">
        <v>443</v>
      </c>
    </row>
    <row r="33" spans="1:25" x14ac:dyDescent="0.3">
      <c r="A33" s="84" t="s">
        <v>6670</v>
      </c>
      <c r="I33" s="81" t="s">
        <v>2</v>
      </c>
      <c r="J33" s="81" t="s">
        <v>200</v>
      </c>
      <c r="L33" s="81" t="s">
        <v>1913</v>
      </c>
      <c r="N33" s="81" t="s">
        <v>190</v>
      </c>
      <c r="W33" s="85">
        <v>37907</v>
      </c>
      <c r="Y33" s="84" t="s">
        <v>444</v>
      </c>
    </row>
    <row r="34" spans="1:25" x14ac:dyDescent="0.3">
      <c r="A34" s="84" t="s">
        <v>6671</v>
      </c>
      <c r="I34" s="81" t="s">
        <v>30</v>
      </c>
      <c r="J34" s="81" t="s">
        <v>200</v>
      </c>
      <c r="L34" s="81" t="s">
        <v>1629</v>
      </c>
      <c r="W34" s="85">
        <v>37936</v>
      </c>
      <c r="Y34" s="84" t="s">
        <v>445</v>
      </c>
    </row>
    <row r="35" spans="1:25" x14ac:dyDescent="0.3">
      <c r="A35" s="84" t="s">
        <v>6672</v>
      </c>
      <c r="I35" s="81" t="s">
        <v>1688</v>
      </c>
      <c r="J35" s="81" t="s">
        <v>200</v>
      </c>
      <c r="L35" s="81" t="s">
        <v>1632</v>
      </c>
      <c r="W35" s="85">
        <v>37952</v>
      </c>
      <c r="Y35" s="84" t="s">
        <v>446</v>
      </c>
    </row>
    <row r="36" spans="1:25" x14ac:dyDescent="0.3">
      <c r="I36" s="81" t="s">
        <v>1690</v>
      </c>
      <c r="J36" s="81" t="s">
        <v>200</v>
      </c>
      <c r="L36" s="81" t="s">
        <v>1642</v>
      </c>
      <c r="W36" s="85">
        <v>37980</v>
      </c>
      <c r="Y36" s="84" t="s">
        <v>447</v>
      </c>
    </row>
    <row r="37" spans="1:25" x14ac:dyDescent="0.3">
      <c r="I37" s="81" t="s">
        <v>1691</v>
      </c>
      <c r="J37" s="81" t="s">
        <v>200</v>
      </c>
      <c r="L37" s="81" t="s">
        <v>1645</v>
      </c>
      <c r="W37" s="85">
        <v>37987</v>
      </c>
      <c r="Y37" s="84" t="s">
        <v>448</v>
      </c>
    </row>
    <row r="38" spans="1:25" x14ac:dyDescent="0.3">
      <c r="I38" s="81" t="s">
        <v>1693</v>
      </c>
      <c r="J38" s="81" t="s">
        <v>200</v>
      </c>
      <c r="L38" s="81" t="s">
        <v>192</v>
      </c>
      <c r="W38" s="85">
        <v>38005</v>
      </c>
      <c r="Y38" s="84" t="s">
        <v>449</v>
      </c>
    </row>
    <row r="39" spans="1:25" x14ac:dyDescent="0.3">
      <c r="I39" s="81" t="s">
        <v>1710</v>
      </c>
      <c r="J39" s="81" t="s">
        <v>200</v>
      </c>
      <c r="L39" s="81" t="s">
        <v>1657</v>
      </c>
      <c r="W39" s="85">
        <v>38033</v>
      </c>
      <c r="Y39" s="84" t="s">
        <v>450</v>
      </c>
    </row>
    <row r="40" spans="1:25" x14ac:dyDescent="0.3">
      <c r="I40" s="81" t="s">
        <v>159</v>
      </c>
      <c r="J40" s="81" t="s">
        <v>200</v>
      </c>
      <c r="L40" s="81" t="s">
        <v>1660</v>
      </c>
      <c r="W40" s="85">
        <v>38138</v>
      </c>
      <c r="Y40" s="84" t="s">
        <v>451</v>
      </c>
    </row>
    <row r="41" spans="1:25" x14ac:dyDescent="0.3">
      <c r="I41" s="81" t="s">
        <v>1242</v>
      </c>
      <c r="J41" s="81" t="s">
        <v>200</v>
      </c>
      <c r="L41" s="81" t="s">
        <v>1663</v>
      </c>
      <c r="W41" s="85">
        <v>38172</v>
      </c>
      <c r="Y41" s="84" t="s">
        <v>452</v>
      </c>
    </row>
    <row r="42" spans="1:25" x14ac:dyDescent="0.3">
      <c r="I42" s="81" t="s">
        <v>1711</v>
      </c>
      <c r="J42" s="81" t="s">
        <v>200</v>
      </c>
      <c r="L42" s="81" t="s">
        <v>1667</v>
      </c>
      <c r="W42" s="85">
        <v>38173</v>
      </c>
      <c r="Y42" s="84" t="s">
        <v>453</v>
      </c>
    </row>
    <row r="43" spans="1:25" x14ac:dyDescent="0.3">
      <c r="I43" s="81" t="s">
        <v>1716</v>
      </c>
      <c r="J43" s="81" t="s">
        <v>200</v>
      </c>
      <c r="L43" s="81" t="s">
        <v>1672</v>
      </c>
      <c r="W43" s="85">
        <v>38236</v>
      </c>
      <c r="Y43" s="84" t="s">
        <v>454</v>
      </c>
    </row>
    <row r="44" spans="1:25" x14ac:dyDescent="0.3">
      <c r="I44" s="81" t="s">
        <v>1719</v>
      </c>
      <c r="J44" s="81" t="s">
        <v>200</v>
      </c>
      <c r="L44" s="81" t="s">
        <v>160</v>
      </c>
      <c r="W44" s="85">
        <v>38271</v>
      </c>
      <c r="Y44" s="84" t="s">
        <v>455</v>
      </c>
    </row>
    <row r="45" spans="1:25" x14ac:dyDescent="0.3">
      <c r="I45" s="81" t="s">
        <v>1725</v>
      </c>
      <c r="J45" s="81" t="s">
        <v>200</v>
      </c>
      <c r="L45" s="81" t="s">
        <v>167</v>
      </c>
      <c r="W45" s="85">
        <v>38302</v>
      </c>
      <c r="Y45" s="84" t="s">
        <v>456</v>
      </c>
    </row>
    <row r="46" spans="1:25" x14ac:dyDescent="0.3">
      <c r="I46" s="81" t="s">
        <v>1732</v>
      </c>
      <c r="J46" s="81" t="s">
        <v>200</v>
      </c>
      <c r="L46" s="81" t="s">
        <v>1718</v>
      </c>
      <c r="W46" s="85">
        <v>38316</v>
      </c>
      <c r="Y46" s="84" t="s">
        <v>457</v>
      </c>
    </row>
    <row r="47" spans="1:25" x14ac:dyDescent="0.3">
      <c r="I47" s="81" t="s">
        <v>1735</v>
      </c>
      <c r="J47" s="81" t="s">
        <v>200</v>
      </c>
      <c r="L47" s="81" t="s">
        <v>1724</v>
      </c>
      <c r="W47" s="85">
        <v>38346</v>
      </c>
      <c r="Y47" s="84" t="s">
        <v>458</v>
      </c>
    </row>
    <row r="48" spans="1:25" x14ac:dyDescent="0.3">
      <c r="I48" s="81" t="s">
        <v>1739</v>
      </c>
      <c r="J48" s="81" t="s">
        <v>200</v>
      </c>
      <c r="L48" s="81" t="s">
        <v>1731</v>
      </c>
      <c r="W48" s="85">
        <v>38353</v>
      </c>
      <c r="Y48" s="84" t="s">
        <v>459</v>
      </c>
    </row>
    <row r="49" spans="9:25" x14ac:dyDescent="0.3">
      <c r="I49" s="81" t="s">
        <v>1742</v>
      </c>
      <c r="J49" s="81" t="s">
        <v>200</v>
      </c>
      <c r="L49" s="81" t="s">
        <v>1734</v>
      </c>
      <c r="W49" s="85">
        <v>38369</v>
      </c>
      <c r="Y49" s="84" t="s">
        <v>460</v>
      </c>
    </row>
    <row r="50" spans="9:25" x14ac:dyDescent="0.3">
      <c r="I50" s="81" t="s">
        <v>1745</v>
      </c>
      <c r="J50" s="81" t="s">
        <v>200</v>
      </c>
      <c r="L50" s="81" t="s">
        <v>1738</v>
      </c>
      <c r="W50" s="85">
        <v>38404</v>
      </c>
      <c r="Y50" s="84" t="s">
        <v>461</v>
      </c>
    </row>
    <row r="51" spans="9:25" x14ac:dyDescent="0.3">
      <c r="I51" s="81" t="s">
        <v>1746</v>
      </c>
      <c r="J51" s="81" t="s">
        <v>200</v>
      </c>
      <c r="L51" s="81" t="s">
        <v>1741</v>
      </c>
      <c r="W51" s="85">
        <v>38502</v>
      </c>
      <c r="Y51" s="84" t="s">
        <v>462</v>
      </c>
    </row>
    <row r="52" spans="9:25" x14ac:dyDescent="0.3">
      <c r="I52" s="81" t="s">
        <v>1749</v>
      </c>
      <c r="J52" s="81" t="s">
        <v>200</v>
      </c>
      <c r="L52" s="81" t="s">
        <v>193</v>
      </c>
      <c r="W52" s="85">
        <v>38537</v>
      </c>
      <c r="Y52" s="84" t="s">
        <v>463</v>
      </c>
    </row>
    <row r="53" spans="9:25" x14ac:dyDescent="0.3">
      <c r="I53" s="81" t="s">
        <v>1758</v>
      </c>
      <c r="J53" s="81" t="s">
        <v>200</v>
      </c>
      <c r="L53" s="81" t="s">
        <v>1748</v>
      </c>
      <c r="W53" s="85">
        <v>38600</v>
      </c>
      <c r="Y53" s="84" t="s">
        <v>464</v>
      </c>
    </row>
    <row r="54" spans="9:25" x14ac:dyDescent="0.3">
      <c r="I54" s="81" t="s">
        <v>1761</v>
      </c>
      <c r="J54" s="81" t="s">
        <v>200</v>
      </c>
      <c r="L54" s="81" t="s">
        <v>1751</v>
      </c>
      <c r="W54" s="85">
        <v>38635</v>
      </c>
      <c r="Y54" s="84" t="s">
        <v>465</v>
      </c>
    </row>
    <row r="55" spans="9:25" x14ac:dyDescent="0.3">
      <c r="I55" s="81" t="s">
        <v>1764</v>
      </c>
      <c r="J55" s="81" t="s">
        <v>200</v>
      </c>
      <c r="L55" s="81" t="s">
        <v>1754</v>
      </c>
      <c r="W55" s="85">
        <v>38667</v>
      </c>
      <c r="Y55" s="84" t="s">
        <v>466</v>
      </c>
    </row>
    <row r="56" spans="9:25" x14ac:dyDescent="0.3">
      <c r="I56" s="81" t="s">
        <v>1770</v>
      </c>
      <c r="J56" s="81" t="s">
        <v>200</v>
      </c>
      <c r="L56" s="81" t="s">
        <v>1757</v>
      </c>
      <c r="W56" s="85">
        <v>38680</v>
      </c>
      <c r="Y56" s="84" t="s">
        <v>467</v>
      </c>
    </row>
    <row r="57" spans="9:25" x14ac:dyDescent="0.3">
      <c r="I57" s="81" t="s">
        <v>1776</v>
      </c>
      <c r="J57" s="81" t="s">
        <v>200</v>
      </c>
      <c r="L57" s="81" t="s">
        <v>1760</v>
      </c>
      <c r="W57" s="85">
        <v>38711</v>
      </c>
      <c r="Y57" s="84" t="s">
        <v>468</v>
      </c>
    </row>
    <row r="58" spans="9:25" x14ac:dyDescent="0.3">
      <c r="I58" s="81" t="s">
        <v>1782</v>
      </c>
      <c r="J58" s="81" t="s">
        <v>200</v>
      </c>
      <c r="L58" s="81" t="s">
        <v>1763</v>
      </c>
      <c r="W58" s="85">
        <v>38712</v>
      </c>
      <c r="Y58" s="84" t="s">
        <v>469</v>
      </c>
    </row>
    <row r="59" spans="9:25" x14ac:dyDescent="0.3">
      <c r="I59" s="81" t="s">
        <v>1785</v>
      </c>
      <c r="J59" s="81" t="s">
        <v>200</v>
      </c>
      <c r="L59" s="81" t="s">
        <v>1769</v>
      </c>
      <c r="W59" s="85">
        <v>38718</v>
      </c>
      <c r="Y59" s="84" t="s">
        <v>470</v>
      </c>
    </row>
    <row r="60" spans="9:25" x14ac:dyDescent="0.3">
      <c r="I60" s="81" t="s">
        <v>1789</v>
      </c>
      <c r="J60" s="81" t="s">
        <v>200</v>
      </c>
      <c r="L60" s="81" t="s">
        <v>1775</v>
      </c>
      <c r="W60" s="85">
        <v>38719</v>
      </c>
      <c r="Y60" s="84" t="s">
        <v>411</v>
      </c>
    </row>
    <row r="61" spans="9:25" x14ac:dyDescent="0.3">
      <c r="I61" s="81" t="s">
        <v>1792</v>
      </c>
      <c r="J61" s="81" t="s">
        <v>200</v>
      </c>
      <c r="L61" s="81" t="s">
        <v>1781</v>
      </c>
      <c r="W61" s="85">
        <v>38733</v>
      </c>
      <c r="Y61" s="84" t="s">
        <v>471</v>
      </c>
    </row>
    <row r="62" spans="9:25" x14ac:dyDescent="0.3">
      <c r="I62" s="81" t="s">
        <v>1799</v>
      </c>
      <c r="J62" s="81" t="s">
        <v>200</v>
      </c>
      <c r="L62" s="81" t="s">
        <v>1784</v>
      </c>
      <c r="W62" s="85">
        <v>38768</v>
      </c>
      <c r="Y62" s="84" t="s">
        <v>472</v>
      </c>
    </row>
    <row r="63" spans="9:25" x14ac:dyDescent="0.3">
      <c r="I63" s="81" t="s">
        <v>1806</v>
      </c>
      <c r="J63" s="81" t="s">
        <v>200</v>
      </c>
      <c r="L63" s="81" t="s">
        <v>1788</v>
      </c>
      <c r="W63" s="85">
        <v>38866</v>
      </c>
      <c r="Y63" s="84" t="s">
        <v>473</v>
      </c>
    </row>
    <row r="64" spans="9:25" x14ac:dyDescent="0.3">
      <c r="I64" s="81" t="s">
        <v>1808</v>
      </c>
      <c r="J64" s="81" t="s">
        <v>200</v>
      </c>
      <c r="L64" s="81" t="s">
        <v>1791</v>
      </c>
      <c r="W64" s="85">
        <v>38902</v>
      </c>
      <c r="Y64" s="84" t="s">
        <v>474</v>
      </c>
    </row>
    <row r="65" spans="9:25" x14ac:dyDescent="0.3">
      <c r="I65" s="81" t="s">
        <v>1810</v>
      </c>
      <c r="J65" s="81" t="s">
        <v>200</v>
      </c>
      <c r="L65" s="81" t="s">
        <v>1798</v>
      </c>
      <c r="W65" s="85">
        <v>38964</v>
      </c>
      <c r="Y65" s="84" t="s">
        <v>475</v>
      </c>
    </row>
    <row r="66" spans="9:25" x14ac:dyDescent="0.3">
      <c r="I66" s="81" t="s">
        <v>1813</v>
      </c>
      <c r="J66" s="81" t="s">
        <v>200</v>
      </c>
      <c r="L66" s="81" t="s">
        <v>1805</v>
      </c>
      <c r="W66" s="85">
        <v>38999</v>
      </c>
      <c r="Y66" s="84" t="s">
        <v>476</v>
      </c>
    </row>
    <row r="67" spans="9:25" x14ac:dyDescent="0.3">
      <c r="I67" s="81" t="s">
        <v>1817</v>
      </c>
      <c r="J67" s="81" t="s">
        <v>200</v>
      </c>
      <c r="L67" s="81" t="s">
        <v>1809</v>
      </c>
      <c r="W67" s="85">
        <v>39032</v>
      </c>
      <c r="Y67" s="84" t="s">
        <v>477</v>
      </c>
    </row>
    <row r="68" spans="9:25" x14ac:dyDescent="0.3">
      <c r="I68" s="81" t="s">
        <v>1821</v>
      </c>
      <c r="J68" s="81" t="s">
        <v>200</v>
      </c>
      <c r="L68" s="81" t="s">
        <v>1812</v>
      </c>
      <c r="W68" s="85">
        <v>39044</v>
      </c>
      <c r="Y68" s="84" t="s">
        <v>478</v>
      </c>
    </row>
    <row r="69" spans="9:25" x14ac:dyDescent="0.3">
      <c r="I69" s="81" t="s">
        <v>1824</v>
      </c>
      <c r="J69" s="81" t="s">
        <v>200</v>
      </c>
      <c r="L69" s="81" t="s">
        <v>1816</v>
      </c>
      <c r="W69" s="85">
        <v>39076</v>
      </c>
      <c r="Y69" s="84" t="s">
        <v>479</v>
      </c>
    </row>
    <row r="70" spans="9:25" x14ac:dyDescent="0.3">
      <c r="I70" s="81" t="s">
        <v>1832</v>
      </c>
      <c r="J70" s="81" t="s">
        <v>200</v>
      </c>
      <c r="L70" s="81" t="s">
        <v>165</v>
      </c>
      <c r="W70" s="85">
        <v>39083</v>
      </c>
      <c r="Y70" s="84" t="s">
        <v>416</v>
      </c>
    </row>
    <row r="71" spans="9:25" x14ac:dyDescent="0.3">
      <c r="I71" s="81" t="s">
        <v>1867</v>
      </c>
      <c r="J71" s="81" t="s">
        <v>200</v>
      </c>
      <c r="L71" s="81" t="s">
        <v>1828</v>
      </c>
      <c r="W71" s="85">
        <v>39097</v>
      </c>
      <c r="Y71" s="84" t="s">
        <v>480</v>
      </c>
    </row>
    <row r="72" spans="9:25" x14ac:dyDescent="0.3">
      <c r="I72" s="81" t="s">
        <v>1868</v>
      </c>
      <c r="J72" s="81" t="s">
        <v>200</v>
      </c>
      <c r="L72" s="81" t="s">
        <v>1831</v>
      </c>
      <c r="W72" s="85">
        <v>39132</v>
      </c>
      <c r="Y72" s="84" t="s">
        <v>481</v>
      </c>
    </row>
    <row r="73" spans="9:25" x14ac:dyDescent="0.3">
      <c r="I73" s="81" t="s">
        <v>1881</v>
      </c>
      <c r="J73" s="81" t="s">
        <v>200</v>
      </c>
      <c r="L73" s="81" t="s">
        <v>1883</v>
      </c>
      <c r="W73" s="85">
        <v>39230</v>
      </c>
      <c r="Y73" s="84" t="s">
        <v>482</v>
      </c>
    </row>
    <row r="74" spans="9:25" ht="14.4" x14ac:dyDescent="0.3">
      <c r="I74"/>
      <c r="J74"/>
      <c r="L74" s="81" t="s">
        <v>1887</v>
      </c>
      <c r="W74" s="85">
        <v>39267</v>
      </c>
      <c r="Y74" s="84" t="s">
        <v>519</v>
      </c>
    </row>
    <row r="75" spans="9:25" ht="14.4" x14ac:dyDescent="0.3">
      <c r="I75"/>
      <c r="J75"/>
      <c r="W75" s="85">
        <v>39328</v>
      </c>
      <c r="Y75" s="84" t="s">
        <v>483</v>
      </c>
    </row>
    <row r="76" spans="9:25" ht="14.4" x14ac:dyDescent="0.3">
      <c r="I76"/>
      <c r="J76"/>
      <c r="W76" s="85">
        <v>39363</v>
      </c>
      <c r="Y76" s="84" t="s">
        <v>484</v>
      </c>
    </row>
    <row r="77" spans="9:25" ht="14.4" x14ac:dyDescent="0.3">
      <c r="I77"/>
      <c r="J77"/>
      <c r="W77" s="85">
        <v>39397</v>
      </c>
      <c r="Y77" s="84" t="s">
        <v>485</v>
      </c>
    </row>
    <row r="78" spans="9:25" ht="14.4" x14ac:dyDescent="0.3">
      <c r="I78"/>
      <c r="J78"/>
      <c r="W78" s="85">
        <v>39398</v>
      </c>
      <c r="Y78" s="84" t="s">
        <v>486</v>
      </c>
    </row>
    <row r="79" spans="9:25" ht="14.4" x14ac:dyDescent="0.3">
      <c r="I79"/>
      <c r="J79"/>
      <c r="W79" s="85">
        <v>39408</v>
      </c>
      <c r="Y79" s="84" t="s">
        <v>487</v>
      </c>
    </row>
    <row r="80" spans="9:25" ht="14.4" x14ac:dyDescent="0.3">
      <c r="I80"/>
      <c r="J80"/>
      <c r="W80" s="85">
        <v>39441</v>
      </c>
      <c r="Y80" s="84" t="s">
        <v>488</v>
      </c>
    </row>
    <row r="81" spans="9:25" ht="14.4" x14ac:dyDescent="0.3">
      <c r="I81"/>
      <c r="J81"/>
      <c r="W81" s="85">
        <v>39448</v>
      </c>
      <c r="Y81" s="84" t="s">
        <v>489</v>
      </c>
    </row>
    <row r="82" spans="9:25" ht="14.4" x14ac:dyDescent="0.3">
      <c r="I82"/>
      <c r="J82"/>
      <c r="W82" s="85">
        <v>39468</v>
      </c>
      <c r="Y82" s="84" t="s">
        <v>490</v>
      </c>
    </row>
    <row r="83" spans="9:25" ht="14.4" x14ac:dyDescent="0.3">
      <c r="I83"/>
      <c r="J83"/>
      <c r="W83" s="85">
        <v>39496</v>
      </c>
      <c r="Y83" s="84" t="s">
        <v>491</v>
      </c>
    </row>
    <row r="84" spans="9:25" ht="14.4" x14ac:dyDescent="0.3">
      <c r="I84"/>
      <c r="J84"/>
      <c r="W84" s="85">
        <v>39594</v>
      </c>
      <c r="Y84" s="84" t="s">
        <v>492</v>
      </c>
    </row>
    <row r="85" spans="9:25" ht="14.4" x14ac:dyDescent="0.3">
      <c r="I85"/>
      <c r="J85"/>
      <c r="W85" s="85">
        <v>39633</v>
      </c>
      <c r="Y85" s="84" t="s">
        <v>493</v>
      </c>
    </row>
    <row r="86" spans="9:25" ht="14.4" x14ac:dyDescent="0.3">
      <c r="I86"/>
      <c r="J86"/>
      <c r="W86" s="85">
        <v>39692</v>
      </c>
      <c r="Y86" s="84" t="s">
        <v>494</v>
      </c>
    </row>
    <row r="87" spans="9:25" ht="14.4" x14ac:dyDescent="0.3">
      <c r="I87"/>
      <c r="J87"/>
      <c r="W87" s="85">
        <v>39734</v>
      </c>
      <c r="Y87" s="84" t="s">
        <v>495</v>
      </c>
    </row>
    <row r="88" spans="9:25" ht="14.4" x14ac:dyDescent="0.3">
      <c r="I88"/>
      <c r="J88"/>
      <c r="W88" s="85">
        <v>39763</v>
      </c>
      <c r="Y88" s="84" t="s">
        <v>496</v>
      </c>
    </row>
    <row r="89" spans="9:25" ht="14.4" x14ac:dyDescent="0.3">
      <c r="I89"/>
      <c r="J89"/>
      <c r="W89" s="85">
        <v>39779</v>
      </c>
      <c r="Y89" s="84" t="s">
        <v>497</v>
      </c>
    </row>
    <row r="90" spans="9:25" ht="14.4" x14ac:dyDescent="0.3">
      <c r="I90"/>
      <c r="J90"/>
      <c r="W90" s="85">
        <v>39807</v>
      </c>
      <c r="Y90" s="84" t="s">
        <v>498</v>
      </c>
    </row>
    <row r="91" spans="9:25" ht="14.4" x14ac:dyDescent="0.3">
      <c r="I91"/>
      <c r="J91"/>
      <c r="W91" s="85">
        <v>39814</v>
      </c>
      <c r="Y91" s="84" t="s">
        <v>499</v>
      </c>
    </row>
    <row r="92" spans="9:25" ht="14.4" x14ac:dyDescent="0.3">
      <c r="I92"/>
      <c r="J92"/>
      <c r="W92" s="85">
        <v>39832</v>
      </c>
      <c r="Y92" s="84" t="s">
        <v>500</v>
      </c>
    </row>
    <row r="93" spans="9:25" ht="14.4" x14ac:dyDescent="0.3">
      <c r="I93"/>
      <c r="J93"/>
      <c r="W93" s="85">
        <v>39860</v>
      </c>
      <c r="Y93" s="84" t="s">
        <v>501</v>
      </c>
    </row>
    <row r="94" spans="9:25" ht="14.4" x14ac:dyDescent="0.3">
      <c r="I94"/>
      <c r="J94"/>
      <c r="W94" s="85">
        <v>39958</v>
      </c>
      <c r="Y94" s="84" t="s">
        <v>502</v>
      </c>
    </row>
    <row r="95" spans="9:25" ht="14.4" x14ac:dyDescent="0.3">
      <c r="I95"/>
      <c r="J95"/>
      <c r="W95" s="85">
        <v>39997</v>
      </c>
      <c r="Y95" s="84" t="s">
        <v>503</v>
      </c>
    </row>
    <row r="96" spans="9:25" ht="14.4" x14ac:dyDescent="0.3">
      <c r="I96"/>
      <c r="J96"/>
      <c r="W96" s="85">
        <v>40063</v>
      </c>
      <c r="Y96" s="84" t="s">
        <v>504</v>
      </c>
    </row>
    <row r="97" spans="9:25" ht="14.4" x14ac:dyDescent="0.3">
      <c r="I97"/>
      <c r="J97"/>
      <c r="W97" s="85">
        <v>40098</v>
      </c>
      <c r="Y97" s="84" t="s">
        <v>505</v>
      </c>
    </row>
    <row r="98" spans="9:25" ht="14.4" x14ac:dyDescent="0.3">
      <c r="I98"/>
      <c r="J98"/>
      <c r="W98" s="85">
        <v>40128</v>
      </c>
      <c r="Y98" s="84" t="s">
        <v>506</v>
      </c>
    </row>
    <row r="99" spans="9:25" ht="14.4" x14ac:dyDescent="0.3">
      <c r="I99"/>
      <c r="J99"/>
      <c r="W99" s="85">
        <v>40143</v>
      </c>
      <c r="Y99" s="84" t="s">
        <v>507</v>
      </c>
    </row>
    <row r="100" spans="9:25" ht="14.4" x14ac:dyDescent="0.3">
      <c r="I100"/>
      <c r="J100"/>
      <c r="W100" s="85">
        <v>40172</v>
      </c>
      <c r="Y100" s="84" t="s">
        <v>508</v>
      </c>
    </row>
    <row r="101" spans="9:25" ht="14.4" x14ac:dyDescent="0.3">
      <c r="I101"/>
      <c r="J101"/>
      <c r="W101" s="85">
        <v>40179</v>
      </c>
      <c r="Y101" s="84" t="s">
        <v>509</v>
      </c>
    </row>
    <row r="102" spans="9:25" ht="14.4" x14ac:dyDescent="0.3">
      <c r="I102"/>
      <c r="J102"/>
      <c r="W102" s="85">
        <v>40196</v>
      </c>
      <c r="Y102" s="84" t="s">
        <v>418</v>
      </c>
    </row>
    <row r="103" spans="9:25" ht="14.4" x14ac:dyDescent="0.3">
      <c r="I103"/>
      <c r="J103"/>
      <c r="W103" s="85">
        <v>40224</v>
      </c>
      <c r="Y103" s="84" t="s">
        <v>510</v>
      </c>
    </row>
    <row r="104" spans="9:25" ht="14.4" x14ac:dyDescent="0.3">
      <c r="I104"/>
      <c r="J104"/>
      <c r="W104" s="85">
        <v>40329</v>
      </c>
      <c r="Y104" s="84" t="s">
        <v>413</v>
      </c>
    </row>
    <row r="105" spans="9:25" ht="14.4" x14ac:dyDescent="0.3">
      <c r="I105"/>
      <c r="J105"/>
      <c r="W105" s="85">
        <v>40364</v>
      </c>
      <c r="Y105" s="84" t="s">
        <v>520</v>
      </c>
    </row>
    <row r="106" spans="9:25" ht="14.4" x14ac:dyDescent="0.3">
      <c r="I106"/>
      <c r="J106"/>
      <c r="W106" s="85">
        <v>40427</v>
      </c>
      <c r="Y106" s="84" t="s">
        <v>417</v>
      </c>
    </row>
    <row r="107" spans="9:25" ht="14.4" x14ac:dyDescent="0.3">
      <c r="I107"/>
      <c r="J107"/>
      <c r="W107" s="85">
        <v>40462</v>
      </c>
      <c r="Y107" s="84" t="s">
        <v>511</v>
      </c>
    </row>
    <row r="108" spans="9:25" ht="14.4" x14ac:dyDescent="0.3">
      <c r="I108"/>
      <c r="J108"/>
      <c r="W108" s="85">
        <v>40493</v>
      </c>
      <c r="Y108" s="84" t="s">
        <v>512</v>
      </c>
    </row>
    <row r="109" spans="9:25" ht="14.4" x14ac:dyDescent="0.3">
      <c r="I109"/>
      <c r="J109"/>
      <c r="W109" s="85">
        <v>40507</v>
      </c>
      <c r="Y109" s="84" t="s">
        <v>513</v>
      </c>
    </row>
    <row r="110" spans="9:25" ht="14.4" x14ac:dyDescent="0.3">
      <c r="I110"/>
      <c r="J110"/>
      <c r="W110" s="85">
        <v>40536</v>
      </c>
      <c r="Y110" s="84" t="s">
        <v>414</v>
      </c>
    </row>
    <row r="111" spans="9:25" ht="14.4" x14ac:dyDescent="0.3">
      <c r="I111"/>
      <c r="J111"/>
      <c r="W111" s="85">
        <v>40544</v>
      </c>
      <c r="Y111" s="84" t="s">
        <v>514</v>
      </c>
    </row>
    <row r="112" spans="9:25" ht="14.4" x14ac:dyDescent="0.3">
      <c r="I112"/>
      <c r="J112"/>
      <c r="W112" s="85">
        <v>40560</v>
      </c>
      <c r="Y112" s="84" t="s">
        <v>515</v>
      </c>
    </row>
    <row r="113" spans="9:25" ht="14.4" x14ac:dyDescent="0.3">
      <c r="I113"/>
      <c r="J113"/>
      <c r="W113" s="85">
        <v>40595</v>
      </c>
      <c r="Y113" s="84" t="s">
        <v>521</v>
      </c>
    </row>
    <row r="114" spans="9:25" ht="14.4" x14ac:dyDescent="0.3">
      <c r="I114"/>
      <c r="J114"/>
      <c r="W114" s="85">
        <v>40693</v>
      </c>
      <c r="Y114" s="84" t="s">
        <v>516</v>
      </c>
    </row>
    <row r="115" spans="9:25" ht="14.4" x14ac:dyDescent="0.3">
      <c r="I115"/>
      <c r="J115"/>
      <c r="W115" s="85">
        <v>40728</v>
      </c>
      <c r="Y115" s="84" t="s">
        <v>517</v>
      </c>
    </row>
    <row r="116" spans="9:25" ht="14.4" x14ac:dyDescent="0.3">
      <c r="I116"/>
      <c r="J116"/>
      <c r="W116" s="85">
        <v>40791</v>
      </c>
      <c r="Y116" s="84" t="s">
        <v>518</v>
      </c>
    </row>
    <row r="117" spans="9:25" ht="14.4" x14ac:dyDescent="0.3">
      <c r="I117"/>
      <c r="J117"/>
      <c r="W117" s="85">
        <v>40826</v>
      </c>
      <c r="Y117" s="84" t="s">
        <v>1238</v>
      </c>
    </row>
    <row r="118" spans="9:25" ht="14.4" x14ac:dyDescent="0.3">
      <c r="I118"/>
      <c r="J118"/>
      <c r="W118" s="85">
        <v>40858</v>
      </c>
      <c r="Y118" s="84" t="s">
        <v>1395</v>
      </c>
    </row>
    <row r="119" spans="9:25" ht="14.4" x14ac:dyDescent="0.3">
      <c r="I119"/>
      <c r="J119"/>
      <c r="W119" s="85">
        <v>40871</v>
      </c>
      <c r="Y119" s="84" t="s">
        <v>1396</v>
      </c>
    </row>
    <row r="120" spans="9:25" ht="14.4" x14ac:dyDescent="0.3">
      <c r="I120"/>
      <c r="J120"/>
      <c r="W120" s="85">
        <v>40903</v>
      </c>
      <c r="Y120" s="84" t="s">
        <v>4564</v>
      </c>
    </row>
    <row r="121" spans="9:25" ht="14.4" x14ac:dyDescent="0.3">
      <c r="I121"/>
      <c r="J121"/>
      <c r="W121" s="85">
        <v>40909</v>
      </c>
      <c r="Y121" s="84" t="s">
        <v>4565</v>
      </c>
    </row>
    <row r="122" spans="9:25" ht="14.4" x14ac:dyDescent="0.3">
      <c r="I122"/>
      <c r="J122"/>
      <c r="W122" s="85">
        <v>40910</v>
      </c>
    </row>
    <row r="123" spans="9:25" ht="14.4" x14ac:dyDescent="0.3">
      <c r="I123"/>
      <c r="J123"/>
      <c r="W123" s="85">
        <v>40924</v>
      </c>
    </row>
    <row r="124" spans="9:25" ht="14.4" x14ac:dyDescent="0.3">
      <c r="I124"/>
      <c r="J124"/>
      <c r="W124" s="85">
        <v>40959</v>
      </c>
    </row>
    <row r="125" spans="9:25" ht="14.4" x14ac:dyDescent="0.3">
      <c r="I125"/>
      <c r="J125"/>
      <c r="W125" s="85">
        <v>41057</v>
      </c>
    </row>
    <row r="126" spans="9:25" ht="14.4" x14ac:dyDescent="0.3">
      <c r="I126"/>
      <c r="J126"/>
      <c r="W126" s="85">
        <v>41094</v>
      </c>
    </row>
    <row r="127" spans="9:25" ht="14.4" x14ac:dyDescent="0.3">
      <c r="I127"/>
      <c r="J127"/>
      <c r="W127" s="85">
        <v>41155</v>
      </c>
    </row>
    <row r="128" spans="9:25" ht="14.4" x14ac:dyDescent="0.3">
      <c r="I128"/>
      <c r="J128"/>
      <c r="W128" s="85">
        <v>41190</v>
      </c>
    </row>
    <row r="129" spans="9:23" ht="14.4" x14ac:dyDescent="0.3">
      <c r="I129"/>
      <c r="J129"/>
      <c r="W129" s="85">
        <v>41225</v>
      </c>
    </row>
    <row r="130" spans="9:23" ht="14.4" x14ac:dyDescent="0.3">
      <c r="I130"/>
      <c r="J130"/>
      <c r="W130" s="85">
        <v>41235</v>
      </c>
    </row>
    <row r="131" spans="9:23" ht="14.4" x14ac:dyDescent="0.3">
      <c r="I131"/>
      <c r="J131"/>
      <c r="W131" s="85">
        <v>41268</v>
      </c>
    </row>
    <row r="132" spans="9:23" ht="14.4" x14ac:dyDescent="0.3">
      <c r="I132"/>
      <c r="J132"/>
      <c r="W132" s="85">
        <v>41275</v>
      </c>
    </row>
    <row r="133" spans="9:23" ht="14.4" x14ac:dyDescent="0.3">
      <c r="I133"/>
      <c r="J133"/>
      <c r="W133" s="85">
        <v>41295</v>
      </c>
    </row>
    <row r="134" spans="9:23" ht="14.4" x14ac:dyDescent="0.3">
      <c r="I134"/>
      <c r="J134"/>
      <c r="W134" s="85">
        <v>41323</v>
      </c>
    </row>
    <row r="135" spans="9:23" ht="14.4" x14ac:dyDescent="0.3">
      <c r="I135"/>
      <c r="J135"/>
      <c r="W135" s="85">
        <v>41421</v>
      </c>
    </row>
    <row r="136" spans="9:23" ht="14.4" x14ac:dyDescent="0.3">
      <c r="I136"/>
      <c r="J136"/>
      <c r="W136" s="85">
        <v>41459</v>
      </c>
    </row>
    <row r="137" spans="9:23" ht="14.4" x14ac:dyDescent="0.3">
      <c r="I137"/>
      <c r="J137"/>
      <c r="W137" s="85">
        <v>41519</v>
      </c>
    </row>
    <row r="138" spans="9:23" ht="14.4" x14ac:dyDescent="0.3">
      <c r="I138"/>
      <c r="J138"/>
      <c r="W138" s="85">
        <v>41559</v>
      </c>
    </row>
    <row r="139" spans="9:23" ht="14.4" x14ac:dyDescent="0.3">
      <c r="I139"/>
      <c r="J139"/>
      <c r="W139" s="85">
        <v>41589</v>
      </c>
    </row>
    <row r="140" spans="9:23" ht="14.4" x14ac:dyDescent="0.3">
      <c r="I140"/>
      <c r="J140"/>
      <c r="W140" s="85">
        <v>41606</v>
      </c>
    </row>
    <row r="141" spans="9:23" ht="14.4" x14ac:dyDescent="0.3">
      <c r="I141"/>
      <c r="J141"/>
      <c r="W141" s="85">
        <v>41633</v>
      </c>
    </row>
    <row r="142" spans="9:23" ht="14.4" x14ac:dyDescent="0.3">
      <c r="I142"/>
      <c r="J142"/>
      <c r="W142" s="85">
        <v>41640</v>
      </c>
    </row>
    <row r="143" spans="9:23" ht="14.4" x14ac:dyDescent="0.3">
      <c r="I143"/>
      <c r="J143"/>
      <c r="W143" s="85">
        <v>41659</v>
      </c>
    </row>
    <row r="144" spans="9:23" ht="14.4" x14ac:dyDescent="0.3">
      <c r="I144"/>
      <c r="J144"/>
      <c r="W144" s="85">
        <v>41687</v>
      </c>
    </row>
    <row r="145" spans="9:23" ht="14.4" x14ac:dyDescent="0.3">
      <c r="I145"/>
      <c r="J145"/>
      <c r="W145" s="85">
        <v>41720</v>
      </c>
    </row>
    <row r="146" spans="9:23" ht="14.4" x14ac:dyDescent="0.3">
      <c r="I146"/>
      <c r="J146"/>
      <c r="W146" s="85">
        <v>41721</v>
      </c>
    </row>
    <row r="147" spans="9:23" ht="14.4" x14ac:dyDescent="0.3">
      <c r="I147"/>
      <c r="J147"/>
      <c r="W147" s="85">
        <v>41727</v>
      </c>
    </row>
    <row r="148" spans="9:23" ht="14.4" x14ac:dyDescent="0.3">
      <c r="I148"/>
      <c r="J148"/>
      <c r="W148" s="85">
        <v>41728</v>
      </c>
    </row>
    <row r="149" spans="9:23" ht="14.4" x14ac:dyDescent="0.3">
      <c r="I149"/>
      <c r="J149"/>
      <c r="W149" s="85">
        <v>41734</v>
      </c>
    </row>
    <row r="150" spans="9:23" ht="14.4" x14ac:dyDescent="0.3">
      <c r="I150"/>
      <c r="J150"/>
      <c r="W150" s="85">
        <v>41735</v>
      </c>
    </row>
    <row r="151" spans="9:23" ht="14.4" x14ac:dyDescent="0.3">
      <c r="I151"/>
      <c r="J151"/>
      <c r="W151" s="85">
        <v>41741</v>
      </c>
    </row>
    <row r="152" spans="9:23" ht="14.4" x14ac:dyDescent="0.3">
      <c r="I152"/>
      <c r="J152"/>
      <c r="W152" s="85">
        <v>41742</v>
      </c>
    </row>
    <row r="153" spans="9:23" ht="14.4" x14ac:dyDescent="0.3">
      <c r="I153"/>
      <c r="J153"/>
      <c r="W153" s="85">
        <v>41747</v>
      </c>
    </row>
    <row r="154" spans="9:23" ht="14.4" x14ac:dyDescent="0.3">
      <c r="I154"/>
      <c r="J154"/>
      <c r="W154" s="85">
        <v>41748</v>
      </c>
    </row>
    <row r="155" spans="9:23" ht="14.4" x14ac:dyDescent="0.3">
      <c r="I155"/>
      <c r="J155"/>
      <c r="W155" s="85">
        <v>41749</v>
      </c>
    </row>
    <row r="156" spans="9:23" ht="14.4" x14ac:dyDescent="0.3">
      <c r="I156"/>
      <c r="J156"/>
      <c r="W156" s="85">
        <v>41750</v>
      </c>
    </row>
    <row r="157" spans="9:23" ht="14.4" x14ac:dyDescent="0.3">
      <c r="I157"/>
      <c r="J157"/>
      <c r="W157" s="85">
        <v>41755</v>
      </c>
    </row>
    <row r="158" spans="9:23" ht="14.4" x14ac:dyDescent="0.3">
      <c r="I158"/>
      <c r="J158"/>
      <c r="W158" s="85">
        <v>41756</v>
      </c>
    </row>
    <row r="159" spans="9:23" ht="14.4" x14ac:dyDescent="0.3">
      <c r="I159"/>
      <c r="J159"/>
      <c r="W159" s="85">
        <v>41760</v>
      </c>
    </row>
    <row r="160" spans="9:23" ht="14.4" x14ac:dyDescent="0.3">
      <c r="I160"/>
      <c r="J160"/>
      <c r="W160" s="85">
        <v>41762</v>
      </c>
    </row>
    <row r="161" spans="9:23" ht="14.4" x14ac:dyDescent="0.3">
      <c r="I161"/>
      <c r="J161"/>
      <c r="W161" s="85">
        <v>41763</v>
      </c>
    </row>
    <row r="162" spans="9:23" ht="14.4" x14ac:dyDescent="0.3">
      <c r="I162"/>
      <c r="J162"/>
      <c r="W162" s="85">
        <v>41769</v>
      </c>
    </row>
    <row r="163" spans="9:23" ht="14.4" x14ac:dyDescent="0.3">
      <c r="I163"/>
      <c r="J163"/>
      <c r="W163" s="85">
        <v>41770</v>
      </c>
    </row>
    <row r="164" spans="9:23" ht="14.4" x14ac:dyDescent="0.3">
      <c r="I164"/>
      <c r="J164"/>
      <c r="W164" s="85">
        <v>41776</v>
      </c>
    </row>
    <row r="165" spans="9:23" ht="14.4" x14ac:dyDescent="0.3">
      <c r="I165"/>
      <c r="J165"/>
      <c r="W165" s="85">
        <v>41777</v>
      </c>
    </row>
    <row r="166" spans="9:23" ht="14.4" x14ac:dyDescent="0.3">
      <c r="I166"/>
      <c r="J166"/>
      <c r="W166" s="85">
        <v>41783</v>
      </c>
    </row>
    <row r="167" spans="9:23" ht="14.4" x14ac:dyDescent="0.3">
      <c r="I167"/>
      <c r="J167"/>
      <c r="W167" s="85">
        <v>41784</v>
      </c>
    </row>
    <row r="168" spans="9:23" ht="14.4" x14ac:dyDescent="0.3">
      <c r="I168"/>
      <c r="J168"/>
      <c r="W168" s="85">
        <v>41790</v>
      </c>
    </row>
    <row r="169" spans="9:23" ht="14.4" x14ac:dyDescent="0.3">
      <c r="I169"/>
      <c r="J169"/>
      <c r="W169" s="85">
        <v>41791</v>
      </c>
    </row>
    <row r="170" spans="9:23" ht="14.4" x14ac:dyDescent="0.3">
      <c r="I170"/>
      <c r="J170"/>
      <c r="W170" s="85">
        <v>41797</v>
      </c>
    </row>
    <row r="171" spans="9:23" ht="14.4" x14ac:dyDescent="0.3">
      <c r="I171"/>
      <c r="J171"/>
      <c r="W171" s="85">
        <v>41798</v>
      </c>
    </row>
    <row r="172" spans="9:23" ht="14.4" x14ac:dyDescent="0.3">
      <c r="I172"/>
      <c r="J172"/>
      <c r="W172" s="85">
        <v>41804</v>
      </c>
    </row>
    <row r="173" spans="9:23" ht="14.4" x14ac:dyDescent="0.3">
      <c r="I173"/>
      <c r="J173"/>
      <c r="W173" s="85">
        <v>41805</v>
      </c>
    </row>
    <row r="174" spans="9:23" ht="14.4" x14ac:dyDescent="0.3">
      <c r="I174"/>
      <c r="J174"/>
      <c r="W174" s="85">
        <v>41811</v>
      </c>
    </row>
    <row r="175" spans="9:23" ht="14.4" x14ac:dyDescent="0.3">
      <c r="I175"/>
      <c r="J175"/>
      <c r="W175" s="85">
        <v>41812</v>
      </c>
    </row>
    <row r="176" spans="9:23" ht="14.4" x14ac:dyDescent="0.3">
      <c r="I176"/>
      <c r="J176"/>
      <c r="W176" s="85">
        <v>41818</v>
      </c>
    </row>
    <row r="177" spans="9:23" ht="14.4" x14ac:dyDescent="0.3">
      <c r="I177"/>
      <c r="J177"/>
      <c r="W177" s="85">
        <v>41819</v>
      </c>
    </row>
    <row r="178" spans="9:23" ht="14.4" x14ac:dyDescent="0.3">
      <c r="I178"/>
      <c r="J178"/>
      <c r="W178" s="85">
        <v>41825</v>
      </c>
    </row>
    <row r="179" spans="9:23" ht="14.4" x14ac:dyDescent="0.3">
      <c r="I179"/>
      <c r="J179"/>
      <c r="W179" s="85">
        <v>41826</v>
      </c>
    </row>
    <row r="180" spans="9:23" ht="14.4" x14ac:dyDescent="0.3">
      <c r="I180"/>
      <c r="J180"/>
      <c r="W180" s="85">
        <v>41832</v>
      </c>
    </row>
    <row r="181" spans="9:23" ht="14.4" x14ac:dyDescent="0.3">
      <c r="I181"/>
      <c r="J181"/>
      <c r="W181" s="85">
        <v>41833</v>
      </c>
    </row>
    <row r="182" spans="9:23" ht="14.4" x14ac:dyDescent="0.3">
      <c r="I182"/>
      <c r="J182"/>
      <c r="W182" s="85">
        <v>41839</v>
      </c>
    </row>
    <row r="183" spans="9:23" ht="14.4" x14ac:dyDescent="0.3">
      <c r="I183"/>
      <c r="J183"/>
      <c r="W183" s="85">
        <v>41840</v>
      </c>
    </row>
    <row r="184" spans="9:23" ht="14.4" x14ac:dyDescent="0.3">
      <c r="I184"/>
      <c r="J184"/>
      <c r="W184" s="85">
        <v>41846</v>
      </c>
    </row>
    <row r="185" spans="9:23" ht="14.4" x14ac:dyDescent="0.3">
      <c r="I185"/>
      <c r="J185"/>
      <c r="W185" s="85">
        <v>41847</v>
      </c>
    </row>
    <row r="186" spans="9:23" ht="14.4" x14ac:dyDescent="0.3">
      <c r="I186"/>
      <c r="J186"/>
      <c r="W186" s="85">
        <v>41853</v>
      </c>
    </row>
    <row r="187" spans="9:23" ht="14.4" x14ac:dyDescent="0.3">
      <c r="I187"/>
      <c r="J187"/>
      <c r="W187" s="85">
        <v>41854</v>
      </c>
    </row>
    <row r="188" spans="9:23" ht="14.4" x14ac:dyDescent="0.3">
      <c r="I188"/>
      <c r="J188"/>
      <c r="W188" s="85">
        <v>41860</v>
      </c>
    </row>
    <row r="189" spans="9:23" ht="14.4" x14ac:dyDescent="0.3">
      <c r="I189"/>
      <c r="J189"/>
      <c r="W189" s="85">
        <v>41861</v>
      </c>
    </row>
    <row r="190" spans="9:23" ht="14.4" x14ac:dyDescent="0.3">
      <c r="I190"/>
      <c r="J190"/>
      <c r="W190" s="85">
        <v>41867</v>
      </c>
    </row>
    <row r="191" spans="9:23" ht="14.4" x14ac:dyDescent="0.3">
      <c r="I191"/>
      <c r="J191"/>
      <c r="W191" s="85">
        <v>41868</v>
      </c>
    </row>
    <row r="192" spans="9:23" ht="14.4" x14ac:dyDescent="0.3">
      <c r="I192"/>
      <c r="J192"/>
      <c r="W192" s="85">
        <v>41874</v>
      </c>
    </row>
    <row r="193" spans="9:23" ht="14.4" x14ac:dyDescent="0.3">
      <c r="I193"/>
      <c r="J193"/>
      <c r="W193" s="85">
        <v>41875</v>
      </c>
    </row>
    <row r="194" spans="9:23" ht="14.4" x14ac:dyDescent="0.3">
      <c r="I194"/>
      <c r="J194"/>
      <c r="W194" s="85">
        <v>41881</v>
      </c>
    </row>
    <row r="195" spans="9:23" ht="14.4" x14ac:dyDescent="0.3">
      <c r="I195"/>
      <c r="J195"/>
      <c r="W195" s="85">
        <v>41882</v>
      </c>
    </row>
    <row r="196" spans="9:23" ht="14.4" x14ac:dyDescent="0.3">
      <c r="I196"/>
      <c r="J196"/>
      <c r="W196" s="85">
        <v>41888</v>
      </c>
    </row>
    <row r="197" spans="9:23" ht="14.4" x14ac:dyDescent="0.3">
      <c r="I197"/>
      <c r="J197"/>
      <c r="W197" s="85">
        <v>41889</v>
      </c>
    </row>
    <row r="198" spans="9:23" ht="14.4" x14ac:dyDescent="0.3">
      <c r="I198"/>
      <c r="J198"/>
      <c r="W198" s="85">
        <v>41895</v>
      </c>
    </row>
    <row r="199" spans="9:23" ht="14.4" x14ac:dyDescent="0.3">
      <c r="I199"/>
      <c r="J199"/>
      <c r="W199" s="85">
        <v>41896</v>
      </c>
    </row>
    <row r="200" spans="9:23" ht="14.4" x14ac:dyDescent="0.3">
      <c r="I200"/>
      <c r="J200"/>
      <c r="W200" s="85">
        <v>41902</v>
      </c>
    </row>
    <row r="201" spans="9:23" ht="14.4" x14ac:dyDescent="0.3">
      <c r="I201"/>
      <c r="J201"/>
      <c r="W201" s="85">
        <v>41903</v>
      </c>
    </row>
    <row r="202" spans="9:23" ht="14.4" x14ac:dyDescent="0.3">
      <c r="I202"/>
      <c r="J202"/>
      <c r="W202" s="85">
        <v>41909</v>
      </c>
    </row>
    <row r="203" spans="9:23" ht="14.4" x14ac:dyDescent="0.3">
      <c r="I203"/>
      <c r="J203"/>
      <c r="W203" s="85">
        <v>41910</v>
      </c>
    </row>
    <row r="204" spans="9:23" ht="14.4" x14ac:dyDescent="0.3">
      <c r="I204"/>
      <c r="J204"/>
      <c r="W204" s="85">
        <v>41916</v>
      </c>
    </row>
    <row r="205" spans="9:23" ht="14.4" x14ac:dyDescent="0.3">
      <c r="I205"/>
      <c r="J205"/>
      <c r="W205" s="85">
        <v>41917</v>
      </c>
    </row>
    <row r="206" spans="9:23" ht="14.4" x14ac:dyDescent="0.3">
      <c r="I206"/>
      <c r="J206"/>
      <c r="W206" s="85">
        <v>41923</v>
      </c>
    </row>
    <row r="207" spans="9:23" ht="14.4" x14ac:dyDescent="0.3">
      <c r="I207"/>
      <c r="J207"/>
      <c r="W207" s="85">
        <v>41924</v>
      </c>
    </row>
    <row r="208" spans="9:23" ht="14.4" x14ac:dyDescent="0.3">
      <c r="I208"/>
      <c r="J208"/>
      <c r="W208" s="85">
        <v>41930</v>
      </c>
    </row>
    <row r="209" spans="9:23" ht="14.4" x14ac:dyDescent="0.3">
      <c r="I209"/>
      <c r="J209"/>
      <c r="W209" s="85">
        <v>41931</v>
      </c>
    </row>
    <row r="210" spans="9:23" ht="14.4" x14ac:dyDescent="0.3">
      <c r="I210"/>
      <c r="J210"/>
      <c r="W210" s="85">
        <v>41937</v>
      </c>
    </row>
    <row r="211" spans="9:23" ht="14.4" x14ac:dyDescent="0.3">
      <c r="I211"/>
      <c r="J211"/>
      <c r="W211" s="85">
        <v>41938</v>
      </c>
    </row>
    <row r="212" spans="9:23" ht="14.4" x14ac:dyDescent="0.3">
      <c r="I212"/>
      <c r="J212"/>
      <c r="W212" s="85">
        <v>41944</v>
      </c>
    </row>
    <row r="213" spans="9:23" ht="14.4" x14ac:dyDescent="0.3">
      <c r="I213"/>
      <c r="J213"/>
      <c r="W213" s="85">
        <v>41945</v>
      </c>
    </row>
    <row r="214" spans="9:23" ht="14.4" x14ac:dyDescent="0.3">
      <c r="I214"/>
      <c r="J214"/>
      <c r="W214" s="85">
        <v>41951</v>
      </c>
    </row>
    <row r="215" spans="9:23" ht="14.4" x14ac:dyDescent="0.3">
      <c r="I215"/>
      <c r="J215"/>
      <c r="W215" s="85">
        <v>41952</v>
      </c>
    </row>
    <row r="216" spans="9:23" ht="14.4" x14ac:dyDescent="0.3">
      <c r="I216"/>
      <c r="J216"/>
      <c r="W216" s="85">
        <v>41958</v>
      </c>
    </row>
    <row r="217" spans="9:23" ht="14.4" x14ac:dyDescent="0.3">
      <c r="I217"/>
      <c r="J217"/>
      <c r="W217" s="85">
        <v>41959</v>
      </c>
    </row>
    <row r="218" spans="9:23" ht="14.4" x14ac:dyDescent="0.3">
      <c r="I218"/>
      <c r="J218"/>
      <c r="W218" s="85">
        <v>41965</v>
      </c>
    </row>
    <row r="219" spans="9:23" ht="14.4" x14ac:dyDescent="0.3">
      <c r="I219"/>
      <c r="J219"/>
      <c r="W219" s="85">
        <v>41966</v>
      </c>
    </row>
    <row r="220" spans="9:23" ht="14.4" x14ac:dyDescent="0.3">
      <c r="I220"/>
      <c r="J220"/>
      <c r="W220" s="85">
        <v>41972</v>
      </c>
    </row>
    <row r="221" spans="9:23" ht="14.4" x14ac:dyDescent="0.3">
      <c r="I221"/>
      <c r="J221"/>
      <c r="W221" s="85">
        <v>41973</v>
      </c>
    </row>
    <row r="222" spans="9:23" ht="14.4" x14ac:dyDescent="0.3">
      <c r="I222"/>
      <c r="J222"/>
      <c r="W222" s="85">
        <v>41979</v>
      </c>
    </row>
    <row r="223" spans="9:23" ht="14.4" x14ac:dyDescent="0.3">
      <c r="I223"/>
      <c r="J223"/>
      <c r="W223" s="85">
        <v>41980</v>
      </c>
    </row>
    <row r="224" spans="9:23" ht="14.4" x14ac:dyDescent="0.3">
      <c r="I224"/>
      <c r="J224"/>
      <c r="W224" s="85">
        <v>41986</v>
      </c>
    </row>
    <row r="225" spans="9:23" ht="14.4" x14ac:dyDescent="0.3">
      <c r="I225"/>
      <c r="J225"/>
      <c r="W225" s="85">
        <v>41987</v>
      </c>
    </row>
    <row r="226" spans="9:23" ht="14.4" x14ac:dyDescent="0.3">
      <c r="I226"/>
      <c r="J226"/>
      <c r="W226" s="85">
        <v>41993</v>
      </c>
    </row>
    <row r="227" spans="9:23" ht="14.4" x14ac:dyDescent="0.3">
      <c r="I227"/>
      <c r="J227"/>
      <c r="W227" s="85">
        <v>41994</v>
      </c>
    </row>
    <row r="228" spans="9:23" ht="14.4" x14ac:dyDescent="0.3">
      <c r="I228"/>
      <c r="J228"/>
      <c r="W228" s="85">
        <v>41998</v>
      </c>
    </row>
    <row r="229" spans="9:23" ht="14.4" x14ac:dyDescent="0.3">
      <c r="I229"/>
      <c r="J229"/>
      <c r="W229" s="85">
        <v>41999</v>
      </c>
    </row>
    <row r="230" spans="9:23" ht="14.4" x14ac:dyDescent="0.3">
      <c r="I230"/>
      <c r="J230"/>
      <c r="W230" s="85">
        <v>42000</v>
      </c>
    </row>
    <row r="231" spans="9:23" ht="14.4" x14ac:dyDescent="0.3">
      <c r="I231"/>
      <c r="J231"/>
      <c r="W231" s="85">
        <v>42001</v>
      </c>
    </row>
    <row r="232" spans="9:23" ht="14.4" x14ac:dyDescent="0.3">
      <c r="I232"/>
      <c r="J232"/>
      <c r="W232" s="85">
        <v>42005</v>
      </c>
    </row>
    <row r="233" spans="9:23" ht="14.4" x14ac:dyDescent="0.3">
      <c r="I233"/>
      <c r="J233"/>
      <c r="W233" s="85">
        <v>42007</v>
      </c>
    </row>
    <row r="234" spans="9:23" ht="14.4" x14ac:dyDescent="0.3">
      <c r="I234"/>
      <c r="J234"/>
      <c r="W234" s="85">
        <v>42008</v>
      </c>
    </row>
    <row r="235" spans="9:23" ht="14.4" x14ac:dyDescent="0.3">
      <c r="I235"/>
      <c r="J235"/>
      <c r="W235" s="85">
        <v>42014</v>
      </c>
    </row>
    <row r="236" spans="9:23" ht="14.4" x14ac:dyDescent="0.3">
      <c r="I236"/>
      <c r="J236"/>
      <c r="W236" s="85">
        <v>42015</v>
      </c>
    </row>
    <row r="237" spans="9:23" ht="14.4" x14ac:dyDescent="0.3">
      <c r="I237"/>
      <c r="J237"/>
      <c r="W237" s="85">
        <v>42021</v>
      </c>
    </row>
    <row r="238" spans="9:23" ht="14.4" x14ac:dyDescent="0.3">
      <c r="I238"/>
      <c r="J238"/>
      <c r="W238" s="85">
        <v>42022</v>
      </c>
    </row>
    <row r="239" spans="9:23" ht="14.4" x14ac:dyDescent="0.3">
      <c r="I239"/>
      <c r="J239"/>
      <c r="W239" s="85">
        <v>42028</v>
      </c>
    </row>
    <row r="240" spans="9:23" ht="14.4" x14ac:dyDescent="0.3">
      <c r="I240"/>
      <c r="J240"/>
      <c r="W240" s="85">
        <v>42029</v>
      </c>
    </row>
    <row r="241" spans="9:23" ht="14.4" x14ac:dyDescent="0.3">
      <c r="I241"/>
      <c r="J241"/>
      <c r="W241" s="85">
        <v>42035</v>
      </c>
    </row>
    <row r="242" spans="9:23" ht="14.4" x14ac:dyDescent="0.3">
      <c r="I242"/>
      <c r="J242"/>
      <c r="W242" s="85">
        <v>42036</v>
      </c>
    </row>
    <row r="243" spans="9:23" ht="14.4" x14ac:dyDescent="0.3">
      <c r="I243"/>
      <c r="J243"/>
      <c r="W243" s="85">
        <v>42042</v>
      </c>
    </row>
    <row r="244" spans="9:23" ht="14.4" x14ac:dyDescent="0.3">
      <c r="I244"/>
      <c r="J244"/>
      <c r="W244" s="85">
        <v>42043</v>
      </c>
    </row>
    <row r="245" spans="9:23" ht="14.4" x14ac:dyDescent="0.3">
      <c r="I245"/>
      <c r="J245"/>
      <c r="W245" s="85">
        <v>42049</v>
      </c>
    </row>
    <row r="246" spans="9:23" ht="14.4" x14ac:dyDescent="0.3">
      <c r="I246"/>
      <c r="J246"/>
      <c r="W246" s="85">
        <v>42050</v>
      </c>
    </row>
    <row r="247" spans="9:23" ht="14.4" x14ac:dyDescent="0.3">
      <c r="I247"/>
      <c r="J247"/>
      <c r="W247" s="85">
        <v>42056</v>
      </c>
    </row>
    <row r="248" spans="9:23" ht="14.4" x14ac:dyDescent="0.3">
      <c r="I248"/>
      <c r="J248"/>
      <c r="W248" s="85">
        <v>42057</v>
      </c>
    </row>
    <row r="249" spans="9:23" ht="14.4" x14ac:dyDescent="0.3">
      <c r="I249"/>
      <c r="J249"/>
      <c r="W249" s="85">
        <v>42063</v>
      </c>
    </row>
    <row r="250" spans="9:23" ht="14.4" x14ac:dyDescent="0.3">
      <c r="I250"/>
      <c r="J250"/>
      <c r="W250" s="85">
        <v>42064</v>
      </c>
    </row>
    <row r="251" spans="9:23" ht="14.4" x14ac:dyDescent="0.3">
      <c r="I251"/>
      <c r="J251"/>
      <c r="W251" s="85">
        <v>42070</v>
      </c>
    </row>
    <row r="252" spans="9:23" ht="14.4" x14ac:dyDescent="0.3">
      <c r="I252"/>
      <c r="J252"/>
      <c r="W252" s="85">
        <v>42071</v>
      </c>
    </row>
    <row r="253" spans="9:23" ht="14.4" x14ac:dyDescent="0.3">
      <c r="I253"/>
      <c r="J253"/>
      <c r="W253" s="85">
        <v>42077</v>
      </c>
    </row>
    <row r="254" spans="9:23" ht="14.4" x14ac:dyDescent="0.3">
      <c r="I254"/>
      <c r="J254"/>
      <c r="W254" s="85">
        <v>42078</v>
      </c>
    </row>
    <row r="255" spans="9:23" ht="14.4" x14ac:dyDescent="0.3">
      <c r="I255"/>
      <c r="J255"/>
      <c r="W255" s="85">
        <v>42084</v>
      </c>
    </row>
    <row r="256" spans="9:23" ht="14.4" x14ac:dyDescent="0.3">
      <c r="I256"/>
      <c r="J256"/>
      <c r="W256" s="85">
        <v>42085</v>
      </c>
    </row>
    <row r="257" spans="9:23" ht="14.4" x14ac:dyDescent="0.3">
      <c r="I257"/>
      <c r="J257"/>
      <c r="W257" s="85">
        <v>42091</v>
      </c>
    </row>
    <row r="258" spans="9:23" ht="14.4" x14ac:dyDescent="0.3">
      <c r="I258"/>
      <c r="J258"/>
      <c r="W258" s="85">
        <v>42092</v>
      </c>
    </row>
    <row r="259" spans="9:23" ht="14.4" x14ac:dyDescent="0.3">
      <c r="I259"/>
      <c r="J259"/>
      <c r="W259" s="85">
        <v>42097</v>
      </c>
    </row>
    <row r="260" spans="9:23" ht="14.4" x14ac:dyDescent="0.3">
      <c r="I260"/>
      <c r="J260"/>
      <c r="W260" s="85">
        <v>42098</v>
      </c>
    </row>
    <row r="261" spans="9:23" ht="14.4" x14ac:dyDescent="0.3">
      <c r="I261"/>
      <c r="J261"/>
      <c r="W261" s="85">
        <v>42099</v>
      </c>
    </row>
    <row r="262" spans="9:23" ht="14.4" x14ac:dyDescent="0.3">
      <c r="I262"/>
      <c r="J262"/>
      <c r="W262" s="85">
        <v>42100</v>
      </c>
    </row>
    <row r="263" spans="9:23" ht="14.4" x14ac:dyDescent="0.3">
      <c r="I263"/>
      <c r="J263"/>
      <c r="W263" s="85">
        <v>42105</v>
      </c>
    </row>
    <row r="264" spans="9:23" ht="14.4" x14ac:dyDescent="0.3">
      <c r="I264"/>
      <c r="J264"/>
      <c r="W264" s="85">
        <v>42106</v>
      </c>
    </row>
    <row r="265" spans="9:23" ht="14.4" x14ac:dyDescent="0.3">
      <c r="I265"/>
      <c r="J265"/>
      <c r="W265" s="85">
        <v>42112</v>
      </c>
    </row>
    <row r="266" spans="9:23" ht="14.4" x14ac:dyDescent="0.3">
      <c r="I266"/>
      <c r="J266"/>
      <c r="W266" s="85">
        <v>42113</v>
      </c>
    </row>
    <row r="267" spans="9:23" ht="14.4" x14ac:dyDescent="0.3">
      <c r="I267"/>
      <c r="J267"/>
      <c r="W267" s="85">
        <v>42119</v>
      </c>
    </row>
    <row r="268" spans="9:23" ht="14.4" x14ac:dyDescent="0.3">
      <c r="I268"/>
      <c r="J268"/>
      <c r="W268" s="85">
        <v>42120</v>
      </c>
    </row>
    <row r="269" spans="9:23" ht="14.4" x14ac:dyDescent="0.3">
      <c r="I269"/>
      <c r="J269"/>
      <c r="W269" s="85">
        <v>42125</v>
      </c>
    </row>
    <row r="270" spans="9:23" ht="14.4" x14ac:dyDescent="0.3">
      <c r="I270"/>
      <c r="J270"/>
      <c r="W270" s="85">
        <v>42126</v>
      </c>
    </row>
    <row r="271" spans="9:23" ht="14.4" x14ac:dyDescent="0.3">
      <c r="I271"/>
      <c r="J271"/>
      <c r="W271" s="85">
        <v>42127</v>
      </c>
    </row>
    <row r="272" spans="9:23" ht="14.4" x14ac:dyDescent="0.3">
      <c r="I272"/>
      <c r="J272"/>
      <c r="W272" s="85">
        <v>42133</v>
      </c>
    </row>
    <row r="273" spans="9:23" ht="14.4" x14ac:dyDescent="0.3">
      <c r="I273"/>
      <c r="J273"/>
      <c r="W273" s="85">
        <v>42134</v>
      </c>
    </row>
    <row r="274" spans="9:23" ht="14.4" x14ac:dyDescent="0.3">
      <c r="I274"/>
      <c r="J274"/>
      <c r="W274" s="85">
        <v>42140</v>
      </c>
    </row>
    <row r="275" spans="9:23" ht="14.4" x14ac:dyDescent="0.3">
      <c r="I275"/>
      <c r="J275"/>
      <c r="W275" s="85">
        <v>42141</v>
      </c>
    </row>
    <row r="276" spans="9:23" ht="14.4" x14ac:dyDescent="0.3">
      <c r="I276"/>
      <c r="J276"/>
      <c r="W276" s="85">
        <v>42147</v>
      </c>
    </row>
    <row r="277" spans="9:23" ht="14.4" x14ac:dyDescent="0.3">
      <c r="I277"/>
      <c r="J277"/>
      <c r="W277" s="85">
        <v>42148</v>
      </c>
    </row>
    <row r="278" spans="9:23" ht="14.4" x14ac:dyDescent="0.3">
      <c r="I278"/>
      <c r="J278"/>
      <c r="W278" s="85">
        <v>42154</v>
      </c>
    </row>
    <row r="279" spans="9:23" ht="14.4" x14ac:dyDescent="0.3">
      <c r="I279"/>
      <c r="J279"/>
      <c r="W279" s="85">
        <v>42155</v>
      </c>
    </row>
    <row r="280" spans="9:23" ht="14.4" x14ac:dyDescent="0.3">
      <c r="I280"/>
      <c r="J280"/>
      <c r="W280" s="85">
        <v>42161</v>
      </c>
    </row>
    <row r="281" spans="9:23" ht="14.4" x14ac:dyDescent="0.3">
      <c r="I281"/>
      <c r="J281"/>
      <c r="W281" s="85">
        <v>42162</v>
      </c>
    </row>
    <row r="282" spans="9:23" ht="14.4" x14ac:dyDescent="0.3">
      <c r="I282"/>
      <c r="J282"/>
      <c r="W282" s="85">
        <v>42168</v>
      </c>
    </row>
    <row r="283" spans="9:23" ht="14.4" x14ac:dyDescent="0.3">
      <c r="I283"/>
      <c r="J283"/>
      <c r="W283" s="85">
        <v>42169</v>
      </c>
    </row>
    <row r="284" spans="9:23" ht="14.4" x14ac:dyDescent="0.3">
      <c r="I284"/>
      <c r="J284"/>
      <c r="W284" s="85">
        <v>42175</v>
      </c>
    </row>
    <row r="285" spans="9:23" ht="14.4" x14ac:dyDescent="0.3">
      <c r="I285"/>
      <c r="J285"/>
      <c r="W285" s="85">
        <v>42176</v>
      </c>
    </row>
    <row r="286" spans="9:23" ht="14.4" x14ac:dyDescent="0.3">
      <c r="I286"/>
      <c r="J286"/>
      <c r="W286" s="85">
        <v>42182</v>
      </c>
    </row>
    <row r="287" spans="9:23" ht="14.4" x14ac:dyDescent="0.3">
      <c r="I287"/>
      <c r="J287"/>
      <c r="W287" s="85">
        <v>42183</v>
      </c>
    </row>
    <row r="288" spans="9:23" ht="14.4" x14ac:dyDescent="0.3">
      <c r="I288"/>
      <c r="J288"/>
      <c r="W288" s="85">
        <v>42189</v>
      </c>
    </row>
    <row r="289" spans="9:23" ht="14.4" x14ac:dyDescent="0.3">
      <c r="I289"/>
      <c r="J289"/>
      <c r="W289" s="85">
        <v>42190</v>
      </c>
    </row>
    <row r="290" spans="9:23" ht="14.4" x14ac:dyDescent="0.3">
      <c r="I290"/>
      <c r="J290"/>
      <c r="W290" s="85">
        <v>42196</v>
      </c>
    </row>
    <row r="291" spans="9:23" ht="14.4" x14ac:dyDescent="0.3">
      <c r="I291"/>
      <c r="J291"/>
      <c r="W291" s="85">
        <v>42197</v>
      </c>
    </row>
    <row r="292" spans="9:23" ht="14.4" x14ac:dyDescent="0.3">
      <c r="I292"/>
      <c r="J292"/>
      <c r="W292" s="85">
        <v>42203</v>
      </c>
    </row>
    <row r="293" spans="9:23" ht="14.4" x14ac:dyDescent="0.3">
      <c r="I293"/>
      <c r="J293"/>
      <c r="W293" s="85">
        <v>42204</v>
      </c>
    </row>
    <row r="294" spans="9:23" ht="14.4" x14ac:dyDescent="0.3">
      <c r="I294"/>
      <c r="J294"/>
      <c r="W294" s="85">
        <v>42210</v>
      </c>
    </row>
    <row r="295" spans="9:23" ht="14.4" x14ac:dyDescent="0.3">
      <c r="I295"/>
      <c r="J295"/>
      <c r="W295" s="85">
        <v>42211</v>
      </c>
    </row>
    <row r="296" spans="9:23" ht="14.4" x14ac:dyDescent="0.3">
      <c r="I296"/>
      <c r="J296"/>
      <c r="W296" s="85">
        <v>42217</v>
      </c>
    </row>
    <row r="297" spans="9:23" ht="14.4" x14ac:dyDescent="0.3">
      <c r="I297"/>
      <c r="J297"/>
      <c r="W297" s="85">
        <v>42218</v>
      </c>
    </row>
    <row r="298" spans="9:23" ht="14.4" x14ac:dyDescent="0.3">
      <c r="I298"/>
      <c r="J298"/>
      <c r="W298" s="85">
        <v>42224</v>
      </c>
    </row>
    <row r="299" spans="9:23" ht="14.4" x14ac:dyDescent="0.3">
      <c r="I299"/>
      <c r="J299"/>
      <c r="W299" s="85">
        <v>42225</v>
      </c>
    </row>
    <row r="300" spans="9:23" ht="14.4" x14ac:dyDescent="0.3">
      <c r="I300"/>
      <c r="J300"/>
      <c r="W300" s="85">
        <v>42231</v>
      </c>
    </row>
    <row r="301" spans="9:23" ht="14.4" x14ac:dyDescent="0.3">
      <c r="I301"/>
      <c r="J301"/>
      <c r="W301" s="85">
        <v>42232</v>
      </c>
    </row>
    <row r="302" spans="9:23" ht="14.4" x14ac:dyDescent="0.3">
      <c r="I302"/>
      <c r="J302"/>
      <c r="W302" s="85">
        <v>42238</v>
      </c>
    </row>
    <row r="303" spans="9:23" ht="14.4" x14ac:dyDescent="0.3">
      <c r="I303"/>
      <c r="J303"/>
      <c r="W303" s="85">
        <v>42239</v>
      </c>
    </row>
    <row r="304" spans="9:23" ht="14.4" x14ac:dyDescent="0.3">
      <c r="I304"/>
      <c r="J304"/>
      <c r="W304" s="85">
        <v>42245</v>
      </c>
    </row>
    <row r="305" spans="9:23" ht="14.4" x14ac:dyDescent="0.3">
      <c r="I305"/>
      <c r="J305"/>
      <c r="W305" s="85">
        <v>42246</v>
      </c>
    </row>
    <row r="306" spans="9:23" ht="14.4" x14ac:dyDescent="0.3">
      <c r="I306"/>
      <c r="J306"/>
      <c r="W306" s="85">
        <v>42252</v>
      </c>
    </row>
    <row r="307" spans="9:23" ht="14.4" x14ac:dyDescent="0.3">
      <c r="I307"/>
      <c r="J307"/>
      <c r="W307" s="85">
        <v>42253</v>
      </c>
    </row>
    <row r="308" spans="9:23" ht="14.4" x14ac:dyDescent="0.3">
      <c r="I308"/>
      <c r="J308"/>
      <c r="W308" s="85">
        <v>42259</v>
      </c>
    </row>
    <row r="309" spans="9:23" ht="14.4" x14ac:dyDescent="0.3">
      <c r="I309"/>
      <c r="J309"/>
      <c r="W309" s="85">
        <v>42260</v>
      </c>
    </row>
    <row r="310" spans="9:23" ht="14.4" x14ac:dyDescent="0.3">
      <c r="I310"/>
      <c r="J310"/>
      <c r="W310" s="85">
        <v>42266</v>
      </c>
    </row>
    <row r="311" spans="9:23" ht="14.4" x14ac:dyDescent="0.3">
      <c r="I311"/>
      <c r="J311"/>
      <c r="W311" s="85">
        <v>42267</v>
      </c>
    </row>
    <row r="312" spans="9:23" ht="14.4" x14ac:dyDescent="0.3">
      <c r="I312"/>
      <c r="J312"/>
      <c r="W312" s="85">
        <v>42273</v>
      </c>
    </row>
    <row r="313" spans="9:23" ht="14.4" x14ac:dyDescent="0.3">
      <c r="I313"/>
      <c r="J313"/>
      <c r="W313" s="85">
        <v>42274</v>
      </c>
    </row>
    <row r="314" spans="9:23" ht="14.4" x14ac:dyDescent="0.3">
      <c r="I314"/>
      <c r="J314"/>
      <c r="W314" s="85">
        <v>42280</v>
      </c>
    </row>
    <row r="315" spans="9:23" ht="14.4" x14ac:dyDescent="0.3">
      <c r="I315"/>
      <c r="J315"/>
      <c r="W315" s="85">
        <v>42281</v>
      </c>
    </row>
    <row r="316" spans="9:23" ht="14.4" x14ac:dyDescent="0.3">
      <c r="I316"/>
      <c r="J316"/>
      <c r="W316" s="85">
        <v>42287</v>
      </c>
    </row>
    <row r="317" spans="9:23" ht="14.4" x14ac:dyDescent="0.3">
      <c r="I317"/>
      <c r="J317"/>
      <c r="W317" s="85">
        <v>42288</v>
      </c>
    </row>
    <row r="318" spans="9:23" ht="14.4" x14ac:dyDescent="0.3">
      <c r="I318"/>
      <c r="J318"/>
      <c r="W318" s="85">
        <v>42294</v>
      </c>
    </row>
    <row r="319" spans="9:23" ht="14.4" x14ac:dyDescent="0.3">
      <c r="I319"/>
      <c r="J319"/>
      <c r="W319" s="85">
        <v>42295</v>
      </c>
    </row>
    <row r="320" spans="9:23" ht="14.4" x14ac:dyDescent="0.3">
      <c r="I320"/>
      <c r="J320"/>
      <c r="W320" s="85">
        <v>42301</v>
      </c>
    </row>
    <row r="321" spans="9:23" ht="14.4" x14ac:dyDescent="0.3">
      <c r="I321"/>
      <c r="J321"/>
      <c r="W321" s="85">
        <v>42302</v>
      </c>
    </row>
    <row r="322" spans="9:23" ht="14.4" x14ac:dyDescent="0.3">
      <c r="I322"/>
      <c r="J322"/>
      <c r="W322" s="85">
        <v>42308</v>
      </c>
    </row>
    <row r="323" spans="9:23" ht="14.4" x14ac:dyDescent="0.3">
      <c r="I323"/>
      <c r="J323"/>
      <c r="W323" s="85">
        <v>42309</v>
      </c>
    </row>
    <row r="324" spans="9:23" ht="14.4" x14ac:dyDescent="0.3">
      <c r="I324"/>
      <c r="J324"/>
      <c r="W324" s="85">
        <v>42315</v>
      </c>
    </row>
    <row r="325" spans="9:23" ht="14.4" x14ac:dyDescent="0.3">
      <c r="I325"/>
      <c r="J325"/>
      <c r="W325" s="85">
        <v>42316</v>
      </c>
    </row>
    <row r="326" spans="9:23" ht="14.4" x14ac:dyDescent="0.3">
      <c r="I326"/>
      <c r="J326"/>
      <c r="W326" s="85">
        <v>42322</v>
      </c>
    </row>
    <row r="327" spans="9:23" ht="14.4" x14ac:dyDescent="0.3">
      <c r="I327"/>
      <c r="J327"/>
      <c r="W327" s="85">
        <v>42323</v>
      </c>
    </row>
    <row r="328" spans="9:23" ht="14.4" x14ac:dyDescent="0.3">
      <c r="I328"/>
      <c r="J328"/>
      <c r="W328" s="85">
        <v>42329</v>
      </c>
    </row>
    <row r="329" spans="9:23" ht="14.4" x14ac:dyDescent="0.3">
      <c r="I329"/>
      <c r="J329"/>
      <c r="W329" s="85">
        <v>42330</v>
      </c>
    </row>
    <row r="330" spans="9:23" ht="14.4" x14ac:dyDescent="0.3">
      <c r="I330"/>
      <c r="J330"/>
      <c r="W330" s="85">
        <v>42336</v>
      </c>
    </row>
    <row r="331" spans="9:23" ht="14.4" x14ac:dyDescent="0.3">
      <c r="I331"/>
      <c r="J331"/>
      <c r="W331" s="85">
        <v>42337</v>
      </c>
    </row>
    <row r="332" spans="9:23" ht="14.4" x14ac:dyDescent="0.3">
      <c r="I332"/>
      <c r="J332"/>
      <c r="W332" s="85">
        <v>42343</v>
      </c>
    </row>
    <row r="333" spans="9:23" ht="14.4" x14ac:dyDescent="0.3">
      <c r="I333"/>
      <c r="J333"/>
      <c r="W333" s="85">
        <v>42344</v>
      </c>
    </row>
    <row r="334" spans="9:23" ht="14.4" x14ac:dyDescent="0.3">
      <c r="I334"/>
      <c r="J334"/>
      <c r="W334" s="85">
        <v>42350</v>
      </c>
    </row>
    <row r="335" spans="9:23" ht="14.4" x14ac:dyDescent="0.3">
      <c r="I335"/>
      <c r="J335"/>
      <c r="W335" s="85">
        <v>42351</v>
      </c>
    </row>
    <row r="336" spans="9:23" ht="14.4" x14ac:dyDescent="0.3">
      <c r="I336"/>
      <c r="J336"/>
      <c r="W336" s="85">
        <v>42357</v>
      </c>
    </row>
    <row r="337" spans="9:23" ht="14.4" x14ac:dyDescent="0.3">
      <c r="I337"/>
      <c r="J337"/>
      <c r="W337" s="85">
        <v>42358</v>
      </c>
    </row>
    <row r="338" spans="9:23" ht="14.4" x14ac:dyDescent="0.3">
      <c r="I338"/>
      <c r="J338"/>
      <c r="W338" s="85">
        <v>42363</v>
      </c>
    </row>
    <row r="339" spans="9:23" ht="14.4" x14ac:dyDescent="0.3">
      <c r="I339"/>
      <c r="J339"/>
      <c r="W339" s="85">
        <v>42364</v>
      </c>
    </row>
    <row r="340" spans="9:23" ht="14.4" x14ac:dyDescent="0.3">
      <c r="I340"/>
      <c r="J340"/>
      <c r="W340" s="85">
        <v>42365</v>
      </c>
    </row>
    <row r="341" spans="9:23" ht="14.4" x14ac:dyDescent="0.3">
      <c r="I341"/>
      <c r="J341"/>
      <c r="W341" s="85">
        <v>42370</v>
      </c>
    </row>
    <row r="342" spans="9:23" ht="14.4" x14ac:dyDescent="0.3">
      <c r="I342"/>
      <c r="J342"/>
      <c r="W342" s="85">
        <v>42371</v>
      </c>
    </row>
    <row r="343" spans="9:23" ht="14.4" x14ac:dyDescent="0.3">
      <c r="I343"/>
      <c r="J343"/>
      <c r="W343" s="85">
        <v>42372</v>
      </c>
    </row>
    <row r="344" spans="9:23" ht="14.4" x14ac:dyDescent="0.3">
      <c r="I344"/>
      <c r="J344"/>
      <c r="W344" s="85">
        <v>42378</v>
      </c>
    </row>
    <row r="345" spans="9:23" ht="14.4" x14ac:dyDescent="0.3">
      <c r="I345"/>
      <c r="J345"/>
      <c r="W345" s="85">
        <v>42379</v>
      </c>
    </row>
    <row r="346" spans="9:23" ht="14.4" x14ac:dyDescent="0.3">
      <c r="I346"/>
      <c r="J346"/>
      <c r="W346" s="85">
        <v>42385</v>
      </c>
    </row>
    <row r="347" spans="9:23" ht="14.4" x14ac:dyDescent="0.3">
      <c r="I347"/>
      <c r="J347"/>
      <c r="W347" s="85">
        <v>42386</v>
      </c>
    </row>
    <row r="348" spans="9:23" ht="14.4" x14ac:dyDescent="0.3">
      <c r="I348"/>
      <c r="J348"/>
      <c r="W348" s="85">
        <v>42392</v>
      </c>
    </row>
    <row r="349" spans="9:23" ht="14.4" x14ac:dyDescent="0.3">
      <c r="I349"/>
      <c r="J349"/>
      <c r="W349" s="85">
        <v>42393</v>
      </c>
    </row>
    <row r="350" spans="9:23" ht="14.4" x14ac:dyDescent="0.3">
      <c r="I350"/>
      <c r="J350"/>
      <c r="W350" s="85">
        <v>42399</v>
      </c>
    </row>
    <row r="351" spans="9:23" ht="14.4" x14ac:dyDescent="0.3">
      <c r="I351"/>
      <c r="J351"/>
      <c r="W351" s="85">
        <v>42400</v>
      </c>
    </row>
    <row r="352" spans="9:23" ht="14.4" x14ac:dyDescent="0.3">
      <c r="I352"/>
      <c r="J352"/>
      <c r="W352" s="85">
        <v>42406</v>
      </c>
    </row>
    <row r="353" spans="9:23" ht="14.4" x14ac:dyDescent="0.3">
      <c r="I353"/>
      <c r="J353"/>
      <c r="W353" s="85">
        <v>42407</v>
      </c>
    </row>
    <row r="354" spans="9:23" ht="14.4" x14ac:dyDescent="0.3">
      <c r="I354"/>
      <c r="J354"/>
      <c r="W354" s="85">
        <v>42413</v>
      </c>
    </row>
    <row r="355" spans="9:23" ht="14.4" x14ac:dyDescent="0.3">
      <c r="I355"/>
      <c r="J355"/>
      <c r="W355" s="85">
        <v>42414</v>
      </c>
    </row>
    <row r="356" spans="9:23" ht="14.4" x14ac:dyDescent="0.3">
      <c r="I356"/>
      <c r="J356"/>
      <c r="W356" s="85">
        <v>42420</v>
      </c>
    </row>
    <row r="357" spans="9:23" ht="14.4" x14ac:dyDescent="0.3">
      <c r="I357"/>
      <c r="J357"/>
      <c r="W357" s="85">
        <v>42421</v>
      </c>
    </row>
    <row r="358" spans="9:23" ht="14.4" x14ac:dyDescent="0.3">
      <c r="I358"/>
      <c r="J358"/>
      <c r="W358" s="85">
        <v>42427</v>
      </c>
    </row>
    <row r="359" spans="9:23" ht="14.4" x14ac:dyDescent="0.3">
      <c r="I359"/>
      <c r="J359"/>
      <c r="W359" s="85">
        <v>42428</v>
      </c>
    </row>
    <row r="360" spans="9:23" ht="14.4" x14ac:dyDescent="0.3">
      <c r="I360"/>
      <c r="J360"/>
      <c r="W360" s="85">
        <v>42434</v>
      </c>
    </row>
    <row r="361" spans="9:23" ht="14.4" x14ac:dyDescent="0.3">
      <c r="I361"/>
      <c r="J361"/>
      <c r="W361" s="85">
        <v>42435</v>
      </c>
    </row>
    <row r="362" spans="9:23" ht="14.4" x14ac:dyDescent="0.3">
      <c r="I362"/>
      <c r="J362"/>
      <c r="W362" s="85">
        <v>42441</v>
      </c>
    </row>
    <row r="363" spans="9:23" ht="14.4" x14ac:dyDescent="0.3">
      <c r="I363"/>
      <c r="J363"/>
      <c r="W363" s="85">
        <v>42442</v>
      </c>
    </row>
    <row r="364" spans="9:23" ht="14.4" x14ac:dyDescent="0.3">
      <c r="I364"/>
      <c r="J364"/>
      <c r="W364" s="85">
        <v>42448</v>
      </c>
    </row>
    <row r="365" spans="9:23" ht="14.4" x14ac:dyDescent="0.3">
      <c r="I365"/>
      <c r="J365"/>
      <c r="W365" s="85">
        <v>42449</v>
      </c>
    </row>
    <row r="366" spans="9:23" ht="14.4" x14ac:dyDescent="0.3">
      <c r="I366"/>
      <c r="J366"/>
      <c r="W366" s="85">
        <v>42454</v>
      </c>
    </row>
    <row r="367" spans="9:23" ht="14.4" x14ac:dyDescent="0.3">
      <c r="I367"/>
      <c r="J367"/>
      <c r="W367" s="85">
        <v>42455</v>
      </c>
    </row>
    <row r="368" spans="9:23" ht="14.4" x14ac:dyDescent="0.3">
      <c r="I368"/>
      <c r="J368"/>
      <c r="W368" s="85">
        <v>42456</v>
      </c>
    </row>
    <row r="369" spans="9:23" ht="14.4" x14ac:dyDescent="0.3">
      <c r="I369"/>
      <c r="J369"/>
      <c r="W369" s="85">
        <v>42457</v>
      </c>
    </row>
    <row r="370" spans="9:23" ht="14.4" x14ac:dyDescent="0.3">
      <c r="I370"/>
      <c r="J370"/>
      <c r="W370" s="85">
        <v>42462</v>
      </c>
    </row>
    <row r="371" spans="9:23" ht="14.4" x14ac:dyDescent="0.3">
      <c r="I371"/>
      <c r="J371"/>
      <c r="W371" s="85">
        <v>42463</v>
      </c>
    </row>
    <row r="372" spans="9:23" ht="14.4" x14ac:dyDescent="0.3">
      <c r="I372"/>
      <c r="J372"/>
      <c r="W372" s="85">
        <v>42469</v>
      </c>
    </row>
    <row r="373" spans="9:23" ht="14.4" x14ac:dyDescent="0.3">
      <c r="I373"/>
      <c r="J373"/>
      <c r="W373" s="85">
        <v>42470</v>
      </c>
    </row>
    <row r="374" spans="9:23" ht="14.4" x14ac:dyDescent="0.3">
      <c r="I374"/>
      <c r="J374"/>
      <c r="W374" s="85">
        <v>42476</v>
      </c>
    </row>
    <row r="375" spans="9:23" ht="14.4" x14ac:dyDescent="0.3">
      <c r="I375"/>
      <c r="J375"/>
      <c r="W375" s="85">
        <v>42477</v>
      </c>
    </row>
    <row r="376" spans="9:23" ht="14.4" x14ac:dyDescent="0.3">
      <c r="I376"/>
      <c r="J376"/>
      <c r="W376" s="85">
        <v>42483</v>
      </c>
    </row>
    <row r="377" spans="9:23" ht="14.4" x14ac:dyDescent="0.3">
      <c r="I377"/>
      <c r="J377"/>
      <c r="W377" s="85">
        <v>42484</v>
      </c>
    </row>
    <row r="378" spans="9:23" ht="14.4" x14ac:dyDescent="0.3">
      <c r="I378"/>
      <c r="J378"/>
      <c r="W378" s="85">
        <v>42490</v>
      </c>
    </row>
    <row r="379" spans="9:23" ht="14.4" x14ac:dyDescent="0.3">
      <c r="I379"/>
      <c r="J379"/>
      <c r="W379" s="85">
        <v>42491</v>
      </c>
    </row>
    <row r="380" spans="9:23" ht="14.4" x14ac:dyDescent="0.3">
      <c r="I380"/>
      <c r="J380"/>
      <c r="W380" s="85">
        <v>42497</v>
      </c>
    </row>
    <row r="381" spans="9:23" ht="14.4" x14ac:dyDescent="0.3">
      <c r="I381"/>
      <c r="J381"/>
      <c r="W381" s="85">
        <v>42498</v>
      </c>
    </row>
    <row r="382" spans="9:23" ht="14.4" x14ac:dyDescent="0.3">
      <c r="I382"/>
      <c r="J382"/>
      <c r="W382" s="85">
        <v>42504</v>
      </c>
    </row>
    <row r="383" spans="9:23" ht="14.4" x14ac:dyDescent="0.3">
      <c r="I383"/>
      <c r="J383"/>
      <c r="W383" s="85">
        <v>42505</v>
      </c>
    </row>
    <row r="384" spans="9:23" ht="14.4" x14ac:dyDescent="0.3">
      <c r="I384"/>
      <c r="J384"/>
      <c r="W384" s="85">
        <v>42511</v>
      </c>
    </row>
    <row r="385" spans="9:23" ht="14.4" x14ac:dyDescent="0.3">
      <c r="I385"/>
      <c r="J385"/>
      <c r="W385" s="85">
        <v>42512</v>
      </c>
    </row>
    <row r="386" spans="9:23" ht="14.4" x14ac:dyDescent="0.3">
      <c r="I386"/>
      <c r="J386"/>
      <c r="W386" s="85">
        <v>42518</v>
      </c>
    </row>
    <row r="387" spans="9:23" ht="14.4" x14ac:dyDescent="0.3">
      <c r="I387"/>
      <c r="J387"/>
      <c r="W387" s="85">
        <v>42519</v>
      </c>
    </row>
    <row r="388" spans="9:23" ht="14.4" x14ac:dyDescent="0.3">
      <c r="I388"/>
      <c r="J388"/>
      <c r="W388" s="85">
        <v>42525</v>
      </c>
    </row>
    <row r="389" spans="9:23" ht="14.4" x14ac:dyDescent="0.3">
      <c r="I389"/>
      <c r="J389"/>
      <c r="W389" s="85">
        <v>42526</v>
      </c>
    </row>
    <row r="390" spans="9:23" ht="14.4" x14ac:dyDescent="0.3">
      <c r="I390"/>
      <c r="J390"/>
      <c r="W390" s="85">
        <v>42532</v>
      </c>
    </row>
    <row r="391" spans="9:23" ht="14.4" x14ac:dyDescent="0.3">
      <c r="I391"/>
      <c r="J391"/>
      <c r="W391" s="85">
        <v>42533</v>
      </c>
    </row>
    <row r="392" spans="9:23" ht="14.4" x14ac:dyDescent="0.3">
      <c r="I392"/>
      <c r="J392"/>
      <c r="W392" s="85">
        <v>42539</v>
      </c>
    </row>
    <row r="393" spans="9:23" ht="14.4" x14ac:dyDescent="0.3">
      <c r="I393"/>
      <c r="J393"/>
      <c r="W393" s="85">
        <v>42540</v>
      </c>
    </row>
    <row r="394" spans="9:23" ht="14.4" x14ac:dyDescent="0.3">
      <c r="I394"/>
      <c r="J394"/>
      <c r="W394" s="85">
        <v>42546</v>
      </c>
    </row>
    <row r="395" spans="9:23" ht="14.4" x14ac:dyDescent="0.3">
      <c r="I395"/>
      <c r="J395"/>
      <c r="W395" s="85">
        <v>42547</v>
      </c>
    </row>
    <row r="396" spans="9:23" ht="14.4" x14ac:dyDescent="0.3">
      <c r="I396"/>
      <c r="J396"/>
      <c r="W396" s="85">
        <v>42553</v>
      </c>
    </row>
    <row r="397" spans="9:23" ht="14.4" x14ac:dyDescent="0.3">
      <c r="I397"/>
      <c r="J397"/>
      <c r="W397" s="85">
        <v>42554</v>
      </c>
    </row>
    <row r="398" spans="9:23" ht="14.4" x14ac:dyDescent="0.3">
      <c r="I398"/>
      <c r="J398"/>
      <c r="W398" s="85">
        <v>42560</v>
      </c>
    </row>
    <row r="399" spans="9:23" ht="14.4" x14ac:dyDescent="0.3">
      <c r="I399"/>
      <c r="J399"/>
      <c r="W399" s="85">
        <v>42561</v>
      </c>
    </row>
    <row r="400" spans="9:23" ht="14.4" x14ac:dyDescent="0.3">
      <c r="I400"/>
      <c r="J400"/>
      <c r="W400" s="85">
        <v>42567</v>
      </c>
    </row>
    <row r="401" spans="9:23" ht="14.4" x14ac:dyDescent="0.3">
      <c r="I401"/>
      <c r="J401"/>
      <c r="W401" s="85">
        <v>42568</v>
      </c>
    </row>
    <row r="402" spans="9:23" ht="14.4" x14ac:dyDescent="0.3">
      <c r="I402"/>
      <c r="J402"/>
      <c r="W402" s="85">
        <v>42574</v>
      </c>
    </row>
    <row r="403" spans="9:23" ht="14.4" x14ac:dyDescent="0.3">
      <c r="I403"/>
      <c r="J403"/>
      <c r="W403" s="85">
        <v>42575</v>
      </c>
    </row>
    <row r="404" spans="9:23" ht="14.4" x14ac:dyDescent="0.3">
      <c r="I404"/>
      <c r="J404"/>
      <c r="W404" s="85">
        <v>42581</v>
      </c>
    </row>
    <row r="405" spans="9:23" ht="14.4" x14ac:dyDescent="0.3">
      <c r="I405"/>
      <c r="J405"/>
      <c r="W405" s="85">
        <v>42582</v>
      </c>
    </row>
    <row r="406" spans="9:23" ht="14.4" x14ac:dyDescent="0.3">
      <c r="I406"/>
      <c r="J406"/>
      <c r="W406" s="85">
        <v>42588</v>
      </c>
    </row>
    <row r="407" spans="9:23" ht="14.4" x14ac:dyDescent="0.3">
      <c r="I407"/>
      <c r="J407"/>
      <c r="W407" s="85">
        <v>42589</v>
      </c>
    </row>
    <row r="408" spans="9:23" ht="14.4" x14ac:dyDescent="0.3">
      <c r="I408"/>
      <c r="J408"/>
      <c r="W408" s="85">
        <v>42595</v>
      </c>
    </row>
    <row r="409" spans="9:23" ht="14.4" x14ac:dyDescent="0.3">
      <c r="I409"/>
      <c r="J409"/>
      <c r="W409" s="85">
        <v>42596</v>
      </c>
    </row>
    <row r="410" spans="9:23" ht="14.4" x14ac:dyDescent="0.3">
      <c r="I410"/>
      <c r="J410"/>
      <c r="W410" s="85">
        <v>42602</v>
      </c>
    </row>
    <row r="411" spans="9:23" ht="14.4" x14ac:dyDescent="0.3">
      <c r="I411"/>
      <c r="J411"/>
      <c r="W411" s="85">
        <v>42603</v>
      </c>
    </row>
    <row r="412" spans="9:23" ht="14.4" x14ac:dyDescent="0.3">
      <c r="I412"/>
      <c r="J412"/>
      <c r="W412" s="85">
        <v>42609</v>
      </c>
    </row>
    <row r="413" spans="9:23" ht="14.4" x14ac:dyDescent="0.3">
      <c r="I413"/>
      <c r="J413"/>
      <c r="W413" s="85">
        <v>42610</v>
      </c>
    </row>
    <row r="414" spans="9:23" ht="14.4" x14ac:dyDescent="0.3">
      <c r="I414"/>
      <c r="J414"/>
      <c r="W414" s="85">
        <v>42616</v>
      </c>
    </row>
    <row r="415" spans="9:23" ht="14.4" x14ac:dyDescent="0.3">
      <c r="I415"/>
      <c r="J415"/>
      <c r="W415" s="85">
        <v>42617</v>
      </c>
    </row>
    <row r="416" spans="9:23" ht="14.4" x14ac:dyDescent="0.3">
      <c r="I416"/>
      <c r="J416"/>
      <c r="W416" s="85">
        <v>42623</v>
      </c>
    </row>
    <row r="417" spans="9:23" ht="14.4" x14ac:dyDescent="0.3">
      <c r="I417"/>
      <c r="J417"/>
      <c r="W417" s="85">
        <v>42624</v>
      </c>
    </row>
    <row r="418" spans="9:23" ht="14.4" x14ac:dyDescent="0.3">
      <c r="I418"/>
      <c r="J418"/>
      <c r="W418" s="85">
        <v>42630</v>
      </c>
    </row>
    <row r="419" spans="9:23" ht="14.4" x14ac:dyDescent="0.3">
      <c r="I419"/>
      <c r="J419"/>
      <c r="W419" s="85">
        <v>42631</v>
      </c>
    </row>
    <row r="420" spans="9:23" ht="14.4" x14ac:dyDescent="0.3">
      <c r="I420"/>
      <c r="J420"/>
      <c r="W420" s="85">
        <v>42637</v>
      </c>
    </row>
    <row r="421" spans="9:23" ht="14.4" x14ac:dyDescent="0.3">
      <c r="I421"/>
      <c r="J421"/>
      <c r="W421" s="85">
        <v>42638</v>
      </c>
    </row>
    <row r="422" spans="9:23" ht="14.4" x14ac:dyDescent="0.3">
      <c r="I422"/>
      <c r="J422"/>
      <c r="W422" s="85">
        <v>42644</v>
      </c>
    </row>
    <row r="423" spans="9:23" ht="14.4" x14ac:dyDescent="0.3">
      <c r="I423"/>
      <c r="J423"/>
      <c r="W423" s="85">
        <v>42645</v>
      </c>
    </row>
    <row r="424" spans="9:23" ht="14.4" x14ac:dyDescent="0.3">
      <c r="I424"/>
      <c r="J424"/>
      <c r="W424" s="85">
        <v>42651</v>
      </c>
    </row>
    <row r="425" spans="9:23" ht="14.4" x14ac:dyDescent="0.3">
      <c r="I425"/>
      <c r="J425"/>
      <c r="W425" s="85">
        <v>42652</v>
      </c>
    </row>
    <row r="426" spans="9:23" ht="14.4" x14ac:dyDescent="0.3">
      <c r="I426"/>
      <c r="J426"/>
      <c r="W426" s="85">
        <v>42658</v>
      </c>
    </row>
    <row r="427" spans="9:23" ht="14.4" x14ac:dyDescent="0.3">
      <c r="I427"/>
      <c r="J427"/>
      <c r="W427" s="85">
        <v>42659</v>
      </c>
    </row>
    <row r="428" spans="9:23" ht="14.4" x14ac:dyDescent="0.3">
      <c r="I428"/>
      <c r="J428"/>
      <c r="W428" s="85">
        <v>42665</v>
      </c>
    </row>
    <row r="429" spans="9:23" ht="14.4" x14ac:dyDescent="0.3">
      <c r="I429"/>
      <c r="J429"/>
      <c r="W429" s="85">
        <v>42666</v>
      </c>
    </row>
    <row r="430" spans="9:23" ht="14.4" x14ac:dyDescent="0.3">
      <c r="I430"/>
      <c r="J430"/>
      <c r="W430" s="85">
        <v>42672</v>
      </c>
    </row>
    <row r="431" spans="9:23" ht="14.4" x14ac:dyDescent="0.3">
      <c r="I431"/>
      <c r="J431"/>
      <c r="W431" s="85">
        <v>42673</v>
      </c>
    </row>
    <row r="432" spans="9:23" ht="14.4" x14ac:dyDescent="0.3">
      <c r="I432"/>
      <c r="J432"/>
      <c r="W432" s="85">
        <v>42679</v>
      </c>
    </row>
    <row r="433" spans="9:23" ht="14.4" x14ac:dyDescent="0.3">
      <c r="I433"/>
      <c r="J433"/>
      <c r="W433" s="85">
        <v>42680</v>
      </c>
    </row>
    <row r="434" spans="9:23" ht="14.4" x14ac:dyDescent="0.3">
      <c r="I434"/>
      <c r="J434"/>
      <c r="W434" s="85">
        <v>42686</v>
      </c>
    </row>
    <row r="435" spans="9:23" ht="14.4" x14ac:dyDescent="0.3">
      <c r="I435"/>
      <c r="J435"/>
      <c r="W435" s="85">
        <v>42687</v>
      </c>
    </row>
    <row r="436" spans="9:23" ht="14.4" x14ac:dyDescent="0.3">
      <c r="I436"/>
      <c r="J436"/>
      <c r="W436" s="85">
        <v>42693</v>
      </c>
    </row>
    <row r="437" spans="9:23" ht="14.4" x14ac:dyDescent="0.3">
      <c r="I437"/>
      <c r="J437"/>
      <c r="W437" s="85">
        <v>42694</v>
      </c>
    </row>
    <row r="438" spans="9:23" ht="14.4" x14ac:dyDescent="0.3">
      <c r="I438"/>
      <c r="J438"/>
      <c r="W438" s="85">
        <v>42700</v>
      </c>
    </row>
    <row r="439" spans="9:23" ht="14.4" x14ac:dyDescent="0.3">
      <c r="I439"/>
      <c r="J439"/>
      <c r="W439" s="85">
        <v>42701</v>
      </c>
    </row>
    <row r="440" spans="9:23" ht="14.4" x14ac:dyDescent="0.3">
      <c r="I440"/>
      <c r="J440"/>
      <c r="W440" s="85">
        <v>42707</v>
      </c>
    </row>
    <row r="441" spans="9:23" ht="14.4" x14ac:dyDescent="0.3">
      <c r="I441"/>
      <c r="J441"/>
      <c r="W441" s="85">
        <v>42708</v>
      </c>
    </row>
    <row r="442" spans="9:23" ht="14.4" x14ac:dyDescent="0.3">
      <c r="I442"/>
      <c r="J442"/>
      <c r="W442" s="85">
        <v>42714</v>
      </c>
    </row>
    <row r="443" spans="9:23" ht="14.4" x14ac:dyDescent="0.3">
      <c r="I443"/>
      <c r="J443"/>
      <c r="W443" s="85">
        <v>42715</v>
      </c>
    </row>
    <row r="444" spans="9:23" ht="14.4" x14ac:dyDescent="0.3">
      <c r="I444"/>
      <c r="J444"/>
      <c r="W444" s="85">
        <v>42721</v>
      </c>
    </row>
    <row r="445" spans="9:23" ht="14.4" x14ac:dyDescent="0.3">
      <c r="I445"/>
      <c r="J445"/>
      <c r="W445" s="85">
        <v>42722</v>
      </c>
    </row>
    <row r="446" spans="9:23" ht="14.4" x14ac:dyDescent="0.3">
      <c r="I446"/>
      <c r="J446"/>
      <c r="W446" s="85">
        <v>42728</v>
      </c>
    </row>
    <row r="447" spans="9:23" ht="14.4" x14ac:dyDescent="0.3">
      <c r="I447"/>
      <c r="J447"/>
      <c r="W447" s="85">
        <v>42729</v>
      </c>
    </row>
    <row r="448" spans="9:23" ht="14.4" x14ac:dyDescent="0.3">
      <c r="I448"/>
      <c r="J448"/>
      <c r="W448" s="85">
        <v>42730</v>
      </c>
    </row>
    <row r="449" spans="9:23" ht="14.4" x14ac:dyDescent="0.3">
      <c r="I449"/>
      <c r="J449"/>
      <c r="W449" s="85">
        <v>42735</v>
      </c>
    </row>
    <row r="450" spans="9:23" ht="14.4" x14ac:dyDescent="0.3">
      <c r="I450"/>
      <c r="J450"/>
      <c r="W450" s="85">
        <v>42736</v>
      </c>
    </row>
    <row r="451" spans="9:23" ht="14.4" x14ac:dyDescent="0.3">
      <c r="I451"/>
      <c r="J451"/>
      <c r="W451" s="85">
        <v>42742</v>
      </c>
    </row>
    <row r="452" spans="9:23" ht="14.4" x14ac:dyDescent="0.3">
      <c r="I452"/>
      <c r="J452"/>
      <c r="W452" s="85">
        <v>42743</v>
      </c>
    </row>
    <row r="453" spans="9:23" ht="14.4" x14ac:dyDescent="0.3">
      <c r="I453"/>
      <c r="J453"/>
      <c r="W453" s="85">
        <v>42749</v>
      </c>
    </row>
    <row r="454" spans="9:23" ht="14.4" x14ac:dyDescent="0.3">
      <c r="I454"/>
      <c r="J454"/>
      <c r="W454" s="85">
        <v>42750</v>
      </c>
    </row>
    <row r="455" spans="9:23" ht="14.4" x14ac:dyDescent="0.3">
      <c r="I455"/>
      <c r="J455"/>
      <c r="W455" s="85">
        <v>42756</v>
      </c>
    </row>
    <row r="456" spans="9:23" ht="14.4" x14ac:dyDescent="0.3">
      <c r="I456"/>
      <c r="J456"/>
      <c r="W456" s="85">
        <v>42757</v>
      </c>
    </row>
    <row r="457" spans="9:23" ht="14.4" x14ac:dyDescent="0.3">
      <c r="I457"/>
      <c r="J457"/>
      <c r="W457" s="85">
        <v>42763</v>
      </c>
    </row>
    <row r="458" spans="9:23" ht="14.4" x14ac:dyDescent="0.3">
      <c r="I458"/>
      <c r="J458"/>
      <c r="W458" s="85">
        <v>42764</v>
      </c>
    </row>
    <row r="459" spans="9:23" ht="14.4" x14ac:dyDescent="0.3">
      <c r="I459"/>
      <c r="J459"/>
      <c r="W459" s="85">
        <v>42770</v>
      </c>
    </row>
    <row r="460" spans="9:23" ht="14.4" x14ac:dyDescent="0.3">
      <c r="I460"/>
      <c r="J460"/>
      <c r="W460" s="85">
        <v>42771</v>
      </c>
    </row>
    <row r="461" spans="9:23" ht="14.4" x14ac:dyDescent="0.3">
      <c r="I461"/>
      <c r="J461"/>
      <c r="W461" s="85">
        <v>42777</v>
      </c>
    </row>
    <row r="462" spans="9:23" ht="14.4" x14ac:dyDescent="0.3">
      <c r="I462"/>
      <c r="J462"/>
      <c r="W462" s="85">
        <v>42778</v>
      </c>
    </row>
    <row r="463" spans="9:23" ht="14.4" x14ac:dyDescent="0.3">
      <c r="I463"/>
      <c r="J463"/>
      <c r="W463" s="85">
        <v>42784</v>
      </c>
    </row>
    <row r="464" spans="9:23" ht="14.4" x14ac:dyDescent="0.3">
      <c r="I464"/>
      <c r="J464"/>
      <c r="W464" s="85">
        <v>42785</v>
      </c>
    </row>
    <row r="465" spans="9:23" ht="14.4" x14ac:dyDescent="0.3">
      <c r="I465"/>
      <c r="J465"/>
      <c r="W465" s="85">
        <v>42791</v>
      </c>
    </row>
    <row r="466" spans="9:23" ht="14.4" x14ac:dyDescent="0.3">
      <c r="I466"/>
      <c r="J466"/>
      <c r="W466" s="85">
        <v>42792</v>
      </c>
    </row>
    <row r="467" spans="9:23" ht="14.4" x14ac:dyDescent="0.3">
      <c r="I467"/>
      <c r="J467"/>
      <c r="W467" s="85">
        <v>42798</v>
      </c>
    </row>
    <row r="468" spans="9:23" ht="14.4" x14ac:dyDescent="0.3">
      <c r="I468"/>
      <c r="J468"/>
      <c r="W468" s="85">
        <v>42799</v>
      </c>
    </row>
    <row r="469" spans="9:23" ht="14.4" x14ac:dyDescent="0.3">
      <c r="I469"/>
      <c r="J469"/>
      <c r="W469" s="85">
        <v>42805</v>
      </c>
    </row>
    <row r="470" spans="9:23" ht="14.4" x14ac:dyDescent="0.3">
      <c r="I470"/>
      <c r="J470"/>
      <c r="W470" s="85">
        <v>42806</v>
      </c>
    </row>
    <row r="471" spans="9:23" ht="14.4" x14ac:dyDescent="0.3">
      <c r="I471"/>
      <c r="J471"/>
      <c r="W471" s="85">
        <v>42812</v>
      </c>
    </row>
    <row r="472" spans="9:23" ht="14.4" x14ac:dyDescent="0.3">
      <c r="I472"/>
      <c r="J472"/>
      <c r="W472" s="85">
        <v>42813</v>
      </c>
    </row>
    <row r="473" spans="9:23" ht="14.4" x14ac:dyDescent="0.3">
      <c r="I473"/>
      <c r="J473"/>
      <c r="W473" s="85">
        <v>42819</v>
      </c>
    </row>
    <row r="474" spans="9:23" ht="14.4" x14ac:dyDescent="0.3">
      <c r="I474"/>
      <c r="J474"/>
      <c r="W474" s="85">
        <v>42820</v>
      </c>
    </row>
    <row r="475" spans="9:23" ht="14.4" x14ac:dyDescent="0.3">
      <c r="I475"/>
      <c r="J475"/>
      <c r="W475" s="85">
        <v>42826</v>
      </c>
    </row>
    <row r="476" spans="9:23" ht="14.4" x14ac:dyDescent="0.3">
      <c r="I476"/>
      <c r="J476"/>
      <c r="W476" s="85">
        <v>42827</v>
      </c>
    </row>
    <row r="477" spans="9:23" ht="14.4" x14ac:dyDescent="0.3">
      <c r="I477"/>
      <c r="J477"/>
      <c r="W477" s="85">
        <v>42833</v>
      </c>
    </row>
    <row r="478" spans="9:23" ht="14.4" x14ac:dyDescent="0.3">
      <c r="I478"/>
      <c r="J478"/>
      <c r="W478" s="85">
        <v>42834</v>
      </c>
    </row>
    <row r="479" spans="9:23" ht="14.4" x14ac:dyDescent="0.3">
      <c r="I479"/>
      <c r="J479"/>
      <c r="W479" s="85">
        <v>42839</v>
      </c>
    </row>
    <row r="480" spans="9:23" ht="14.4" x14ac:dyDescent="0.3">
      <c r="I480"/>
      <c r="J480"/>
      <c r="W480" s="85">
        <v>42840</v>
      </c>
    </row>
    <row r="481" spans="9:23" ht="14.4" x14ac:dyDescent="0.3">
      <c r="I481"/>
      <c r="J481"/>
      <c r="W481" s="85">
        <v>42841</v>
      </c>
    </row>
    <row r="482" spans="9:23" ht="14.4" x14ac:dyDescent="0.3">
      <c r="I482"/>
      <c r="J482"/>
      <c r="W482" s="85">
        <v>42842</v>
      </c>
    </row>
    <row r="483" spans="9:23" ht="14.4" x14ac:dyDescent="0.3">
      <c r="I483"/>
      <c r="J483"/>
      <c r="W483" s="85">
        <v>42847</v>
      </c>
    </row>
    <row r="484" spans="9:23" ht="14.4" x14ac:dyDescent="0.3">
      <c r="I484"/>
      <c r="J484"/>
      <c r="W484" s="85">
        <v>42848</v>
      </c>
    </row>
    <row r="485" spans="9:23" ht="14.4" x14ac:dyDescent="0.3">
      <c r="I485"/>
      <c r="J485"/>
      <c r="W485" s="85">
        <v>42854</v>
      </c>
    </row>
    <row r="486" spans="9:23" ht="14.4" x14ac:dyDescent="0.3">
      <c r="I486"/>
      <c r="J486"/>
      <c r="W486" s="85">
        <v>42855</v>
      </c>
    </row>
    <row r="487" spans="9:23" ht="14.4" x14ac:dyDescent="0.3">
      <c r="I487"/>
      <c r="J487"/>
      <c r="W487" s="85">
        <v>42856</v>
      </c>
    </row>
    <row r="488" spans="9:23" ht="14.4" x14ac:dyDescent="0.3">
      <c r="I488"/>
      <c r="J488"/>
      <c r="W488" s="85">
        <v>42861</v>
      </c>
    </row>
    <row r="489" spans="9:23" ht="14.4" x14ac:dyDescent="0.3">
      <c r="I489"/>
      <c r="J489"/>
      <c r="W489" s="85">
        <v>42862</v>
      </c>
    </row>
    <row r="490" spans="9:23" ht="14.4" x14ac:dyDescent="0.3">
      <c r="I490"/>
      <c r="J490"/>
      <c r="W490" s="85">
        <v>42868</v>
      </c>
    </row>
    <row r="491" spans="9:23" ht="14.4" x14ac:dyDescent="0.3">
      <c r="I491"/>
      <c r="J491"/>
      <c r="W491" s="85">
        <v>42869</v>
      </c>
    </row>
    <row r="492" spans="9:23" ht="14.4" x14ac:dyDescent="0.3">
      <c r="I492"/>
      <c r="J492"/>
      <c r="W492" s="85">
        <v>42875</v>
      </c>
    </row>
    <row r="493" spans="9:23" ht="14.4" x14ac:dyDescent="0.3">
      <c r="I493"/>
      <c r="J493"/>
      <c r="W493" s="85">
        <v>42876</v>
      </c>
    </row>
    <row r="494" spans="9:23" ht="14.4" x14ac:dyDescent="0.3">
      <c r="I494"/>
      <c r="J494"/>
      <c r="W494" s="85">
        <v>42882</v>
      </c>
    </row>
    <row r="495" spans="9:23" ht="14.4" x14ac:dyDescent="0.3">
      <c r="I495"/>
      <c r="J495"/>
      <c r="W495" s="85">
        <v>42883</v>
      </c>
    </row>
    <row r="496" spans="9:23" ht="14.4" x14ac:dyDescent="0.3">
      <c r="I496"/>
      <c r="J496"/>
      <c r="W496" s="85">
        <v>42889</v>
      </c>
    </row>
    <row r="497" spans="9:23" ht="14.4" x14ac:dyDescent="0.3">
      <c r="I497"/>
      <c r="J497"/>
      <c r="W497" s="85">
        <v>42890</v>
      </c>
    </row>
    <row r="498" spans="9:23" ht="14.4" x14ac:dyDescent="0.3">
      <c r="I498"/>
      <c r="J498"/>
      <c r="W498" s="85">
        <v>42896</v>
      </c>
    </row>
    <row r="499" spans="9:23" ht="14.4" x14ac:dyDescent="0.3">
      <c r="I499"/>
      <c r="J499"/>
      <c r="W499" s="85">
        <v>42897</v>
      </c>
    </row>
    <row r="500" spans="9:23" ht="14.4" x14ac:dyDescent="0.3">
      <c r="I500"/>
      <c r="J500"/>
      <c r="W500" s="85">
        <v>42903</v>
      </c>
    </row>
    <row r="501" spans="9:23" ht="14.4" x14ac:dyDescent="0.3">
      <c r="I501"/>
      <c r="J501"/>
      <c r="W501" s="85">
        <v>42904</v>
      </c>
    </row>
    <row r="502" spans="9:23" ht="14.4" x14ac:dyDescent="0.3">
      <c r="I502"/>
      <c r="J502"/>
      <c r="W502" s="85">
        <v>42910</v>
      </c>
    </row>
    <row r="503" spans="9:23" ht="14.4" x14ac:dyDescent="0.3">
      <c r="I503"/>
      <c r="J503"/>
      <c r="W503" s="85">
        <v>42911</v>
      </c>
    </row>
    <row r="504" spans="9:23" ht="14.4" x14ac:dyDescent="0.3">
      <c r="I504"/>
      <c r="J504"/>
      <c r="W504" s="85">
        <v>42917</v>
      </c>
    </row>
    <row r="505" spans="9:23" ht="14.4" x14ac:dyDescent="0.3">
      <c r="I505"/>
      <c r="J505"/>
      <c r="W505" s="85">
        <v>42918</v>
      </c>
    </row>
    <row r="506" spans="9:23" ht="14.4" x14ac:dyDescent="0.3">
      <c r="I506"/>
      <c r="J506"/>
      <c r="W506" s="85">
        <v>42924</v>
      </c>
    </row>
    <row r="507" spans="9:23" ht="14.4" x14ac:dyDescent="0.3">
      <c r="I507"/>
      <c r="J507"/>
      <c r="W507" s="85">
        <v>42925</v>
      </c>
    </row>
    <row r="508" spans="9:23" ht="14.4" x14ac:dyDescent="0.3">
      <c r="I508"/>
      <c r="J508"/>
      <c r="W508" s="85">
        <v>42931</v>
      </c>
    </row>
    <row r="509" spans="9:23" ht="14.4" x14ac:dyDescent="0.3">
      <c r="I509"/>
      <c r="J509"/>
      <c r="W509" s="85">
        <v>42932</v>
      </c>
    </row>
    <row r="510" spans="9:23" ht="14.4" x14ac:dyDescent="0.3">
      <c r="I510"/>
      <c r="J510"/>
      <c r="W510" s="85">
        <v>42938</v>
      </c>
    </row>
    <row r="511" spans="9:23" ht="14.4" x14ac:dyDescent="0.3">
      <c r="I511"/>
      <c r="J511"/>
      <c r="W511" s="85">
        <v>42939</v>
      </c>
    </row>
    <row r="512" spans="9:23" ht="14.4" x14ac:dyDescent="0.3">
      <c r="I512"/>
      <c r="J512"/>
      <c r="W512" s="85">
        <v>42945</v>
      </c>
    </row>
    <row r="513" spans="9:23" ht="14.4" x14ac:dyDescent="0.3">
      <c r="I513"/>
      <c r="J513"/>
      <c r="W513" s="85">
        <v>42946</v>
      </c>
    </row>
    <row r="514" spans="9:23" ht="14.4" x14ac:dyDescent="0.3">
      <c r="I514"/>
      <c r="J514"/>
      <c r="W514" s="85">
        <v>42952</v>
      </c>
    </row>
    <row r="515" spans="9:23" ht="14.4" x14ac:dyDescent="0.3">
      <c r="I515"/>
      <c r="J515"/>
      <c r="W515" s="85">
        <v>42953</v>
      </c>
    </row>
    <row r="516" spans="9:23" ht="14.4" x14ac:dyDescent="0.3">
      <c r="I516"/>
      <c r="J516"/>
      <c r="W516" s="85">
        <v>42959</v>
      </c>
    </row>
    <row r="517" spans="9:23" ht="14.4" x14ac:dyDescent="0.3">
      <c r="I517"/>
      <c r="J517"/>
      <c r="W517" s="85">
        <v>42960</v>
      </c>
    </row>
    <row r="518" spans="9:23" ht="14.4" x14ac:dyDescent="0.3">
      <c r="I518"/>
      <c r="J518"/>
      <c r="W518" s="85">
        <v>42966</v>
      </c>
    </row>
    <row r="519" spans="9:23" ht="14.4" x14ac:dyDescent="0.3">
      <c r="I519"/>
      <c r="J519"/>
      <c r="W519" s="85">
        <v>42967</v>
      </c>
    </row>
    <row r="520" spans="9:23" ht="14.4" x14ac:dyDescent="0.3">
      <c r="I520"/>
      <c r="J520"/>
      <c r="W520" s="85">
        <v>42973</v>
      </c>
    </row>
    <row r="521" spans="9:23" ht="14.4" x14ac:dyDescent="0.3">
      <c r="I521"/>
      <c r="J521"/>
      <c r="W521" s="85">
        <v>42974</v>
      </c>
    </row>
    <row r="522" spans="9:23" ht="14.4" x14ac:dyDescent="0.3">
      <c r="I522"/>
      <c r="J522"/>
      <c r="W522" s="85">
        <v>42980</v>
      </c>
    </row>
    <row r="523" spans="9:23" ht="14.4" x14ac:dyDescent="0.3">
      <c r="I523"/>
      <c r="J523"/>
      <c r="W523" s="85">
        <v>42981</v>
      </c>
    </row>
    <row r="524" spans="9:23" ht="14.4" x14ac:dyDescent="0.3">
      <c r="I524"/>
      <c r="J524"/>
      <c r="W524" s="85">
        <v>42987</v>
      </c>
    </row>
    <row r="525" spans="9:23" ht="14.4" x14ac:dyDescent="0.3">
      <c r="I525"/>
      <c r="J525"/>
      <c r="W525" s="85">
        <v>42988</v>
      </c>
    </row>
    <row r="526" spans="9:23" ht="14.4" x14ac:dyDescent="0.3">
      <c r="I526"/>
      <c r="J526"/>
      <c r="W526" s="85">
        <v>42994</v>
      </c>
    </row>
    <row r="527" spans="9:23" ht="14.4" x14ac:dyDescent="0.3">
      <c r="I527"/>
      <c r="J527"/>
      <c r="W527" s="85">
        <v>42995</v>
      </c>
    </row>
    <row r="528" spans="9:23" ht="14.4" x14ac:dyDescent="0.3">
      <c r="I528"/>
      <c r="J528"/>
      <c r="W528" s="85">
        <v>43001</v>
      </c>
    </row>
    <row r="529" spans="9:23" ht="14.4" x14ac:dyDescent="0.3">
      <c r="I529"/>
      <c r="J529"/>
      <c r="W529" s="85">
        <v>43002</v>
      </c>
    </row>
    <row r="530" spans="9:23" ht="14.4" x14ac:dyDescent="0.3">
      <c r="I530"/>
      <c r="J530"/>
      <c r="W530" s="85">
        <v>43008</v>
      </c>
    </row>
    <row r="531" spans="9:23" ht="14.4" x14ac:dyDescent="0.3">
      <c r="I531"/>
      <c r="J531"/>
      <c r="W531" s="85">
        <v>43009</v>
      </c>
    </row>
    <row r="532" spans="9:23" ht="14.4" x14ac:dyDescent="0.3">
      <c r="I532"/>
      <c r="J532"/>
      <c r="W532" s="85">
        <v>43015</v>
      </c>
    </row>
    <row r="533" spans="9:23" ht="14.4" x14ac:dyDescent="0.3">
      <c r="I533"/>
      <c r="J533"/>
      <c r="W533" s="85">
        <v>43016</v>
      </c>
    </row>
    <row r="534" spans="9:23" ht="14.4" x14ac:dyDescent="0.3">
      <c r="I534"/>
      <c r="J534"/>
      <c r="W534" s="85">
        <v>43022</v>
      </c>
    </row>
    <row r="535" spans="9:23" ht="14.4" x14ac:dyDescent="0.3">
      <c r="I535"/>
      <c r="J535"/>
      <c r="W535" s="85">
        <v>43023</v>
      </c>
    </row>
    <row r="536" spans="9:23" ht="14.4" x14ac:dyDescent="0.3">
      <c r="I536"/>
      <c r="J536"/>
      <c r="W536" s="85">
        <v>43029</v>
      </c>
    </row>
    <row r="537" spans="9:23" ht="14.4" x14ac:dyDescent="0.3">
      <c r="I537"/>
      <c r="J537"/>
      <c r="W537" s="85">
        <v>43030</v>
      </c>
    </row>
    <row r="538" spans="9:23" ht="14.4" x14ac:dyDescent="0.3">
      <c r="I538"/>
      <c r="J538"/>
      <c r="W538" s="85">
        <v>43036</v>
      </c>
    </row>
    <row r="539" spans="9:23" ht="14.4" x14ac:dyDescent="0.3">
      <c r="I539"/>
      <c r="J539"/>
      <c r="W539" s="85">
        <v>43037</v>
      </c>
    </row>
    <row r="540" spans="9:23" ht="14.4" x14ac:dyDescent="0.3">
      <c r="I540"/>
      <c r="J540"/>
      <c r="W540" s="85">
        <v>43043</v>
      </c>
    </row>
    <row r="541" spans="9:23" ht="14.4" x14ac:dyDescent="0.3">
      <c r="I541"/>
      <c r="J541"/>
      <c r="W541" s="85">
        <v>43044</v>
      </c>
    </row>
    <row r="542" spans="9:23" ht="14.4" x14ac:dyDescent="0.3">
      <c r="I542"/>
      <c r="J542"/>
      <c r="W542" s="85">
        <v>43050</v>
      </c>
    </row>
    <row r="543" spans="9:23" ht="14.4" x14ac:dyDescent="0.3">
      <c r="I543"/>
      <c r="J543"/>
      <c r="W543" s="85">
        <v>43051</v>
      </c>
    </row>
    <row r="544" spans="9:23" ht="14.4" x14ac:dyDescent="0.3">
      <c r="I544"/>
      <c r="J544"/>
      <c r="W544" s="85">
        <v>43057</v>
      </c>
    </row>
    <row r="545" spans="9:23" ht="14.4" x14ac:dyDescent="0.3">
      <c r="I545"/>
      <c r="J545"/>
      <c r="W545" s="85">
        <v>43058</v>
      </c>
    </row>
    <row r="546" spans="9:23" ht="14.4" x14ac:dyDescent="0.3">
      <c r="I546"/>
      <c r="J546"/>
      <c r="W546" s="85">
        <v>43064</v>
      </c>
    </row>
    <row r="547" spans="9:23" ht="14.4" x14ac:dyDescent="0.3">
      <c r="I547"/>
      <c r="J547"/>
      <c r="W547" s="85">
        <v>43065</v>
      </c>
    </row>
    <row r="548" spans="9:23" ht="14.4" x14ac:dyDescent="0.3">
      <c r="I548"/>
      <c r="J548"/>
      <c r="W548" s="85">
        <v>43071</v>
      </c>
    </row>
    <row r="549" spans="9:23" ht="14.4" x14ac:dyDescent="0.3">
      <c r="I549"/>
      <c r="J549"/>
      <c r="W549" s="85">
        <v>43072</v>
      </c>
    </row>
    <row r="550" spans="9:23" ht="14.4" x14ac:dyDescent="0.3">
      <c r="I550"/>
      <c r="J550"/>
      <c r="W550" s="85">
        <v>43078</v>
      </c>
    </row>
    <row r="551" spans="9:23" ht="14.4" x14ac:dyDescent="0.3">
      <c r="I551"/>
      <c r="J551"/>
      <c r="W551" s="85">
        <v>43079</v>
      </c>
    </row>
    <row r="552" spans="9:23" ht="14.4" x14ac:dyDescent="0.3">
      <c r="I552"/>
      <c r="J552"/>
      <c r="W552" s="85">
        <v>43085</v>
      </c>
    </row>
    <row r="553" spans="9:23" ht="14.4" x14ac:dyDescent="0.3">
      <c r="I553"/>
      <c r="J553"/>
      <c r="W553" s="85">
        <v>43086</v>
      </c>
    </row>
    <row r="554" spans="9:23" ht="14.4" x14ac:dyDescent="0.3">
      <c r="I554"/>
      <c r="J554"/>
      <c r="W554" s="85">
        <v>43092</v>
      </c>
    </row>
    <row r="555" spans="9:23" ht="14.4" x14ac:dyDescent="0.3">
      <c r="I555"/>
      <c r="J555"/>
      <c r="W555" s="85">
        <v>43093</v>
      </c>
    </row>
    <row r="556" spans="9:23" ht="14.4" x14ac:dyDescent="0.3">
      <c r="I556"/>
      <c r="J556"/>
      <c r="W556" s="85">
        <v>43094</v>
      </c>
    </row>
    <row r="557" spans="9:23" ht="14.4" x14ac:dyDescent="0.3">
      <c r="I557"/>
      <c r="J557"/>
      <c r="W557" s="85">
        <v>43095</v>
      </c>
    </row>
    <row r="558" spans="9:23" ht="14.4" x14ac:dyDescent="0.3">
      <c r="I558"/>
      <c r="J558"/>
      <c r="W558" s="85">
        <v>43099</v>
      </c>
    </row>
    <row r="559" spans="9:23" ht="14.4" x14ac:dyDescent="0.3">
      <c r="I559"/>
      <c r="J559"/>
      <c r="W559" s="85">
        <v>43100</v>
      </c>
    </row>
    <row r="560" spans="9:23" ht="14.4" x14ac:dyDescent="0.3">
      <c r="I560"/>
      <c r="J560"/>
      <c r="W560" s="85">
        <v>43101</v>
      </c>
    </row>
    <row r="561" spans="9:23" ht="14.4" x14ac:dyDescent="0.3">
      <c r="I561"/>
      <c r="J561"/>
      <c r="W561" s="85">
        <v>43106</v>
      </c>
    </row>
    <row r="562" spans="9:23" ht="14.4" x14ac:dyDescent="0.3">
      <c r="I562"/>
      <c r="J562"/>
      <c r="W562" s="85">
        <v>43107</v>
      </c>
    </row>
    <row r="563" spans="9:23" ht="14.4" x14ac:dyDescent="0.3">
      <c r="I563"/>
      <c r="J563"/>
      <c r="W563" s="85">
        <v>43113</v>
      </c>
    </row>
    <row r="564" spans="9:23" ht="14.4" x14ac:dyDescent="0.3">
      <c r="I564"/>
      <c r="J564"/>
      <c r="W564" s="85">
        <v>43114</v>
      </c>
    </row>
    <row r="565" spans="9:23" ht="14.4" x14ac:dyDescent="0.3">
      <c r="I565"/>
      <c r="J565"/>
      <c r="W565" s="85">
        <v>43120</v>
      </c>
    </row>
    <row r="566" spans="9:23" ht="14.4" x14ac:dyDescent="0.3">
      <c r="I566"/>
      <c r="J566"/>
      <c r="W566" s="85">
        <v>43121</v>
      </c>
    </row>
    <row r="567" spans="9:23" ht="14.4" x14ac:dyDescent="0.3">
      <c r="I567"/>
      <c r="J567"/>
      <c r="W567" s="85">
        <v>43127</v>
      </c>
    </row>
    <row r="568" spans="9:23" ht="14.4" x14ac:dyDescent="0.3">
      <c r="I568"/>
      <c r="J568"/>
      <c r="W568" s="85">
        <v>43128</v>
      </c>
    </row>
    <row r="569" spans="9:23" ht="14.4" x14ac:dyDescent="0.3">
      <c r="I569"/>
      <c r="J569"/>
      <c r="W569" s="85">
        <v>43134</v>
      </c>
    </row>
    <row r="570" spans="9:23" ht="14.4" x14ac:dyDescent="0.3">
      <c r="I570"/>
      <c r="J570"/>
      <c r="W570" s="85">
        <v>43135</v>
      </c>
    </row>
    <row r="571" spans="9:23" ht="14.4" x14ac:dyDescent="0.3">
      <c r="I571"/>
      <c r="J571"/>
      <c r="W571" s="85">
        <v>43141</v>
      </c>
    </row>
    <row r="572" spans="9:23" ht="14.4" x14ac:dyDescent="0.3">
      <c r="I572"/>
      <c r="J572"/>
      <c r="W572" s="85">
        <v>43142</v>
      </c>
    </row>
    <row r="573" spans="9:23" ht="14.4" x14ac:dyDescent="0.3">
      <c r="I573"/>
      <c r="J573"/>
      <c r="W573" s="85">
        <v>43148</v>
      </c>
    </row>
    <row r="574" spans="9:23" ht="14.4" x14ac:dyDescent="0.3">
      <c r="I574"/>
      <c r="J574"/>
      <c r="W574" s="85">
        <v>43149</v>
      </c>
    </row>
    <row r="575" spans="9:23" ht="14.4" x14ac:dyDescent="0.3">
      <c r="I575"/>
      <c r="J575"/>
      <c r="W575" s="85">
        <v>43155</v>
      </c>
    </row>
    <row r="576" spans="9:23" ht="14.4" x14ac:dyDescent="0.3">
      <c r="I576"/>
      <c r="J576"/>
      <c r="W576" s="85">
        <v>43156</v>
      </c>
    </row>
    <row r="577" spans="9:23" ht="14.4" x14ac:dyDescent="0.3">
      <c r="I577"/>
      <c r="J577"/>
      <c r="W577" s="85">
        <v>43162</v>
      </c>
    </row>
    <row r="578" spans="9:23" ht="14.4" x14ac:dyDescent="0.3">
      <c r="I578"/>
      <c r="J578"/>
      <c r="W578" s="85">
        <v>43163</v>
      </c>
    </row>
    <row r="579" spans="9:23" ht="14.4" x14ac:dyDescent="0.3">
      <c r="I579"/>
      <c r="J579"/>
      <c r="W579" s="85">
        <v>43169</v>
      </c>
    </row>
    <row r="580" spans="9:23" ht="14.4" x14ac:dyDescent="0.3">
      <c r="I580"/>
      <c r="J580"/>
      <c r="W580" s="85">
        <v>43170</v>
      </c>
    </row>
    <row r="581" spans="9:23" ht="14.4" x14ac:dyDescent="0.3">
      <c r="I581"/>
      <c r="J581"/>
      <c r="W581" s="85">
        <v>43176</v>
      </c>
    </row>
    <row r="582" spans="9:23" ht="14.4" x14ac:dyDescent="0.3">
      <c r="I582"/>
      <c r="J582"/>
      <c r="W582" s="85">
        <v>43177</v>
      </c>
    </row>
    <row r="583" spans="9:23" ht="14.4" x14ac:dyDescent="0.3">
      <c r="I583"/>
      <c r="J583"/>
      <c r="W583" s="85">
        <v>43183</v>
      </c>
    </row>
    <row r="584" spans="9:23" ht="14.4" x14ac:dyDescent="0.3">
      <c r="I584"/>
      <c r="J584"/>
      <c r="W584" s="85">
        <v>43184</v>
      </c>
    </row>
    <row r="585" spans="9:23" ht="14.4" x14ac:dyDescent="0.3">
      <c r="I585"/>
      <c r="J585"/>
      <c r="W585" s="85">
        <v>43189</v>
      </c>
    </row>
    <row r="586" spans="9:23" ht="14.4" x14ac:dyDescent="0.3">
      <c r="I586"/>
      <c r="J586"/>
      <c r="W586" s="85">
        <v>43190</v>
      </c>
    </row>
    <row r="587" spans="9:23" ht="14.4" x14ac:dyDescent="0.3">
      <c r="I587"/>
      <c r="J587"/>
      <c r="W587" s="85">
        <v>43191</v>
      </c>
    </row>
    <row r="588" spans="9:23" ht="14.4" x14ac:dyDescent="0.3">
      <c r="I588"/>
      <c r="J588"/>
      <c r="W588" s="85">
        <v>43192</v>
      </c>
    </row>
    <row r="589" spans="9:23" ht="14.4" x14ac:dyDescent="0.3">
      <c r="I589"/>
      <c r="J589"/>
      <c r="W589" s="85">
        <v>43197</v>
      </c>
    </row>
    <row r="590" spans="9:23" ht="14.4" x14ac:dyDescent="0.3">
      <c r="I590"/>
      <c r="J590"/>
      <c r="W590" s="85">
        <v>43198</v>
      </c>
    </row>
    <row r="591" spans="9:23" ht="14.4" x14ac:dyDescent="0.3">
      <c r="I591"/>
      <c r="J591"/>
      <c r="W591" s="85">
        <v>43204</v>
      </c>
    </row>
    <row r="592" spans="9:23" ht="14.4" x14ac:dyDescent="0.3">
      <c r="I592"/>
      <c r="J592"/>
      <c r="W592" s="85">
        <v>43205</v>
      </c>
    </row>
    <row r="593" spans="9:23" ht="14.4" x14ac:dyDescent="0.3">
      <c r="I593"/>
      <c r="J593"/>
      <c r="W593" s="85">
        <v>43211</v>
      </c>
    </row>
    <row r="594" spans="9:23" ht="14.4" x14ac:dyDescent="0.3">
      <c r="I594"/>
      <c r="J594"/>
      <c r="W594" s="85">
        <v>43212</v>
      </c>
    </row>
    <row r="595" spans="9:23" ht="14.4" x14ac:dyDescent="0.3">
      <c r="I595"/>
      <c r="J595"/>
      <c r="W595" s="85">
        <v>43218</v>
      </c>
    </row>
    <row r="596" spans="9:23" ht="14.4" x14ac:dyDescent="0.3">
      <c r="I596"/>
      <c r="J596"/>
      <c r="W596" s="85">
        <v>43219</v>
      </c>
    </row>
    <row r="597" spans="9:23" ht="14.4" x14ac:dyDescent="0.3">
      <c r="I597"/>
      <c r="J597"/>
      <c r="W597" s="85">
        <v>43221</v>
      </c>
    </row>
    <row r="598" spans="9:23" ht="14.4" x14ac:dyDescent="0.3">
      <c r="I598"/>
      <c r="J598"/>
      <c r="W598" s="85">
        <v>43225</v>
      </c>
    </row>
    <row r="599" spans="9:23" ht="14.4" x14ac:dyDescent="0.3">
      <c r="I599"/>
      <c r="J599"/>
      <c r="W599" s="85">
        <v>43226</v>
      </c>
    </row>
    <row r="600" spans="9:23" ht="14.4" x14ac:dyDescent="0.3">
      <c r="I600"/>
      <c r="J600"/>
      <c r="W600" s="85">
        <v>43232</v>
      </c>
    </row>
    <row r="601" spans="9:23" ht="14.4" x14ac:dyDescent="0.3">
      <c r="I601"/>
      <c r="J601"/>
      <c r="W601" s="85">
        <v>43233</v>
      </c>
    </row>
    <row r="602" spans="9:23" ht="14.4" x14ac:dyDescent="0.3">
      <c r="I602"/>
      <c r="J602"/>
      <c r="W602" s="85">
        <v>43239</v>
      </c>
    </row>
    <row r="603" spans="9:23" ht="14.4" x14ac:dyDescent="0.3">
      <c r="I603"/>
      <c r="J603"/>
      <c r="W603" s="85">
        <v>43240</v>
      </c>
    </row>
    <row r="604" spans="9:23" ht="14.4" x14ac:dyDescent="0.3">
      <c r="I604"/>
      <c r="J604"/>
      <c r="W604" s="85">
        <v>43246</v>
      </c>
    </row>
    <row r="605" spans="9:23" ht="14.4" x14ac:dyDescent="0.3">
      <c r="I605"/>
      <c r="J605"/>
      <c r="W605" s="85">
        <v>43247</v>
      </c>
    </row>
    <row r="606" spans="9:23" ht="14.4" x14ac:dyDescent="0.3">
      <c r="I606"/>
      <c r="J606"/>
      <c r="W606" s="85">
        <v>43253</v>
      </c>
    </row>
    <row r="607" spans="9:23" ht="14.4" x14ac:dyDescent="0.3">
      <c r="I607"/>
      <c r="J607"/>
      <c r="W607" s="85">
        <v>43254</v>
      </c>
    </row>
    <row r="608" spans="9:23" ht="14.4" x14ac:dyDescent="0.3">
      <c r="I608"/>
      <c r="J608"/>
      <c r="W608" s="85">
        <v>43260</v>
      </c>
    </row>
    <row r="609" spans="9:23" ht="14.4" x14ac:dyDescent="0.3">
      <c r="I609"/>
      <c r="J609"/>
      <c r="W609" s="85">
        <v>43261</v>
      </c>
    </row>
    <row r="610" spans="9:23" ht="14.4" x14ac:dyDescent="0.3">
      <c r="I610"/>
      <c r="J610"/>
      <c r="W610" s="85">
        <v>43267</v>
      </c>
    </row>
    <row r="611" spans="9:23" ht="14.4" x14ac:dyDescent="0.3">
      <c r="I611"/>
      <c r="J611"/>
      <c r="W611" s="85">
        <v>43268</v>
      </c>
    </row>
    <row r="612" spans="9:23" ht="14.4" x14ac:dyDescent="0.3">
      <c r="I612"/>
      <c r="J612"/>
      <c r="W612" s="85">
        <v>43274</v>
      </c>
    </row>
    <row r="613" spans="9:23" ht="14.4" x14ac:dyDescent="0.3">
      <c r="I613"/>
      <c r="J613"/>
      <c r="W613" s="85">
        <v>43275</v>
      </c>
    </row>
    <row r="614" spans="9:23" ht="14.4" x14ac:dyDescent="0.3">
      <c r="I614"/>
      <c r="J614"/>
      <c r="W614" s="85">
        <v>43281</v>
      </c>
    </row>
    <row r="615" spans="9:23" ht="14.4" x14ac:dyDescent="0.3">
      <c r="I615"/>
      <c r="J615"/>
      <c r="W615" s="85">
        <v>43282</v>
      </c>
    </row>
    <row r="616" spans="9:23" ht="14.4" x14ac:dyDescent="0.3">
      <c r="I616"/>
      <c r="J616"/>
      <c r="W616" s="85">
        <v>43288</v>
      </c>
    </row>
    <row r="617" spans="9:23" ht="14.4" x14ac:dyDescent="0.3">
      <c r="I617"/>
      <c r="J617"/>
      <c r="W617" s="85">
        <v>43289</v>
      </c>
    </row>
    <row r="618" spans="9:23" ht="14.4" x14ac:dyDescent="0.3">
      <c r="I618"/>
      <c r="J618"/>
      <c r="W618" s="85">
        <v>43295</v>
      </c>
    </row>
    <row r="619" spans="9:23" ht="14.4" x14ac:dyDescent="0.3">
      <c r="I619"/>
      <c r="J619"/>
      <c r="W619" s="85">
        <v>43296</v>
      </c>
    </row>
    <row r="620" spans="9:23" ht="14.4" x14ac:dyDescent="0.3">
      <c r="I620"/>
      <c r="J620"/>
      <c r="W620" s="85">
        <v>43302</v>
      </c>
    </row>
    <row r="621" spans="9:23" ht="14.4" x14ac:dyDescent="0.3">
      <c r="I621"/>
      <c r="J621"/>
      <c r="W621" s="85">
        <v>43303</v>
      </c>
    </row>
    <row r="622" spans="9:23" ht="14.4" x14ac:dyDescent="0.3">
      <c r="I622"/>
      <c r="J622"/>
      <c r="W622" s="85">
        <v>43309</v>
      </c>
    </row>
    <row r="623" spans="9:23" ht="14.4" x14ac:dyDescent="0.3">
      <c r="I623"/>
      <c r="J623"/>
      <c r="W623" s="85">
        <v>43310</v>
      </c>
    </row>
    <row r="624" spans="9:23" ht="14.4" x14ac:dyDescent="0.3">
      <c r="I624"/>
      <c r="J624"/>
      <c r="W624" s="85">
        <v>43316</v>
      </c>
    </row>
    <row r="625" spans="9:23" ht="14.4" x14ac:dyDescent="0.3">
      <c r="I625"/>
      <c r="J625"/>
      <c r="W625" s="85">
        <v>43317</v>
      </c>
    </row>
    <row r="626" spans="9:23" ht="14.4" x14ac:dyDescent="0.3">
      <c r="I626"/>
      <c r="J626"/>
      <c r="W626" s="85">
        <v>43323</v>
      </c>
    </row>
    <row r="627" spans="9:23" ht="14.4" x14ac:dyDescent="0.3">
      <c r="I627"/>
      <c r="J627"/>
      <c r="W627" s="85">
        <v>43324</v>
      </c>
    </row>
    <row r="628" spans="9:23" ht="14.4" x14ac:dyDescent="0.3">
      <c r="I628"/>
      <c r="J628"/>
      <c r="W628" s="85">
        <v>43330</v>
      </c>
    </row>
    <row r="629" spans="9:23" ht="14.4" x14ac:dyDescent="0.3">
      <c r="I629"/>
      <c r="J629"/>
      <c r="W629" s="85">
        <v>43331</v>
      </c>
    </row>
    <row r="630" spans="9:23" ht="14.4" x14ac:dyDescent="0.3">
      <c r="I630"/>
      <c r="J630"/>
      <c r="W630" s="85">
        <v>43337</v>
      </c>
    </row>
    <row r="631" spans="9:23" ht="14.4" x14ac:dyDescent="0.3">
      <c r="I631"/>
      <c r="J631"/>
      <c r="W631" s="85">
        <v>43338</v>
      </c>
    </row>
    <row r="632" spans="9:23" ht="14.4" x14ac:dyDescent="0.3">
      <c r="I632"/>
      <c r="J632"/>
      <c r="W632" s="85">
        <v>43344</v>
      </c>
    </row>
    <row r="633" spans="9:23" ht="14.4" x14ac:dyDescent="0.3">
      <c r="I633"/>
      <c r="J633"/>
      <c r="W633" s="85">
        <v>43345</v>
      </c>
    </row>
    <row r="634" spans="9:23" ht="14.4" x14ac:dyDescent="0.3">
      <c r="I634"/>
      <c r="J634"/>
      <c r="W634" s="85">
        <v>43351</v>
      </c>
    </row>
    <row r="635" spans="9:23" ht="14.4" x14ac:dyDescent="0.3">
      <c r="I635"/>
      <c r="J635"/>
      <c r="W635" s="85">
        <v>43352</v>
      </c>
    </row>
    <row r="636" spans="9:23" ht="14.4" x14ac:dyDescent="0.3">
      <c r="I636"/>
      <c r="J636"/>
      <c r="W636" s="85">
        <v>43358</v>
      </c>
    </row>
    <row r="637" spans="9:23" ht="14.4" x14ac:dyDescent="0.3">
      <c r="I637"/>
      <c r="J637"/>
      <c r="W637" s="85">
        <v>43359</v>
      </c>
    </row>
    <row r="638" spans="9:23" ht="14.4" x14ac:dyDescent="0.3">
      <c r="I638"/>
      <c r="J638"/>
      <c r="W638" s="85">
        <v>43365</v>
      </c>
    </row>
    <row r="639" spans="9:23" ht="14.4" x14ac:dyDescent="0.3">
      <c r="I639"/>
      <c r="J639"/>
      <c r="W639" s="85">
        <v>43366</v>
      </c>
    </row>
    <row r="640" spans="9:23" ht="14.4" x14ac:dyDescent="0.3">
      <c r="I640"/>
      <c r="J640"/>
      <c r="W640" s="85">
        <v>43372</v>
      </c>
    </row>
    <row r="641" spans="9:23" ht="14.4" x14ac:dyDescent="0.3">
      <c r="I641"/>
      <c r="J641"/>
      <c r="W641" s="85">
        <v>43373</v>
      </c>
    </row>
    <row r="642" spans="9:23" ht="14.4" x14ac:dyDescent="0.3">
      <c r="I642"/>
      <c r="J642"/>
      <c r="W642" s="85">
        <v>43379</v>
      </c>
    </row>
    <row r="643" spans="9:23" ht="14.4" x14ac:dyDescent="0.3">
      <c r="I643"/>
      <c r="J643"/>
      <c r="W643" s="85">
        <v>43380</v>
      </c>
    </row>
    <row r="644" spans="9:23" ht="14.4" x14ac:dyDescent="0.3">
      <c r="I644"/>
      <c r="J644"/>
      <c r="W644" s="85">
        <v>43386</v>
      </c>
    </row>
    <row r="645" spans="9:23" ht="14.4" x14ac:dyDescent="0.3">
      <c r="I645"/>
      <c r="J645"/>
      <c r="W645" s="85">
        <v>43387</v>
      </c>
    </row>
    <row r="646" spans="9:23" ht="14.4" x14ac:dyDescent="0.3">
      <c r="I646"/>
      <c r="J646"/>
      <c r="W646" s="85">
        <v>43393</v>
      </c>
    </row>
    <row r="647" spans="9:23" ht="14.4" x14ac:dyDescent="0.3">
      <c r="I647"/>
      <c r="J647"/>
      <c r="W647" s="85">
        <v>43394</v>
      </c>
    </row>
    <row r="648" spans="9:23" ht="14.4" x14ac:dyDescent="0.3">
      <c r="I648"/>
      <c r="J648"/>
      <c r="W648" s="85">
        <v>43400</v>
      </c>
    </row>
    <row r="649" spans="9:23" ht="14.4" x14ac:dyDescent="0.3">
      <c r="I649"/>
      <c r="J649"/>
      <c r="W649" s="85">
        <v>43401</v>
      </c>
    </row>
    <row r="650" spans="9:23" ht="14.4" x14ac:dyDescent="0.3">
      <c r="I650"/>
      <c r="J650"/>
      <c r="W650" s="85">
        <v>43407</v>
      </c>
    </row>
    <row r="651" spans="9:23" ht="14.4" x14ac:dyDescent="0.3">
      <c r="I651"/>
      <c r="J651"/>
      <c r="W651" s="85">
        <v>43408</v>
      </c>
    </row>
    <row r="652" spans="9:23" ht="14.4" x14ac:dyDescent="0.3">
      <c r="I652"/>
      <c r="J652"/>
      <c r="W652" s="85">
        <v>43414</v>
      </c>
    </row>
    <row r="653" spans="9:23" ht="14.4" x14ac:dyDescent="0.3">
      <c r="I653"/>
      <c r="J653"/>
      <c r="W653" s="85">
        <v>43415</v>
      </c>
    </row>
    <row r="654" spans="9:23" ht="14.4" x14ac:dyDescent="0.3">
      <c r="I654"/>
      <c r="J654"/>
      <c r="W654" s="85">
        <v>43421</v>
      </c>
    </row>
    <row r="655" spans="9:23" ht="14.4" x14ac:dyDescent="0.3">
      <c r="I655"/>
      <c r="J655"/>
      <c r="W655" s="85">
        <v>43422</v>
      </c>
    </row>
    <row r="656" spans="9:23" ht="14.4" x14ac:dyDescent="0.3">
      <c r="I656"/>
      <c r="J656"/>
      <c r="W656" s="85">
        <v>43428</v>
      </c>
    </row>
    <row r="657" spans="9:23" ht="14.4" x14ac:dyDescent="0.3">
      <c r="I657"/>
      <c r="J657"/>
      <c r="W657" s="85">
        <v>43429</v>
      </c>
    </row>
    <row r="658" spans="9:23" ht="14.4" x14ac:dyDescent="0.3">
      <c r="I658"/>
      <c r="J658"/>
      <c r="W658" s="85">
        <v>43435</v>
      </c>
    </row>
    <row r="659" spans="9:23" ht="14.4" x14ac:dyDescent="0.3">
      <c r="I659"/>
      <c r="J659"/>
      <c r="W659" s="85">
        <v>43436</v>
      </c>
    </row>
    <row r="660" spans="9:23" ht="14.4" x14ac:dyDescent="0.3">
      <c r="I660"/>
      <c r="J660"/>
      <c r="W660" s="85">
        <v>43442</v>
      </c>
    </row>
    <row r="661" spans="9:23" ht="14.4" x14ac:dyDescent="0.3">
      <c r="I661"/>
      <c r="J661"/>
      <c r="W661" s="85">
        <v>43443</v>
      </c>
    </row>
    <row r="662" spans="9:23" ht="14.4" x14ac:dyDescent="0.3">
      <c r="I662"/>
      <c r="J662"/>
      <c r="W662" s="85">
        <v>43449</v>
      </c>
    </row>
    <row r="663" spans="9:23" ht="14.4" x14ac:dyDescent="0.3">
      <c r="I663"/>
      <c r="J663"/>
      <c r="W663" s="85">
        <v>43450</v>
      </c>
    </row>
    <row r="664" spans="9:23" ht="14.4" x14ac:dyDescent="0.3">
      <c r="I664"/>
      <c r="J664"/>
      <c r="W664" s="85">
        <v>43456</v>
      </c>
    </row>
    <row r="665" spans="9:23" ht="14.4" x14ac:dyDescent="0.3">
      <c r="I665"/>
      <c r="J665"/>
      <c r="W665" s="85">
        <v>43457</v>
      </c>
    </row>
    <row r="666" spans="9:23" ht="14.4" x14ac:dyDescent="0.3">
      <c r="I666"/>
      <c r="J666"/>
      <c r="W666" s="85">
        <v>43459</v>
      </c>
    </row>
    <row r="667" spans="9:23" ht="14.4" x14ac:dyDescent="0.3">
      <c r="I667"/>
      <c r="J667"/>
      <c r="W667" s="85">
        <v>43460</v>
      </c>
    </row>
    <row r="668" spans="9:23" ht="14.4" x14ac:dyDescent="0.3">
      <c r="I668"/>
      <c r="J668"/>
      <c r="W668" s="85">
        <v>43463</v>
      </c>
    </row>
    <row r="669" spans="9:23" ht="14.4" x14ac:dyDescent="0.3">
      <c r="I669"/>
      <c r="J669"/>
      <c r="W669" s="85">
        <v>43464</v>
      </c>
    </row>
    <row r="670" spans="9:23" ht="14.4" x14ac:dyDescent="0.3">
      <c r="I670"/>
      <c r="J670"/>
      <c r="W670" s="85">
        <v>43466</v>
      </c>
    </row>
    <row r="671" spans="9:23" ht="14.4" x14ac:dyDescent="0.3">
      <c r="I671"/>
      <c r="J671"/>
      <c r="W671" s="85">
        <v>43470</v>
      </c>
    </row>
    <row r="672" spans="9:23" ht="14.4" x14ac:dyDescent="0.3">
      <c r="I672"/>
      <c r="J672"/>
      <c r="W672" s="85">
        <v>43471</v>
      </c>
    </row>
    <row r="673" spans="9:23" ht="14.4" x14ac:dyDescent="0.3">
      <c r="I673"/>
      <c r="J673"/>
      <c r="W673" s="85">
        <v>43477</v>
      </c>
    </row>
    <row r="674" spans="9:23" ht="14.4" x14ac:dyDescent="0.3">
      <c r="I674"/>
      <c r="J674"/>
      <c r="W674" s="85">
        <v>43478</v>
      </c>
    </row>
    <row r="675" spans="9:23" ht="14.4" x14ac:dyDescent="0.3">
      <c r="I675"/>
      <c r="J675"/>
      <c r="W675" s="85">
        <v>43484</v>
      </c>
    </row>
    <row r="676" spans="9:23" ht="14.4" x14ac:dyDescent="0.3">
      <c r="I676"/>
      <c r="J676"/>
      <c r="W676" s="85">
        <v>43485</v>
      </c>
    </row>
    <row r="677" spans="9:23" ht="14.4" x14ac:dyDescent="0.3">
      <c r="I677"/>
      <c r="J677"/>
      <c r="W677" s="85">
        <v>43491</v>
      </c>
    </row>
    <row r="678" spans="9:23" ht="14.4" x14ac:dyDescent="0.3">
      <c r="I678"/>
      <c r="J678"/>
      <c r="W678" s="85">
        <v>43492</v>
      </c>
    </row>
    <row r="679" spans="9:23" ht="14.4" x14ac:dyDescent="0.3">
      <c r="I679"/>
      <c r="J679"/>
      <c r="W679" s="85">
        <v>43498</v>
      </c>
    </row>
    <row r="680" spans="9:23" ht="14.4" x14ac:dyDescent="0.3">
      <c r="I680"/>
      <c r="J680"/>
      <c r="W680" s="85">
        <v>43499</v>
      </c>
    </row>
    <row r="681" spans="9:23" ht="14.4" x14ac:dyDescent="0.3">
      <c r="I681"/>
      <c r="J681"/>
      <c r="W681" s="85">
        <v>43505</v>
      </c>
    </row>
    <row r="682" spans="9:23" ht="14.4" x14ac:dyDescent="0.3">
      <c r="I682"/>
      <c r="J682"/>
      <c r="W682" s="85">
        <v>43506</v>
      </c>
    </row>
    <row r="683" spans="9:23" ht="14.4" x14ac:dyDescent="0.3">
      <c r="I683"/>
      <c r="J683"/>
      <c r="W683" s="85">
        <v>43512</v>
      </c>
    </row>
    <row r="684" spans="9:23" ht="14.4" x14ac:dyDescent="0.3">
      <c r="I684"/>
      <c r="J684"/>
      <c r="W684" s="85">
        <v>43513</v>
      </c>
    </row>
    <row r="685" spans="9:23" ht="14.4" x14ac:dyDescent="0.3">
      <c r="I685"/>
      <c r="J685"/>
      <c r="W685" s="85">
        <v>43519</v>
      </c>
    </row>
    <row r="686" spans="9:23" ht="14.4" x14ac:dyDescent="0.3">
      <c r="I686"/>
      <c r="J686"/>
      <c r="W686" s="85">
        <v>43520</v>
      </c>
    </row>
    <row r="687" spans="9:23" ht="14.4" x14ac:dyDescent="0.3">
      <c r="I687"/>
      <c r="J687"/>
      <c r="W687" s="85">
        <v>43526</v>
      </c>
    </row>
    <row r="688" spans="9:23" ht="14.4" x14ac:dyDescent="0.3">
      <c r="I688"/>
      <c r="J688"/>
      <c r="W688" s="85">
        <v>43527</v>
      </c>
    </row>
    <row r="689" spans="9:23" ht="14.4" x14ac:dyDescent="0.3">
      <c r="I689"/>
      <c r="J689"/>
      <c r="W689" s="85">
        <v>43533</v>
      </c>
    </row>
    <row r="690" spans="9:23" ht="14.4" x14ac:dyDescent="0.3">
      <c r="I690"/>
      <c r="J690"/>
      <c r="W690" s="85">
        <v>43534</v>
      </c>
    </row>
    <row r="691" spans="9:23" ht="14.4" x14ac:dyDescent="0.3">
      <c r="I691"/>
      <c r="J691"/>
      <c r="W691" s="85">
        <v>43540</v>
      </c>
    </row>
    <row r="692" spans="9:23" x14ac:dyDescent="0.3">
      <c r="W692" s="85">
        <v>43541</v>
      </c>
    </row>
    <row r="693" spans="9:23" x14ac:dyDescent="0.3">
      <c r="W693" s="85">
        <v>43547</v>
      </c>
    </row>
    <row r="694" spans="9:23" x14ac:dyDescent="0.3">
      <c r="W694" s="85">
        <v>43548</v>
      </c>
    </row>
    <row r="695" spans="9:23" x14ac:dyDescent="0.3">
      <c r="W695" s="85">
        <v>43554</v>
      </c>
    </row>
    <row r="696" spans="9:23" x14ac:dyDescent="0.3">
      <c r="W696" s="85">
        <v>43555</v>
      </c>
    </row>
    <row r="697" spans="9:23" x14ac:dyDescent="0.3">
      <c r="W697" s="85">
        <v>43561</v>
      </c>
    </row>
    <row r="698" spans="9:23" x14ac:dyDescent="0.3">
      <c r="W698" s="85">
        <v>43562</v>
      </c>
    </row>
    <row r="699" spans="9:23" x14ac:dyDescent="0.3">
      <c r="W699" s="85">
        <v>43568</v>
      </c>
    </row>
    <row r="700" spans="9:23" x14ac:dyDescent="0.3">
      <c r="W700" s="85">
        <v>43569</v>
      </c>
    </row>
    <row r="701" spans="9:23" x14ac:dyDescent="0.3">
      <c r="W701" s="85">
        <v>43574</v>
      </c>
    </row>
    <row r="702" spans="9:23" x14ac:dyDescent="0.3">
      <c r="W702" s="85">
        <v>43575</v>
      </c>
    </row>
    <row r="703" spans="9:23" x14ac:dyDescent="0.3">
      <c r="W703" s="85">
        <v>43576</v>
      </c>
    </row>
    <row r="704" spans="9:23" x14ac:dyDescent="0.3">
      <c r="W704" s="85">
        <v>43577</v>
      </c>
    </row>
    <row r="705" spans="23:23" x14ac:dyDescent="0.3">
      <c r="W705" s="85">
        <v>43582</v>
      </c>
    </row>
    <row r="706" spans="23:23" x14ac:dyDescent="0.3">
      <c r="W706" s="85">
        <v>43583</v>
      </c>
    </row>
    <row r="707" spans="23:23" x14ac:dyDescent="0.3">
      <c r="W707" s="85">
        <v>43586</v>
      </c>
    </row>
    <row r="708" spans="23:23" x14ac:dyDescent="0.3">
      <c r="W708" s="85">
        <v>43589</v>
      </c>
    </row>
    <row r="709" spans="23:23" x14ac:dyDescent="0.3">
      <c r="W709" s="85">
        <v>43590</v>
      </c>
    </row>
    <row r="710" spans="23:23" x14ac:dyDescent="0.3">
      <c r="W710" s="85">
        <v>43596</v>
      </c>
    </row>
    <row r="711" spans="23:23" x14ac:dyDescent="0.3">
      <c r="W711" s="85">
        <v>43597</v>
      </c>
    </row>
    <row r="712" spans="23:23" x14ac:dyDescent="0.3">
      <c r="W712" s="85">
        <v>43603</v>
      </c>
    </row>
    <row r="713" spans="23:23" x14ac:dyDescent="0.3">
      <c r="W713" s="85">
        <v>43604</v>
      </c>
    </row>
    <row r="714" spans="23:23" x14ac:dyDescent="0.3">
      <c r="W714" s="85">
        <v>43610</v>
      </c>
    </row>
    <row r="715" spans="23:23" x14ac:dyDescent="0.3">
      <c r="W715" s="85">
        <v>43611</v>
      </c>
    </row>
    <row r="716" spans="23:23" x14ac:dyDescent="0.3">
      <c r="W716" s="85">
        <v>43617</v>
      </c>
    </row>
    <row r="717" spans="23:23" x14ac:dyDescent="0.3">
      <c r="W717" s="85">
        <v>43618</v>
      </c>
    </row>
    <row r="718" spans="23:23" x14ac:dyDescent="0.3">
      <c r="W718" s="85">
        <v>43624</v>
      </c>
    </row>
    <row r="719" spans="23:23" x14ac:dyDescent="0.3">
      <c r="W719" s="85">
        <v>43625</v>
      </c>
    </row>
    <row r="720" spans="23:23" x14ac:dyDescent="0.3">
      <c r="W720" s="85">
        <v>43631</v>
      </c>
    </row>
    <row r="721" spans="23:23" x14ac:dyDescent="0.3">
      <c r="W721" s="85">
        <v>43632</v>
      </c>
    </row>
    <row r="722" spans="23:23" x14ac:dyDescent="0.3">
      <c r="W722" s="85">
        <v>43638</v>
      </c>
    </row>
    <row r="723" spans="23:23" x14ac:dyDescent="0.3">
      <c r="W723" s="85">
        <v>43639</v>
      </c>
    </row>
    <row r="724" spans="23:23" x14ac:dyDescent="0.3">
      <c r="W724" s="85">
        <v>43645</v>
      </c>
    </row>
    <row r="725" spans="23:23" x14ac:dyDescent="0.3">
      <c r="W725" s="85">
        <v>43646</v>
      </c>
    </row>
    <row r="726" spans="23:23" x14ac:dyDescent="0.3">
      <c r="W726" s="85">
        <v>43652</v>
      </c>
    </row>
    <row r="727" spans="23:23" x14ac:dyDescent="0.3">
      <c r="W727" s="85">
        <v>43653</v>
      </c>
    </row>
    <row r="728" spans="23:23" x14ac:dyDescent="0.3">
      <c r="W728" s="85">
        <v>43659</v>
      </c>
    </row>
    <row r="729" spans="23:23" x14ac:dyDescent="0.3">
      <c r="W729" s="85">
        <v>43660</v>
      </c>
    </row>
    <row r="730" spans="23:23" x14ac:dyDescent="0.3">
      <c r="W730" s="85">
        <v>43666</v>
      </c>
    </row>
    <row r="731" spans="23:23" x14ac:dyDescent="0.3">
      <c r="W731" s="85">
        <v>43667</v>
      </c>
    </row>
    <row r="732" spans="23:23" x14ac:dyDescent="0.3">
      <c r="W732" s="85">
        <v>43673</v>
      </c>
    </row>
    <row r="733" spans="23:23" x14ac:dyDescent="0.3">
      <c r="W733" s="85">
        <v>43674</v>
      </c>
    </row>
    <row r="734" spans="23:23" x14ac:dyDescent="0.3">
      <c r="W734" s="85">
        <v>43680</v>
      </c>
    </row>
    <row r="735" spans="23:23" x14ac:dyDescent="0.3">
      <c r="W735" s="85">
        <v>43681</v>
      </c>
    </row>
    <row r="736" spans="23:23" x14ac:dyDescent="0.3">
      <c r="W736" s="85">
        <v>43687</v>
      </c>
    </row>
    <row r="737" spans="23:23" x14ac:dyDescent="0.3">
      <c r="W737" s="85">
        <v>43688</v>
      </c>
    </row>
    <row r="738" spans="23:23" x14ac:dyDescent="0.3">
      <c r="W738" s="85">
        <v>43694</v>
      </c>
    </row>
    <row r="739" spans="23:23" x14ac:dyDescent="0.3">
      <c r="W739" s="85">
        <v>43695</v>
      </c>
    </row>
    <row r="740" spans="23:23" x14ac:dyDescent="0.3">
      <c r="W740" s="85">
        <v>43701</v>
      </c>
    </row>
    <row r="741" spans="23:23" x14ac:dyDescent="0.3">
      <c r="W741" s="85">
        <v>43702</v>
      </c>
    </row>
    <row r="742" spans="23:23" x14ac:dyDescent="0.3">
      <c r="W742" s="85">
        <v>43708</v>
      </c>
    </row>
    <row r="743" spans="23:23" x14ac:dyDescent="0.3">
      <c r="W743" s="85">
        <v>43709</v>
      </c>
    </row>
    <row r="744" spans="23:23" x14ac:dyDescent="0.3">
      <c r="W744" s="85">
        <v>43715</v>
      </c>
    </row>
    <row r="745" spans="23:23" x14ac:dyDescent="0.3">
      <c r="W745" s="85">
        <v>43716</v>
      </c>
    </row>
    <row r="746" spans="23:23" x14ac:dyDescent="0.3">
      <c r="W746" s="85">
        <v>43722</v>
      </c>
    </row>
    <row r="747" spans="23:23" x14ac:dyDescent="0.3">
      <c r="W747" s="85">
        <v>43723</v>
      </c>
    </row>
    <row r="748" spans="23:23" x14ac:dyDescent="0.3">
      <c r="W748" s="85">
        <v>43729</v>
      </c>
    </row>
    <row r="749" spans="23:23" x14ac:dyDescent="0.3">
      <c r="W749" s="85">
        <v>43730</v>
      </c>
    </row>
    <row r="750" spans="23:23" x14ac:dyDescent="0.3">
      <c r="W750" s="85">
        <v>43736</v>
      </c>
    </row>
    <row r="751" spans="23:23" x14ac:dyDescent="0.3">
      <c r="W751" s="85">
        <v>43737</v>
      </c>
    </row>
    <row r="752" spans="23:23" x14ac:dyDescent="0.3">
      <c r="W752" s="85">
        <v>43743</v>
      </c>
    </row>
    <row r="753" spans="23:23" x14ac:dyDescent="0.3">
      <c r="W753" s="85">
        <v>43744</v>
      </c>
    </row>
    <row r="754" spans="23:23" x14ac:dyDescent="0.3">
      <c r="W754" s="85">
        <v>43750</v>
      </c>
    </row>
    <row r="755" spans="23:23" x14ac:dyDescent="0.3">
      <c r="W755" s="85">
        <v>43751</v>
      </c>
    </row>
    <row r="756" spans="23:23" x14ac:dyDescent="0.3">
      <c r="W756" s="85">
        <v>43757</v>
      </c>
    </row>
    <row r="757" spans="23:23" x14ac:dyDescent="0.3">
      <c r="W757" s="85">
        <v>43758</v>
      </c>
    </row>
    <row r="758" spans="23:23" x14ac:dyDescent="0.3">
      <c r="W758" s="85">
        <v>43764</v>
      </c>
    </row>
    <row r="759" spans="23:23" x14ac:dyDescent="0.3">
      <c r="W759" s="85">
        <v>43765</v>
      </c>
    </row>
    <row r="760" spans="23:23" x14ac:dyDescent="0.3">
      <c r="W760" s="85">
        <v>43771</v>
      </c>
    </row>
    <row r="761" spans="23:23" x14ac:dyDescent="0.3">
      <c r="W761" s="85">
        <v>43772</v>
      </c>
    </row>
    <row r="762" spans="23:23" x14ac:dyDescent="0.3">
      <c r="W762" s="85">
        <v>43778</v>
      </c>
    </row>
    <row r="763" spans="23:23" x14ac:dyDescent="0.3">
      <c r="W763" s="85">
        <v>43779</v>
      </c>
    </row>
    <row r="764" spans="23:23" x14ac:dyDescent="0.3">
      <c r="W764" s="85">
        <v>43785</v>
      </c>
    </row>
    <row r="765" spans="23:23" x14ac:dyDescent="0.3">
      <c r="W765" s="85">
        <v>43786</v>
      </c>
    </row>
    <row r="766" spans="23:23" x14ac:dyDescent="0.3">
      <c r="W766" s="85">
        <v>43792</v>
      </c>
    </row>
    <row r="767" spans="23:23" x14ac:dyDescent="0.3">
      <c r="W767" s="85">
        <v>43793</v>
      </c>
    </row>
    <row r="768" spans="23:23" x14ac:dyDescent="0.3">
      <c r="W768" s="85">
        <v>43799</v>
      </c>
    </row>
    <row r="769" spans="23:23" x14ac:dyDescent="0.3">
      <c r="W769" s="85">
        <v>43800</v>
      </c>
    </row>
    <row r="770" spans="23:23" x14ac:dyDescent="0.3">
      <c r="W770" s="85">
        <v>43806</v>
      </c>
    </row>
    <row r="771" spans="23:23" x14ac:dyDescent="0.3">
      <c r="W771" s="85">
        <v>43807</v>
      </c>
    </row>
    <row r="772" spans="23:23" x14ac:dyDescent="0.3">
      <c r="W772" s="85">
        <v>43813</v>
      </c>
    </row>
    <row r="773" spans="23:23" x14ac:dyDescent="0.3">
      <c r="W773" s="85">
        <v>43814</v>
      </c>
    </row>
    <row r="774" spans="23:23" x14ac:dyDescent="0.3">
      <c r="W774" s="85">
        <v>43820</v>
      </c>
    </row>
    <row r="775" spans="23:23" x14ac:dyDescent="0.3">
      <c r="W775" s="85">
        <v>43821</v>
      </c>
    </row>
    <row r="776" spans="23:23" x14ac:dyDescent="0.3">
      <c r="W776" s="85">
        <v>43824</v>
      </c>
    </row>
    <row r="777" spans="23:23" x14ac:dyDescent="0.3">
      <c r="W777" s="85">
        <v>43825</v>
      </c>
    </row>
    <row r="778" spans="23:23" x14ac:dyDescent="0.3">
      <c r="W778" s="85">
        <v>43827</v>
      </c>
    </row>
    <row r="779" spans="23:23" x14ac:dyDescent="0.3">
      <c r="W779" s="85">
        <v>43828</v>
      </c>
    </row>
    <row r="780" spans="23:23" x14ac:dyDescent="0.3">
      <c r="W780" s="85">
        <v>43831</v>
      </c>
    </row>
    <row r="781" spans="23:23" x14ac:dyDescent="0.3">
      <c r="W781" s="85">
        <v>43834</v>
      </c>
    </row>
    <row r="782" spans="23:23" x14ac:dyDescent="0.3">
      <c r="W782" s="85">
        <v>43835</v>
      </c>
    </row>
    <row r="783" spans="23:23" x14ac:dyDescent="0.3">
      <c r="W783" s="85">
        <v>43841</v>
      </c>
    </row>
    <row r="784" spans="23:23" x14ac:dyDescent="0.3">
      <c r="W784" s="85">
        <v>43842</v>
      </c>
    </row>
    <row r="785" spans="23:23" x14ac:dyDescent="0.3">
      <c r="W785" s="85">
        <v>43848</v>
      </c>
    </row>
    <row r="786" spans="23:23" x14ac:dyDescent="0.3">
      <c r="W786" s="85">
        <v>43849</v>
      </c>
    </row>
    <row r="787" spans="23:23" x14ac:dyDescent="0.3">
      <c r="W787" s="85">
        <v>43855</v>
      </c>
    </row>
    <row r="788" spans="23:23" x14ac:dyDescent="0.3">
      <c r="W788" s="85">
        <v>43856</v>
      </c>
    </row>
    <row r="789" spans="23:23" x14ac:dyDescent="0.3">
      <c r="W789" s="85">
        <v>43862</v>
      </c>
    </row>
    <row r="790" spans="23:23" x14ac:dyDescent="0.3">
      <c r="W790" s="85">
        <v>43863</v>
      </c>
    </row>
    <row r="791" spans="23:23" x14ac:dyDescent="0.3">
      <c r="W791" s="85">
        <v>43869</v>
      </c>
    </row>
    <row r="792" spans="23:23" x14ac:dyDescent="0.3">
      <c r="W792" s="85">
        <v>43870</v>
      </c>
    </row>
    <row r="793" spans="23:23" x14ac:dyDescent="0.3">
      <c r="W793" s="85">
        <v>43876</v>
      </c>
    </row>
    <row r="794" spans="23:23" x14ac:dyDescent="0.3">
      <c r="W794" s="85">
        <v>43877</v>
      </c>
    </row>
    <row r="795" spans="23:23" x14ac:dyDescent="0.3">
      <c r="W795" s="85">
        <v>43883</v>
      </c>
    </row>
    <row r="796" spans="23:23" x14ac:dyDescent="0.3">
      <c r="W796" s="85">
        <v>43884</v>
      </c>
    </row>
    <row r="797" spans="23:23" x14ac:dyDescent="0.3">
      <c r="W797" s="85">
        <v>43890</v>
      </c>
    </row>
    <row r="798" spans="23:23" x14ac:dyDescent="0.3">
      <c r="W798" s="85">
        <v>43891</v>
      </c>
    </row>
    <row r="799" spans="23:23" x14ac:dyDescent="0.3">
      <c r="W799" s="85">
        <v>43897</v>
      </c>
    </row>
    <row r="800" spans="23:23" x14ac:dyDescent="0.3">
      <c r="W800" s="85">
        <v>43898</v>
      </c>
    </row>
    <row r="801" spans="23:23" x14ac:dyDescent="0.3">
      <c r="W801" s="85">
        <v>43904</v>
      </c>
    </row>
    <row r="802" spans="23:23" x14ac:dyDescent="0.3">
      <c r="W802" s="85">
        <v>43905</v>
      </c>
    </row>
    <row r="803" spans="23:23" x14ac:dyDescent="0.3">
      <c r="W803" s="85">
        <v>43911</v>
      </c>
    </row>
    <row r="804" spans="23:23" x14ac:dyDescent="0.3">
      <c r="W804" s="85">
        <v>43912</v>
      </c>
    </row>
    <row r="805" spans="23:23" x14ac:dyDescent="0.3">
      <c r="W805" s="85">
        <v>43918</v>
      </c>
    </row>
    <row r="806" spans="23:23" x14ac:dyDescent="0.3">
      <c r="W806" s="85">
        <v>43919</v>
      </c>
    </row>
    <row r="807" spans="23:23" x14ac:dyDescent="0.3">
      <c r="W807" s="85">
        <v>43925</v>
      </c>
    </row>
    <row r="808" spans="23:23" x14ac:dyDescent="0.3">
      <c r="W808" s="85">
        <v>43926</v>
      </c>
    </row>
    <row r="809" spans="23:23" x14ac:dyDescent="0.3">
      <c r="W809" s="85">
        <v>43931</v>
      </c>
    </row>
    <row r="810" spans="23:23" x14ac:dyDescent="0.3">
      <c r="W810" s="85">
        <v>43932</v>
      </c>
    </row>
    <row r="811" spans="23:23" x14ac:dyDescent="0.3">
      <c r="W811" s="85">
        <v>43933</v>
      </c>
    </row>
    <row r="812" spans="23:23" x14ac:dyDescent="0.3">
      <c r="W812" s="85">
        <v>43934</v>
      </c>
    </row>
    <row r="813" spans="23:23" x14ac:dyDescent="0.3">
      <c r="W813" s="85">
        <v>43939</v>
      </c>
    </row>
    <row r="814" spans="23:23" x14ac:dyDescent="0.3">
      <c r="W814" s="85">
        <v>43940</v>
      </c>
    </row>
    <row r="815" spans="23:23" x14ac:dyDescent="0.3">
      <c r="W815" s="85">
        <v>43946</v>
      </c>
    </row>
    <row r="816" spans="23:23" x14ac:dyDescent="0.3">
      <c r="W816" s="85">
        <v>43947</v>
      </c>
    </row>
    <row r="817" spans="23:23" x14ac:dyDescent="0.3">
      <c r="W817" s="85">
        <v>43952</v>
      </c>
    </row>
    <row r="818" spans="23:23" x14ac:dyDescent="0.3">
      <c r="W818" s="85">
        <v>43953</v>
      </c>
    </row>
    <row r="819" spans="23:23" x14ac:dyDescent="0.3">
      <c r="W819" s="85">
        <v>43954</v>
      </c>
    </row>
    <row r="820" spans="23:23" x14ac:dyDescent="0.3">
      <c r="W820" s="85">
        <v>43960</v>
      </c>
    </row>
    <row r="821" spans="23:23" x14ac:dyDescent="0.3">
      <c r="W821" s="85">
        <v>43961</v>
      </c>
    </row>
    <row r="822" spans="23:23" x14ac:dyDescent="0.3">
      <c r="W822" s="85">
        <v>43967</v>
      </c>
    </row>
    <row r="823" spans="23:23" x14ac:dyDescent="0.3">
      <c r="W823" s="85">
        <v>43968</v>
      </c>
    </row>
    <row r="824" spans="23:23" x14ac:dyDescent="0.3">
      <c r="W824" s="85">
        <v>43974</v>
      </c>
    </row>
    <row r="825" spans="23:23" x14ac:dyDescent="0.3">
      <c r="W825" s="85">
        <v>43975</v>
      </c>
    </row>
    <row r="826" spans="23:23" x14ac:dyDescent="0.3">
      <c r="W826" s="85">
        <v>43981</v>
      </c>
    </row>
    <row r="827" spans="23:23" x14ac:dyDescent="0.3">
      <c r="W827" s="85">
        <v>43982</v>
      </c>
    </row>
    <row r="828" spans="23:23" x14ac:dyDescent="0.3">
      <c r="W828" s="85">
        <v>43988</v>
      </c>
    </row>
    <row r="829" spans="23:23" x14ac:dyDescent="0.3">
      <c r="W829" s="85">
        <v>43989</v>
      </c>
    </row>
    <row r="830" spans="23:23" x14ac:dyDescent="0.3">
      <c r="W830" s="85">
        <v>43995</v>
      </c>
    </row>
    <row r="831" spans="23:23" x14ac:dyDescent="0.3">
      <c r="W831" s="85">
        <v>43996</v>
      </c>
    </row>
    <row r="832" spans="23:23" x14ac:dyDescent="0.3">
      <c r="W832" s="85">
        <v>44002</v>
      </c>
    </row>
    <row r="833" spans="23:23" x14ac:dyDescent="0.3">
      <c r="W833" s="85">
        <v>44003</v>
      </c>
    </row>
    <row r="834" spans="23:23" x14ac:dyDescent="0.3">
      <c r="W834" s="85">
        <v>44009</v>
      </c>
    </row>
    <row r="835" spans="23:23" x14ac:dyDescent="0.3">
      <c r="W835" s="85">
        <v>44010</v>
      </c>
    </row>
    <row r="836" spans="23:23" x14ac:dyDescent="0.3">
      <c r="W836" s="85">
        <v>44016</v>
      </c>
    </row>
    <row r="837" spans="23:23" x14ac:dyDescent="0.3">
      <c r="W837" s="85">
        <v>44017</v>
      </c>
    </row>
    <row r="838" spans="23:23" x14ac:dyDescent="0.3">
      <c r="W838" s="85">
        <v>44023</v>
      </c>
    </row>
    <row r="839" spans="23:23" x14ac:dyDescent="0.3">
      <c r="W839" s="85">
        <v>44024</v>
      </c>
    </row>
    <row r="840" spans="23:23" x14ac:dyDescent="0.3">
      <c r="W840" s="85">
        <v>44030</v>
      </c>
    </row>
    <row r="841" spans="23:23" x14ac:dyDescent="0.3">
      <c r="W841" s="85">
        <v>44031</v>
      </c>
    </row>
    <row r="842" spans="23:23" x14ac:dyDescent="0.3">
      <c r="W842" s="85">
        <v>44037</v>
      </c>
    </row>
    <row r="843" spans="23:23" x14ac:dyDescent="0.3">
      <c r="W843" s="85">
        <v>44038</v>
      </c>
    </row>
    <row r="844" spans="23:23" x14ac:dyDescent="0.3">
      <c r="W844" s="85">
        <v>44044</v>
      </c>
    </row>
    <row r="845" spans="23:23" x14ac:dyDescent="0.3">
      <c r="W845" s="85">
        <v>44045</v>
      </c>
    </row>
    <row r="846" spans="23:23" x14ac:dyDescent="0.3">
      <c r="W846" s="85">
        <v>44051</v>
      </c>
    </row>
    <row r="847" spans="23:23" x14ac:dyDescent="0.3">
      <c r="W847" s="85">
        <v>44052</v>
      </c>
    </row>
    <row r="848" spans="23:23" x14ac:dyDescent="0.3">
      <c r="W848" s="85">
        <v>44058</v>
      </c>
    </row>
    <row r="849" spans="23:23" x14ac:dyDescent="0.3">
      <c r="W849" s="85">
        <v>44059</v>
      </c>
    </row>
    <row r="850" spans="23:23" x14ac:dyDescent="0.3">
      <c r="W850" s="85">
        <v>44065</v>
      </c>
    </row>
    <row r="851" spans="23:23" x14ac:dyDescent="0.3">
      <c r="W851" s="85">
        <v>44066</v>
      </c>
    </row>
    <row r="852" spans="23:23" x14ac:dyDescent="0.3">
      <c r="W852" s="85">
        <v>44072</v>
      </c>
    </row>
    <row r="853" spans="23:23" x14ac:dyDescent="0.3">
      <c r="W853" s="85">
        <v>44073</v>
      </c>
    </row>
    <row r="854" spans="23:23" x14ac:dyDescent="0.3">
      <c r="W854" s="85">
        <v>44079</v>
      </c>
    </row>
    <row r="855" spans="23:23" x14ac:dyDescent="0.3">
      <c r="W855" s="85">
        <v>44080</v>
      </c>
    </row>
    <row r="856" spans="23:23" x14ac:dyDescent="0.3">
      <c r="W856" s="85">
        <v>44086</v>
      </c>
    </row>
    <row r="857" spans="23:23" x14ac:dyDescent="0.3">
      <c r="W857" s="85">
        <v>44087</v>
      </c>
    </row>
    <row r="858" spans="23:23" x14ac:dyDescent="0.3">
      <c r="W858" s="85">
        <v>44093</v>
      </c>
    </row>
    <row r="859" spans="23:23" x14ac:dyDescent="0.3">
      <c r="W859" s="85">
        <v>44094</v>
      </c>
    </row>
    <row r="860" spans="23:23" x14ac:dyDescent="0.3">
      <c r="W860" s="85">
        <v>44100</v>
      </c>
    </row>
    <row r="861" spans="23:23" x14ac:dyDescent="0.3">
      <c r="W861" s="85">
        <v>44101</v>
      </c>
    </row>
    <row r="862" spans="23:23" x14ac:dyDescent="0.3">
      <c r="W862" s="85">
        <v>44107</v>
      </c>
    </row>
    <row r="863" spans="23:23" x14ac:dyDescent="0.3">
      <c r="W863" s="85">
        <v>44108</v>
      </c>
    </row>
    <row r="864" spans="23:23" x14ac:dyDescent="0.3">
      <c r="W864" s="85">
        <v>44114</v>
      </c>
    </row>
    <row r="865" spans="23:23" x14ac:dyDescent="0.3">
      <c r="W865" s="85">
        <v>44115</v>
      </c>
    </row>
    <row r="866" spans="23:23" x14ac:dyDescent="0.3">
      <c r="W866" s="85">
        <v>44121</v>
      </c>
    </row>
    <row r="867" spans="23:23" x14ac:dyDescent="0.3">
      <c r="W867" s="85">
        <v>44122</v>
      </c>
    </row>
    <row r="868" spans="23:23" x14ac:dyDescent="0.3">
      <c r="W868" s="85">
        <v>44128</v>
      </c>
    </row>
    <row r="869" spans="23:23" x14ac:dyDescent="0.3">
      <c r="W869" s="85">
        <v>44129</v>
      </c>
    </row>
    <row r="870" spans="23:23" x14ac:dyDescent="0.3">
      <c r="W870" s="85">
        <v>44135</v>
      </c>
    </row>
    <row r="871" spans="23:23" x14ac:dyDescent="0.3">
      <c r="W871" s="85">
        <v>44136</v>
      </c>
    </row>
    <row r="872" spans="23:23" x14ac:dyDescent="0.3">
      <c r="W872" s="85">
        <v>44142</v>
      </c>
    </row>
    <row r="873" spans="23:23" x14ac:dyDescent="0.3">
      <c r="W873" s="85">
        <v>44143</v>
      </c>
    </row>
    <row r="874" spans="23:23" x14ac:dyDescent="0.3">
      <c r="W874" s="85">
        <v>44149</v>
      </c>
    </row>
    <row r="875" spans="23:23" x14ac:dyDescent="0.3">
      <c r="W875" s="85">
        <v>44150</v>
      </c>
    </row>
    <row r="876" spans="23:23" x14ac:dyDescent="0.3">
      <c r="W876" s="85">
        <v>44156</v>
      </c>
    </row>
    <row r="877" spans="23:23" x14ac:dyDescent="0.3">
      <c r="W877" s="85">
        <v>44157</v>
      </c>
    </row>
    <row r="878" spans="23:23" x14ac:dyDescent="0.3">
      <c r="W878" s="85">
        <v>44163</v>
      </c>
    </row>
    <row r="879" spans="23:23" x14ac:dyDescent="0.3">
      <c r="W879" s="85">
        <v>44164</v>
      </c>
    </row>
    <row r="880" spans="23:23" x14ac:dyDescent="0.3">
      <c r="W880" s="85">
        <v>44170</v>
      </c>
    </row>
    <row r="881" spans="23:23" x14ac:dyDescent="0.3">
      <c r="W881" s="85">
        <v>44171</v>
      </c>
    </row>
    <row r="882" spans="23:23" x14ac:dyDescent="0.3">
      <c r="W882" s="85">
        <v>44177</v>
      </c>
    </row>
    <row r="883" spans="23:23" x14ac:dyDescent="0.3">
      <c r="W883" s="85">
        <v>44178</v>
      </c>
    </row>
    <row r="884" spans="23:23" x14ac:dyDescent="0.3">
      <c r="W884" s="85">
        <v>44184</v>
      </c>
    </row>
    <row r="885" spans="23:23" x14ac:dyDescent="0.3">
      <c r="W885" s="85">
        <v>44185</v>
      </c>
    </row>
    <row r="886" spans="23:23" x14ac:dyDescent="0.3">
      <c r="W886" s="85">
        <v>44190</v>
      </c>
    </row>
    <row r="887" spans="23:23" x14ac:dyDescent="0.3">
      <c r="W887" s="85">
        <v>44191</v>
      </c>
    </row>
    <row r="888" spans="23:23" x14ac:dyDescent="0.3">
      <c r="W888" s="85">
        <v>44192</v>
      </c>
    </row>
    <row r="889" spans="23:23" x14ac:dyDescent="0.3">
      <c r="W889" s="85">
        <v>44197</v>
      </c>
    </row>
    <row r="890" spans="23:23" x14ac:dyDescent="0.3">
      <c r="W890" s="85">
        <v>44198</v>
      </c>
    </row>
    <row r="891" spans="23:23" x14ac:dyDescent="0.3">
      <c r="W891" s="85">
        <v>44199</v>
      </c>
    </row>
    <row r="892" spans="23:23" x14ac:dyDescent="0.3">
      <c r="W892" s="85">
        <v>44205</v>
      </c>
    </row>
    <row r="893" spans="23:23" x14ac:dyDescent="0.3">
      <c r="W893" s="85">
        <v>44206</v>
      </c>
    </row>
    <row r="894" spans="23:23" x14ac:dyDescent="0.3">
      <c r="W894" s="85">
        <v>44212</v>
      </c>
    </row>
    <row r="895" spans="23:23" x14ac:dyDescent="0.3">
      <c r="W895" s="85">
        <v>44213</v>
      </c>
    </row>
    <row r="896" spans="23:23" x14ac:dyDescent="0.3">
      <c r="W896" s="85">
        <v>44219</v>
      </c>
    </row>
    <row r="897" spans="23:23" x14ac:dyDescent="0.3">
      <c r="W897" s="85">
        <v>44220</v>
      </c>
    </row>
    <row r="898" spans="23:23" x14ac:dyDescent="0.3">
      <c r="W898" s="85">
        <v>44226</v>
      </c>
    </row>
    <row r="899" spans="23:23" x14ac:dyDescent="0.3">
      <c r="W899" s="85">
        <v>44227</v>
      </c>
    </row>
    <row r="900" spans="23:23" x14ac:dyDescent="0.3">
      <c r="W900" s="85">
        <v>44233</v>
      </c>
    </row>
    <row r="901" spans="23:23" x14ac:dyDescent="0.3">
      <c r="W901" s="85">
        <v>44234</v>
      </c>
    </row>
    <row r="902" spans="23:23" x14ac:dyDescent="0.3">
      <c r="W902" s="85">
        <v>44240</v>
      </c>
    </row>
    <row r="903" spans="23:23" x14ac:dyDescent="0.3">
      <c r="W903" s="85">
        <v>44241</v>
      </c>
    </row>
    <row r="904" spans="23:23" x14ac:dyDescent="0.3">
      <c r="W904" s="85">
        <v>44247</v>
      </c>
    </row>
    <row r="905" spans="23:23" x14ac:dyDescent="0.3">
      <c r="W905" s="85">
        <v>44248</v>
      </c>
    </row>
    <row r="906" spans="23:23" x14ac:dyDescent="0.3">
      <c r="W906" s="85">
        <v>44254</v>
      </c>
    </row>
    <row r="907" spans="23:23" x14ac:dyDescent="0.3">
      <c r="W907" s="85">
        <v>44255</v>
      </c>
    </row>
    <row r="908" spans="23:23" x14ac:dyDescent="0.3">
      <c r="W908" s="85">
        <v>44261</v>
      </c>
    </row>
    <row r="909" spans="23:23" x14ac:dyDescent="0.3">
      <c r="W909" s="85">
        <v>44262</v>
      </c>
    </row>
    <row r="910" spans="23:23" x14ac:dyDescent="0.3">
      <c r="W910" s="85">
        <v>44268</v>
      </c>
    </row>
    <row r="911" spans="23:23" x14ac:dyDescent="0.3">
      <c r="W911" s="85">
        <v>44269</v>
      </c>
    </row>
    <row r="912" spans="23:23" x14ac:dyDescent="0.3">
      <c r="W912" s="85">
        <v>44275</v>
      </c>
    </row>
    <row r="913" spans="23:23" x14ac:dyDescent="0.3">
      <c r="W913" s="85">
        <v>44276</v>
      </c>
    </row>
    <row r="914" spans="23:23" x14ac:dyDescent="0.3">
      <c r="W914" s="85">
        <v>44282</v>
      </c>
    </row>
    <row r="915" spans="23:23" x14ac:dyDescent="0.3">
      <c r="W915" s="85">
        <v>44283</v>
      </c>
    </row>
    <row r="916" spans="23:23" x14ac:dyDescent="0.3">
      <c r="W916" s="85">
        <v>44288</v>
      </c>
    </row>
    <row r="917" spans="23:23" x14ac:dyDescent="0.3">
      <c r="W917" s="85">
        <v>44289</v>
      </c>
    </row>
    <row r="918" spans="23:23" x14ac:dyDescent="0.3">
      <c r="W918" s="85">
        <v>44290</v>
      </c>
    </row>
    <row r="919" spans="23:23" x14ac:dyDescent="0.3">
      <c r="W919" s="85">
        <v>44291</v>
      </c>
    </row>
    <row r="920" spans="23:23" x14ac:dyDescent="0.3">
      <c r="W920" s="85">
        <v>44296</v>
      </c>
    </row>
    <row r="921" spans="23:23" x14ac:dyDescent="0.3">
      <c r="W921" s="85">
        <v>44297</v>
      </c>
    </row>
    <row r="922" spans="23:23" x14ac:dyDescent="0.3">
      <c r="W922" s="85">
        <v>44303</v>
      </c>
    </row>
    <row r="923" spans="23:23" x14ac:dyDescent="0.3">
      <c r="W923" s="85">
        <v>44304</v>
      </c>
    </row>
    <row r="924" spans="23:23" x14ac:dyDescent="0.3">
      <c r="W924" s="85">
        <v>44310</v>
      </c>
    </row>
    <row r="925" spans="23:23" x14ac:dyDescent="0.3">
      <c r="W925" s="85">
        <v>44311</v>
      </c>
    </row>
    <row r="926" spans="23:23" x14ac:dyDescent="0.3">
      <c r="W926" s="85">
        <v>44317</v>
      </c>
    </row>
    <row r="927" spans="23:23" x14ac:dyDescent="0.3">
      <c r="W927" s="85">
        <v>44318</v>
      </c>
    </row>
    <row r="928" spans="23:23" x14ac:dyDescent="0.3">
      <c r="W928" s="85">
        <v>44324</v>
      </c>
    </row>
    <row r="929" spans="23:23" x14ac:dyDescent="0.3">
      <c r="W929" s="85">
        <v>44325</v>
      </c>
    </row>
    <row r="930" spans="23:23" x14ac:dyDescent="0.3">
      <c r="W930" s="85">
        <v>44331</v>
      </c>
    </row>
    <row r="931" spans="23:23" x14ac:dyDescent="0.3">
      <c r="W931" s="85">
        <v>44332</v>
      </c>
    </row>
    <row r="932" spans="23:23" x14ac:dyDescent="0.3">
      <c r="W932" s="85">
        <v>44338</v>
      </c>
    </row>
    <row r="933" spans="23:23" x14ac:dyDescent="0.3">
      <c r="W933" s="85">
        <v>44339</v>
      </c>
    </row>
    <row r="934" spans="23:23" x14ac:dyDescent="0.3">
      <c r="W934" s="85">
        <v>44345</v>
      </c>
    </row>
    <row r="935" spans="23:23" x14ac:dyDescent="0.3">
      <c r="W935" s="85">
        <v>44346</v>
      </c>
    </row>
    <row r="936" spans="23:23" x14ac:dyDescent="0.3">
      <c r="W936" s="85">
        <v>44352</v>
      </c>
    </row>
    <row r="937" spans="23:23" x14ac:dyDescent="0.3">
      <c r="W937" s="85">
        <v>44353</v>
      </c>
    </row>
    <row r="938" spans="23:23" x14ac:dyDescent="0.3">
      <c r="W938" s="85">
        <v>44359</v>
      </c>
    </row>
    <row r="939" spans="23:23" x14ac:dyDescent="0.3">
      <c r="W939" s="85">
        <v>44360</v>
      </c>
    </row>
    <row r="940" spans="23:23" x14ac:dyDescent="0.3">
      <c r="W940" s="85">
        <v>44366</v>
      </c>
    </row>
    <row r="941" spans="23:23" x14ac:dyDescent="0.3">
      <c r="W941" s="85">
        <v>44367</v>
      </c>
    </row>
    <row r="942" spans="23:23" x14ac:dyDescent="0.3">
      <c r="W942" s="85">
        <v>44373</v>
      </c>
    </row>
    <row r="943" spans="23:23" x14ac:dyDescent="0.3">
      <c r="W943" s="85">
        <v>44374</v>
      </c>
    </row>
    <row r="944" spans="23:23" x14ac:dyDescent="0.3">
      <c r="W944" s="85">
        <v>44380</v>
      </c>
    </row>
    <row r="945" spans="23:23" x14ac:dyDescent="0.3">
      <c r="W945" s="85">
        <v>44381</v>
      </c>
    </row>
    <row r="946" spans="23:23" x14ac:dyDescent="0.3">
      <c r="W946" s="85">
        <v>44387</v>
      </c>
    </row>
    <row r="947" spans="23:23" x14ac:dyDescent="0.3">
      <c r="W947" s="85">
        <v>44388</v>
      </c>
    </row>
    <row r="948" spans="23:23" x14ac:dyDescent="0.3">
      <c r="W948" s="85">
        <v>44394</v>
      </c>
    </row>
    <row r="949" spans="23:23" x14ac:dyDescent="0.3">
      <c r="W949" s="85">
        <v>44395</v>
      </c>
    </row>
    <row r="950" spans="23:23" x14ac:dyDescent="0.3">
      <c r="W950" s="85">
        <v>44401</v>
      </c>
    </row>
    <row r="951" spans="23:23" x14ac:dyDescent="0.3">
      <c r="W951" s="85">
        <v>44402</v>
      </c>
    </row>
    <row r="952" spans="23:23" x14ac:dyDescent="0.3">
      <c r="W952" s="85">
        <v>44408</v>
      </c>
    </row>
    <row r="953" spans="23:23" x14ac:dyDescent="0.3">
      <c r="W953" s="85">
        <v>44409</v>
      </c>
    </row>
    <row r="954" spans="23:23" x14ac:dyDescent="0.3">
      <c r="W954" s="85">
        <v>44415</v>
      </c>
    </row>
    <row r="955" spans="23:23" x14ac:dyDescent="0.3">
      <c r="W955" s="85">
        <v>44416</v>
      </c>
    </row>
    <row r="956" spans="23:23" x14ac:dyDescent="0.3">
      <c r="W956" s="85">
        <v>44422</v>
      </c>
    </row>
    <row r="957" spans="23:23" x14ac:dyDescent="0.3">
      <c r="W957" s="85">
        <v>44423</v>
      </c>
    </row>
    <row r="958" spans="23:23" x14ac:dyDescent="0.3">
      <c r="W958" s="85">
        <v>44429</v>
      </c>
    </row>
    <row r="959" spans="23:23" x14ac:dyDescent="0.3">
      <c r="W959" s="85">
        <v>44430</v>
      </c>
    </row>
    <row r="960" spans="23:23" x14ac:dyDescent="0.3">
      <c r="W960" s="85">
        <v>44436</v>
      </c>
    </row>
    <row r="961" spans="23:23" x14ac:dyDescent="0.3">
      <c r="W961" s="85">
        <v>44437</v>
      </c>
    </row>
    <row r="962" spans="23:23" x14ac:dyDescent="0.3">
      <c r="W962" s="85">
        <v>44443</v>
      </c>
    </row>
    <row r="963" spans="23:23" x14ac:dyDescent="0.3">
      <c r="W963" s="85">
        <v>44444</v>
      </c>
    </row>
    <row r="964" spans="23:23" x14ac:dyDescent="0.3">
      <c r="W964" s="85">
        <v>44450</v>
      </c>
    </row>
    <row r="965" spans="23:23" x14ac:dyDescent="0.3">
      <c r="W965" s="85">
        <v>44451</v>
      </c>
    </row>
    <row r="966" spans="23:23" x14ac:dyDescent="0.3">
      <c r="W966" s="85">
        <v>44457</v>
      </c>
    </row>
    <row r="967" spans="23:23" x14ac:dyDescent="0.3">
      <c r="W967" s="85">
        <v>44458</v>
      </c>
    </row>
    <row r="968" spans="23:23" x14ac:dyDescent="0.3">
      <c r="W968" s="85">
        <v>44464</v>
      </c>
    </row>
    <row r="969" spans="23:23" x14ac:dyDescent="0.3">
      <c r="W969" s="85">
        <v>44465</v>
      </c>
    </row>
    <row r="970" spans="23:23" x14ac:dyDescent="0.3">
      <c r="W970" s="85">
        <v>44471</v>
      </c>
    </row>
    <row r="971" spans="23:23" x14ac:dyDescent="0.3">
      <c r="W971" s="85">
        <v>44472</v>
      </c>
    </row>
    <row r="972" spans="23:23" x14ac:dyDescent="0.3">
      <c r="W972" s="85">
        <v>44478</v>
      </c>
    </row>
    <row r="973" spans="23:23" x14ac:dyDescent="0.3">
      <c r="W973" s="85">
        <v>44479</v>
      </c>
    </row>
    <row r="974" spans="23:23" x14ac:dyDescent="0.3">
      <c r="W974" s="85">
        <v>44485</v>
      </c>
    </row>
    <row r="975" spans="23:23" x14ac:dyDescent="0.3">
      <c r="W975" s="85">
        <v>44486</v>
      </c>
    </row>
    <row r="976" spans="23:23" x14ac:dyDescent="0.3">
      <c r="W976" s="85">
        <v>44492</v>
      </c>
    </row>
    <row r="977" spans="23:23" x14ac:dyDescent="0.3">
      <c r="W977" s="85">
        <v>44493</v>
      </c>
    </row>
    <row r="978" spans="23:23" x14ac:dyDescent="0.3">
      <c r="W978" s="85">
        <v>44499</v>
      </c>
    </row>
    <row r="979" spans="23:23" x14ac:dyDescent="0.3">
      <c r="W979" s="85">
        <v>44500</v>
      </c>
    </row>
    <row r="980" spans="23:23" x14ac:dyDescent="0.3">
      <c r="W980" s="85">
        <v>44506</v>
      </c>
    </row>
    <row r="981" spans="23:23" x14ac:dyDescent="0.3">
      <c r="W981" s="85">
        <v>44507</v>
      </c>
    </row>
    <row r="982" spans="23:23" x14ac:dyDescent="0.3">
      <c r="W982" s="85">
        <v>44513</v>
      </c>
    </row>
    <row r="983" spans="23:23" x14ac:dyDescent="0.3">
      <c r="W983" s="85">
        <v>44514</v>
      </c>
    </row>
    <row r="984" spans="23:23" x14ac:dyDescent="0.3">
      <c r="W984" s="85">
        <v>44520</v>
      </c>
    </row>
    <row r="985" spans="23:23" x14ac:dyDescent="0.3">
      <c r="W985" s="85">
        <v>44521</v>
      </c>
    </row>
    <row r="986" spans="23:23" x14ac:dyDescent="0.3">
      <c r="W986" s="85">
        <v>44527</v>
      </c>
    </row>
    <row r="987" spans="23:23" x14ac:dyDescent="0.3">
      <c r="W987" s="85">
        <v>44528</v>
      </c>
    </row>
    <row r="988" spans="23:23" x14ac:dyDescent="0.3">
      <c r="W988" s="85">
        <v>44534</v>
      </c>
    </row>
    <row r="989" spans="23:23" x14ac:dyDescent="0.3">
      <c r="W989" s="85">
        <v>44535</v>
      </c>
    </row>
    <row r="990" spans="23:23" x14ac:dyDescent="0.3">
      <c r="W990" s="85">
        <v>44541</v>
      </c>
    </row>
    <row r="991" spans="23:23" x14ac:dyDescent="0.3">
      <c r="W991" s="85">
        <v>44542</v>
      </c>
    </row>
    <row r="992" spans="23:23" x14ac:dyDescent="0.3">
      <c r="W992" s="85">
        <v>44548</v>
      </c>
    </row>
    <row r="993" spans="23:23" x14ac:dyDescent="0.3">
      <c r="W993" s="85">
        <v>44549</v>
      </c>
    </row>
    <row r="994" spans="23:23" x14ac:dyDescent="0.3">
      <c r="W994" s="85">
        <v>44555</v>
      </c>
    </row>
    <row r="995" spans="23:23" x14ac:dyDescent="0.3">
      <c r="W995" s="85">
        <v>44556</v>
      </c>
    </row>
    <row r="996" spans="23:23" x14ac:dyDescent="0.3">
      <c r="W996" s="85">
        <v>44562</v>
      </c>
    </row>
    <row r="997" spans="23:23" x14ac:dyDescent="0.3">
      <c r="W997" s="85">
        <v>44563</v>
      </c>
    </row>
    <row r="998" spans="23:23" x14ac:dyDescent="0.3">
      <c r="W998" s="85">
        <v>44569</v>
      </c>
    </row>
    <row r="999" spans="23:23" x14ac:dyDescent="0.3">
      <c r="W999" s="85">
        <v>44570</v>
      </c>
    </row>
    <row r="1000" spans="23:23" x14ac:dyDescent="0.3">
      <c r="W1000" s="85">
        <v>44576</v>
      </c>
    </row>
    <row r="1001" spans="23:23" x14ac:dyDescent="0.3">
      <c r="W1001" s="85">
        <v>44577</v>
      </c>
    </row>
    <row r="1002" spans="23:23" x14ac:dyDescent="0.3">
      <c r="W1002" s="85">
        <v>44583</v>
      </c>
    </row>
    <row r="1003" spans="23:23" x14ac:dyDescent="0.3">
      <c r="W1003" s="85">
        <v>44584</v>
      </c>
    </row>
    <row r="1004" spans="23:23" x14ac:dyDescent="0.3">
      <c r="W1004" s="85">
        <v>44590</v>
      </c>
    </row>
    <row r="1005" spans="23:23" x14ac:dyDescent="0.3">
      <c r="W1005" s="85">
        <v>44591</v>
      </c>
    </row>
    <row r="1006" spans="23:23" x14ac:dyDescent="0.3">
      <c r="W1006" s="85">
        <v>44597</v>
      </c>
    </row>
    <row r="1007" spans="23:23" x14ac:dyDescent="0.3">
      <c r="W1007" s="85">
        <v>44598</v>
      </c>
    </row>
    <row r="1008" spans="23:23" x14ac:dyDescent="0.3">
      <c r="W1008" s="85">
        <v>44604</v>
      </c>
    </row>
    <row r="1009" spans="23:23" x14ac:dyDescent="0.3">
      <c r="W1009" s="85">
        <v>44605</v>
      </c>
    </row>
    <row r="1010" spans="23:23" x14ac:dyDescent="0.3">
      <c r="W1010" s="85">
        <v>44611</v>
      </c>
    </row>
    <row r="1011" spans="23:23" x14ac:dyDescent="0.3">
      <c r="W1011" s="85">
        <v>44612</v>
      </c>
    </row>
    <row r="1012" spans="23:23" x14ac:dyDescent="0.3">
      <c r="W1012" s="85">
        <v>44618</v>
      </c>
    </row>
    <row r="1013" spans="23:23" x14ac:dyDescent="0.3">
      <c r="W1013" s="85">
        <v>44619</v>
      </c>
    </row>
    <row r="1014" spans="23:23" x14ac:dyDescent="0.3">
      <c r="W1014" s="85">
        <v>44625</v>
      </c>
    </row>
    <row r="1015" spans="23:23" x14ac:dyDescent="0.3">
      <c r="W1015" s="85">
        <v>44626</v>
      </c>
    </row>
    <row r="1016" spans="23:23" x14ac:dyDescent="0.3">
      <c r="W1016" s="85">
        <v>44632</v>
      </c>
    </row>
    <row r="1017" spans="23:23" x14ac:dyDescent="0.3">
      <c r="W1017" s="85">
        <v>44633</v>
      </c>
    </row>
    <row r="1018" spans="23:23" x14ac:dyDescent="0.3">
      <c r="W1018" s="85">
        <v>44639</v>
      </c>
    </row>
    <row r="1019" spans="23:23" x14ac:dyDescent="0.3">
      <c r="W1019" s="85">
        <v>44640</v>
      </c>
    </row>
    <row r="1020" spans="23:23" x14ac:dyDescent="0.3">
      <c r="W1020" s="85">
        <v>44646</v>
      </c>
    </row>
    <row r="1021" spans="23:23" x14ac:dyDescent="0.3">
      <c r="W1021" s="85">
        <v>44647</v>
      </c>
    </row>
    <row r="1022" spans="23:23" x14ac:dyDescent="0.3">
      <c r="W1022" s="85">
        <v>44653</v>
      </c>
    </row>
    <row r="1023" spans="23:23" x14ac:dyDescent="0.3">
      <c r="W1023" s="85">
        <v>44654</v>
      </c>
    </row>
    <row r="1024" spans="23:23" x14ac:dyDescent="0.3">
      <c r="W1024" s="85">
        <v>44660</v>
      </c>
    </row>
    <row r="1025" spans="23:23" x14ac:dyDescent="0.3">
      <c r="W1025" s="85">
        <v>44661</v>
      </c>
    </row>
    <row r="1026" spans="23:23" x14ac:dyDescent="0.3">
      <c r="W1026" s="85">
        <v>44666</v>
      </c>
    </row>
    <row r="1027" spans="23:23" x14ac:dyDescent="0.3">
      <c r="W1027" s="85">
        <v>44667</v>
      </c>
    </row>
    <row r="1028" spans="23:23" x14ac:dyDescent="0.3">
      <c r="W1028" s="85">
        <v>44668</v>
      </c>
    </row>
    <row r="1029" spans="23:23" x14ac:dyDescent="0.3">
      <c r="W1029" s="85">
        <v>44669</v>
      </c>
    </row>
    <row r="1030" spans="23:23" x14ac:dyDescent="0.3">
      <c r="W1030" s="85">
        <v>44674</v>
      </c>
    </row>
    <row r="1031" spans="23:23" x14ac:dyDescent="0.3">
      <c r="W1031" s="85">
        <v>44675</v>
      </c>
    </row>
    <row r="1032" spans="23:23" x14ac:dyDescent="0.3">
      <c r="W1032" s="85">
        <v>44681</v>
      </c>
    </row>
    <row r="1033" spans="23:23" x14ac:dyDescent="0.3">
      <c r="W1033" s="85">
        <v>44682</v>
      </c>
    </row>
    <row r="1034" spans="23:23" x14ac:dyDescent="0.3">
      <c r="W1034" s="85">
        <v>44688</v>
      </c>
    </row>
    <row r="1035" spans="23:23" x14ac:dyDescent="0.3">
      <c r="W1035" s="85">
        <v>44689</v>
      </c>
    </row>
    <row r="1036" spans="23:23" x14ac:dyDescent="0.3">
      <c r="W1036" s="85">
        <v>44695</v>
      </c>
    </row>
    <row r="1037" spans="23:23" x14ac:dyDescent="0.3">
      <c r="W1037" s="85">
        <v>44696</v>
      </c>
    </row>
    <row r="1038" spans="23:23" x14ac:dyDescent="0.3">
      <c r="W1038" s="85">
        <v>44702</v>
      </c>
    </row>
    <row r="1039" spans="23:23" x14ac:dyDescent="0.3">
      <c r="W1039" s="85">
        <v>44703</v>
      </c>
    </row>
    <row r="1040" spans="23:23" x14ac:dyDescent="0.3">
      <c r="W1040" s="85">
        <v>44709</v>
      </c>
    </row>
    <row r="1041" spans="23:23" x14ac:dyDescent="0.3">
      <c r="W1041" s="85">
        <v>44710</v>
      </c>
    </row>
    <row r="1042" spans="23:23" x14ac:dyDescent="0.3">
      <c r="W1042" s="85">
        <v>44716</v>
      </c>
    </row>
    <row r="1043" spans="23:23" x14ac:dyDescent="0.3">
      <c r="W1043" s="85">
        <v>44717</v>
      </c>
    </row>
    <row r="1044" spans="23:23" x14ac:dyDescent="0.3">
      <c r="W1044" s="85">
        <v>44723</v>
      </c>
    </row>
    <row r="1045" spans="23:23" x14ac:dyDescent="0.3">
      <c r="W1045" s="85">
        <v>44724</v>
      </c>
    </row>
    <row r="1046" spans="23:23" x14ac:dyDescent="0.3">
      <c r="W1046" s="85">
        <v>44730</v>
      </c>
    </row>
    <row r="1047" spans="23:23" x14ac:dyDescent="0.3">
      <c r="W1047" s="85">
        <v>44731</v>
      </c>
    </row>
    <row r="1048" spans="23:23" x14ac:dyDescent="0.3">
      <c r="W1048" s="85">
        <v>44737</v>
      </c>
    </row>
    <row r="1049" spans="23:23" x14ac:dyDescent="0.3">
      <c r="W1049" s="85">
        <v>44738</v>
      </c>
    </row>
    <row r="1050" spans="23:23" x14ac:dyDescent="0.3">
      <c r="W1050" s="85">
        <v>44744</v>
      </c>
    </row>
    <row r="1051" spans="23:23" x14ac:dyDescent="0.3">
      <c r="W1051" s="85">
        <v>44745</v>
      </c>
    </row>
    <row r="1052" spans="23:23" x14ac:dyDescent="0.3">
      <c r="W1052" s="85">
        <v>44751</v>
      </c>
    </row>
    <row r="1053" spans="23:23" x14ac:dyDescent="0.3">
      <c r="W1053" s="85">
        <v>44752</v>
      </c>
    </row>
    <row r="1054" spans="23:23" x14ac:dyDescent="0.3">
      <c r="W1054" s="85">
        <v>44758</v>
      </c>
    </row>
    <row r="1055" spans="23:23" x14ac:dyDescent="0.3">
      <c r="W1055" s="85">
        <v>44759</v>
      </c>
    </row>
    <row r="1056" spans="23:23" x14ac:dyDescent="0.3">
      <c r="W1056" s="85">
        <v>44765</v>
      </c>
    </row>
    <row r="1057" spans="23:23" x14ac:dyDescent="0.3">
      <c r="W1057" s="85">
        <v>44766</v>
      </c>
    </row>
    <row r="1058" spans="23:23" x14ac:dyDescent="0.3">
      <c r="W1058" s="85">
        <v>44772</v>
      </c>
    </row>
    <row r="1059" spans="23:23" x14ac:dyDescent="0.3">
      <c r="W1059" s="85">
        <v>44773</v>
      </c>
    </row>
    <row r="1060" spans="23:23" x14ac:dyDescent="0.3">
      <c r="W1060" s="85">
        <v>44779</v>
      </c>
    </row>
    <row r="1061" spans="23:23" x14ac:dyDescent="0.3">
      <c r="W1061" s="85">
        <v>44780</v>
      </c>
    </row>
    <row r="1062" spans="23:23" x14ac:dyDescent="0.3">
      <c r="W1062" s="85">
        <v>44786</v>
      </c>
    </row>
    <row r="1063" spans="23:23" x14ac:dyDescent="0.3">
      <c r="W1063" s="85">
        <v>44787</v>
      </c>
    </row>
    <row r="1064" spans="23:23" x14ac:dyDescent="0.3">
      <c r="W1064" s="85">
        <v>44793</v>
      </c>
    </row>
    <row r="1065" spans="23:23" x14ac:dyDescent="0.3">
      <c r="W1065" s="85">
        <v>44794</v>
      </c>
    </row>
    <row r="1066" spans="23:23" x14ac:dyDescent="0.3">
      <c r="W1066" s="85">
        <v>44800</v>
      </c>
    </row>
    <row r="1067" spans="23:23" x14ac:dyDescent="0.3">
      <c r="W1067" s="85">
        <v>44801</v>
      </c>
    </row>
    <row r="1068" spans="23:23" x14ac:dyDescent="0.3">
      <c r="W1068" s="85">
        <v>44807</v>
      </c>
    </row>
    <row r="1069" spans="23:23" x14ac:dyDescent="0.3">
      <c r="W1069" s="85">
        <v>44808</v>
      </c>
    </row>
    <row r="1070" spans="23:23" x14ac:dyDescent="0.3">
      <c r="W1070" s="85">
        <v>44814</v>
      </c>
    </row>
    <row r="1071" spans="23:23" x14ac:dyDescent="0.3">
      <c r="W1071" s="85">
        <v>44815</v>
      </c>
    </row>
    <row r="1072" spans="23:23" x14ac:dyDescent="0.3">
      <c r="W1072" s="85">
        <v>44821</v>
      </c>
    </row>
    <row r="1073" spans="23:23" x14ac:dyDescent="0.3">
      <c r="W1073" s="85">
        <v>44822</v>
      </c>
    </row>
    <row r="1074" spans="23:23" x14ac:dyDescent="0.3">
      <c r="W1074" s="85">
        <v>44828</v>
      </c>
    </row>
    <row r="1075" spans="23:23" x14ac:dyDescent="0.3">
      <c r="W1075" s="85">
        <v>44829</v>
      </c>
    </row>
    <row r="1076" spans="23:23" x14ac:dyDescent="0.3">
      <c r="W1076" s="85">
        <v>44835</v>
      </c>
    </row>
    <row r="1077" spans="23:23" x14ac:dyDescent="0.3">
      <c r="W1077" s="85">
        <v>44836</v>
      </c>
    </row>
    <row r="1078" spans="23:23" x14ac:dyDescent="0.3">
      <c r="W1078" s="85">
        <v>44842</v>
      </c>
    </row>
    <row r="1079" spans="23:23" x14ac:dyDescent="0.3">
      <c r="W1079" s="85">
        <v>44843</v>
      </c>
    </row>
    <row r="1080" spans="23:23" x14ac:dyDescent="0.3">
      <c r="W1080" s="85">
        <v>44849</v>
      </c>
    </row>
    <row r="1081" spans="23:23" x14ac:dyDescent="0.3">
      <c r="W1081" s="85">
        <v>44850</v>
      </c>
    </row>
    <row r="1082" spans="23:23" x14ac:dyDescent="0.3">
      <c r="W1082" s="85">
        <v>44856</v>
      </c>
    </row>
    <row r="1083" spans="23:23" x14ac:dyDescent="0.3">
      <c r="W1083" s="85">
        <v>44857</v>
      </c>
    </row>
    <row r="1084" spans="23:23" x14ac:dyDescent="0.3">
      <c r="W1084" s="85">
        <v>44863</v>
      </c>
    </row>
    <row r="1085" spans="23:23" x14ac:dyDescent="0.3">
      <c r="W1085" s="85">
        <v>44864</v>
      </c>
    </row>
    <row r="1086" spans="23:23" x14ac:dyDescent="0.3">
      <c r="W1086" s="85">
        <v>44870</v>
      </c>
    </row>
    <row r="1087" spans="23:23" x14ac:dyDescent="0.3">
      <c r="W1087" s="85">
        <v>44871</v>
      </c>
    </row>
    <row r="1088" spans="23:23" x14ac:dyDescent="0.3">
      <c r="W1088" s="85">
        <v>44877</v>
      </c>
    </row>
    <row r="1089" spans="23:23" x14ac:dyDescent="0.3">
      <c r="W1089" s="85">
        <v>44878</v>
      </c>
    </row>
    <row r="1090" spans="23:23" x14ac:dyDescent="0.3">
      <c r="W1090" s="85">
        <v>44884</v>
      </c>
    </row>
    <row r="1091" spans="23:23" x14ac:dyDescent="0.3">
      <c r="W1091" s="85">
        <v>44885</v>
      </c>
    </row>
    <row r="1092" spans="23:23" x14ac:dyDescent="0.3">
      <c r="W1092" s="85">
        <v>44891</v>
      </c>
    </row>
    <row r="1093" spans="23:23" x14ac:dyDescent="0.3">
      <c r="W1093" s="85">
        <v>44892</v>
      </c>
    </row>
    <row r="1094" spans="23:23" x14ac:dyDescent="0.3">
      <c r="W1094" s="85">
        <v>44898</v>
      </c>
    </row>
    <row r="1095" spans="23:23" x14ac:dyDescent="0.3">
      <c r="W1095" s="85">
        <v>44899</v>
      </c>
    </row>
    <row r="1096" spans="23:23" x14ac:dyDescent="0.3">
      <c r="W1096" s="85">
        <v>44905</v>
      </c>
    </row>
    <row r="1097" spans="23:23" x14ac:dyDescent="0.3">
      <c r="W1097" s="85">
        <v>44906</v>
      </c>
    </row>
    <row r="1098" spans="23:23" x14ac:dyDescent="0.3">
      <c r="W1098" s="85">
        <v>44912</v>
      </c>
    </row>
    <row r="1099" spans="23:23" x14ac:dyDescent="0.3">
      <c r="W1099" s="85">
        <v>44913</v>
      </c>
    </row>
    <row r="1100" spans="23:23" x14ac:dyDescent="0.3">
      <c r="W1100" s="85">
        <v>44919</v>
      </c>
    </row>
    <row r="1101" spans="23:23" x14ac:dyDescent="0.3">
      <c r="W1101" s="85">
        <v>44920</v>
      </c>
    </row>
    <row r="1102" spans="23:23" x14ac:dyDescent="0.3">
      <c r="W1102" s="85">
        <v>44921</v>
      </c>
    </row>
    <row r="1103" spans="23:23" x14ac:dyDescent="0.3">
      <c r="W1103" s="85">
        <v>44926</v>
      </c>
    </row>
    <row r="1104" spans="23:23" x14ac:dyDescent="0.3">
      <c r="W1104" s="85">
        <v>44927</v>
      </c>
    </row>
    <row r="1105" spans="23:23" x14ac:dyDescent="0.3">
      <c r="W1105" s="85">
        <v>44933</v>
      </c>
    </row>
    <row r="1106" spans="23:23" x14ac:dyDescent="0.3">
      <c r="W1106" s="85">
        <v>44934</v>
      </c>
    </row>
    <row r="1107" spans="23:23" x14ac:dyDescent="0.3">
      <c r="W1107" s="85">
        <v>44940</v>
      </c>
    </row>
    <row r="1108" spans="23:23" x14ac:dyDescent="0.3">
      <c r="W1108" s="85">
        <v>44941</v>
      </c>
    </row>
    <row r="1109" spans="23:23" x14ac:dyDescent="0.3">
      <c r="W1109" s="85">
        <v>44947</v>
      </c>
    </row>
    <row r="1110" spans="23:23" x14ac:dyDescent="0.3">
      <c r="W1110" s="85">
        <v>44948</v>
      </c>
    </row>
    <row r="1111" spans="23:23" x14ac:dyDescent="0.3">
      <c r="W1111" s="85">
        <v>44954</v>
      </c>
    </row>
    <row r="1112" spans="23:23" x14ac:dyDescent="0.3">
      <c r="W1112" s="85">
        <v>44955</v>
      </c>
    </row>
    <row r="1113" spans="23:23" x14ac:dyDescent="0.3">
      <c r="W1113" s="85">
        <v>44961</v>
      </c>
    </row>
    <row r="1114" spans="23:23" x14ac:dyDescent="0.3">
      <c r="W1114" s="85">
        <v>44962</v>
      </c>
    </row>
    <row r="1115" spans="23:23" x14ac:dyDescent="0.3">
      <c r="W1115" s="85">
        <v>44968</v>
      </c>
    </row>
    <row r="1116" spans="23:23" x14ac:dyDescent="0.3">
      <c r="W1116" s="85">
        <v>44969</v>
      </c>
    </row>
    <row r="1117" spans="23:23" x14ac:dyDescent="0.3">
      <c r="W1117" s="85">
        <v>44975</v>
      </c>
    </row>
    <row r="1118" spans="23:23" x14ac:dyDescent="0.3">
      <c r="W1118" s="85">
        <v>44976</v>
      </c>
    </row>
    <row r="1119" spans="23:23" x14ac:dyDescent="0.3">
      <c r="W1119" s="85">
        <v>44982</v>
      </c>
    </row>
    <row r="1120" spans="23:23" x14ac:dyDescent="0.3">
      <c r="W1120" s="85">
        <v>44983</v>
      </c>
    </row>
    <row r="1121" spans="23:23" x14ac:dyDescent="0.3">
      <c r="W1121" s="85">
        <v>44989</v>
      </c>
    </row>
    <row r="1122" spans="23:23" x14ac:dyDescent="0.3">
      <c r="W1122" s="85">
        <v>44990</v>
      </c>
    </row>
    <row r="1123" spans="23:23" x14ac:dyDescent="0.3">
      <c r="W1123" s="85">
        <v>44996</v>
      </c>
    </row>
    <row r="1124" spans="23:23" x14ac:dyDescent="0.3">
      <c r="W1124" s="85">
        <v>44997</v>
      </c>
    </row>
    <row r="1125" spans="23:23" x14ac:dyDescent="0.3">
      <c r="W1125" s="85">
        <v>45003</v>
      </c>
    </row>
    <row r="1126" spans="23:23" x14ac:dyDescent="0.3">
      <c r="W1126" s="85">
        <v>45004</v>
      </c>
    </row>
    <row r="1127" spans="23:23" x14ac:dyDescent="0.3">
      <c r="W1127" s="85">
        <v>45010</v>
      </c>
    </row>
    <row r="1128" spans="23:23" x14ac:dyDescent="0.3">
      <c r="W1128" s="85">
        <v>45011</v>
      </c>
    </row>
    <row r="1129" spans="23:23" x14ac:dyDescent="0.3">
      <c r="W1129" s="85">
        <v>45017</v>
      </c>
    </row>
    <row r="1130" spans="23:23" x14ac:dyDescent="0.3">
      <c r="W1130" s="85">
        <v>45018</v>
      </c>
    </row>
    <row r="1131" spans="23:23" x14ac:dyDescent="0.3">
      <c r="W1131" s="85">
        <v>45023</v>
      </c>
    </row>
    <row r="1132" spans="23:23" x14ac:dyDescent="0.3">
      <c r="W1132" s="85">
        <v>45024</v>
      </c>
    </row>
    <row r="1133" spans="23:23" x14ac:dyDescent="0.3">
      <c r="W1133" s="85">
        <v>45025</v>
      </c>
    </row>
    <row r="1134" spans="23:23" x14ac:dyDescent="0.3">
      <c r="W1134" s="85">
        <v>45026</v>
      </c>
    </row>
    <row r="1135" spans="23:23" x14ac:dyDescent="0.3">
      <c r="W1135" s="85">
        <v>45031</v>
      </c>
    </row>
    <row r="1136" spans="23:23" x14ac:dyDescent="0.3">
      <c r="W1136" s="85">
        <v>45032</v>
      </c>
    </row>
    <row r="1137" spans="23:23" x14ac:dyDescent="0.3">
      <c r="W1137" s="85">
        <v>45038</v>
      </c>
    </row>
    <row r="1138" spans="23:23" x14ac:dyDescent="0.3">
      <c r="W1138" s="85">
        <v>45039</v>
      </c>
    </row>
    <row r="1139" spans="23:23" x14ac:dyDescent="0.3">
      <c r="W1139" s="85">
        <v>45045</v>
      </c>
    </row>
    <row r="1140" spans="23:23" x14ac:dyDescent="0.3">
      <c r="W1140" s="85">
        <v>45046</v>
      </c>
    </row>
    <row r="1141" spans="23:23" x14ac:dyDescent="0.3">
      <c r="W1141" s="85">
        <v>45047</v>
      </c>
    </row>
    <row r="1142" spans="23:23" x14ac:dyDescent="0.3">
      <c r="W1142" s="85">
        <v>45052</v>
      </c>
    </row>
    <row r="1143" spans="23:23" x14ac:dyDescent="0.3">
      <c r="W1143" s="85">
        <v>45053</v>
      </c>
    </row>
    <row r="1144" spans="23:23" x14ac:dyDescent="0.3">
      <c r="W1144" s="85">
        <v>45059</v>
      </c>
    </row>
    <row r="1145" spans="23:23" x14ac:dyDescent="0.3">
      <c r="W1145" s="85">
        <v>45060</v>
      </c>
    </row>
    <row r="1146" spans="23:23" x14ac:dyDescent="0.3">
      <c r="W1146" s="85">
        <v>45066</v>
      </c>
    </row>
    <row r="1147" spans="23:23" x14ac:dyDescent="0.3">
      <c r="W1147" s="85">
        <v>45067</v>
      </c>
    </row>
    <row r="1148" spans="23:23" x14ac:dyDescent="0.3">
      <c r="W1148" s="85">
        <v>45073</v>
      </c>
    </row>
    <row r="1149" spans="23:23" x14ac:dyDescent="0.3">
      <c r="W1149" s="85">
        <v>45074</v>
      </c>
    </row>
    <row r="1150" spans="23:23" x14ac:dyDescent="0.3">
      <c r="W1150" s="85">
        <v>45080</v>
      </c>
    </row>
    <row r="1151" spans="23:23" x14ac:dyDescent="0.3">
      <c r="W1151" s="85">
        <v>45081</v>
      </c>
    </row>
    <row r="1152" spans="23:23" x14ac:dyDescent="0.3">
      <c r="W1152" s="85">
        <v>45087</v>
      </c>
    </row>
    <row r="1153" spans="23:23" x14ac:dyDescent="0.3">
      <c r="W1153" s="85">
        <v>45088</v>
      </c>
    </row>
    <row r="1154" spans="23:23" x14ac:dyDescent="0.3">
      <c r="W1154" s="85">
        <v>45094</v>
      </c>
    </row>
    <row r="1155" spans="23:23" x14ac:dyDescent="0.3">
      <c r="W1155" s="85">
        <v>45095</v>
      </c>
    </row>
    <row r="1156" spans="23:23" x14ac:dyDescent="0.3">
      <c r="W1156" s="85">
        <v>45101</v>
      </c>
    </row>
    <row r="1157" spans="23:23" x14ac:dyDescent="0.3">
      <c r="W1157" s="85">
        <v>45102</v>
      </c>
    </row>
    <row r="1158" spans="23:23" x14ac:dyDescent="0.3">
      <c r="W1158" s="85">
        <v>45108</v>
      </c>
    </row>
    <row r="1159" spans="23:23" x14ac:dyDescent="0.3">
      <c r="W1159" s="85">
        <v>45109</v>
      </c>
    </row>
    <row r="1160" spans="23:23" x14ac:dyDescent="0.3">
      <c r="W1160" s="85">
        <v>45115</v>
      </c>
    </row>
    <row r="1161" spans="23:23" x14ac:dyDescent="0.3">
      <c r="W1161" s="85">
        <v>45116</v>
      </c>
    </row>
    <row r="1162" spans="23:23" x14ac:dyDescent="0.3">
      <c r="W1162" s="85">
        <v>45122</v>
      </c>
    </row>
    <row r="1163" spans="23:23" x14ac:dyDescent="0.3">
      <c r="W1163" s="85">
        <v>45123</v>
      </c>
    </row>
    <row r="1164" spans="23:23" x14ac:dyDescent="0.3">
      <c r="W1164" s="85">
        <v>45129</v>
      </c>
    </row>
    <row r="1165" spans="23:23" x14ac:dyDescent="0.3">
      <c r="W1165" s="85">
        <v>45130</v>
      </c>
    </row>
    <row r="1166" spans="23:23" x14ac:dyDescent="0.3">
      <c r="W1166" s="85">
        <v>45136</v>
      </c>
    </row>
    <row r="1167" spans="23:23" x14ac:dyDescent="0.3">
      <c r="W1167" s="85">
        <v>45137</v>
      </c>
    </row>
    <row r="1168" spans="23:23" x14ac:dyDescent="0.3">
      <c r="W1168" s="85">
        <v>45143</v>
      </c>
    </row>
    <row r="1169" spans="23:23" x14ac:dyDescent="0.3">
      <c r="W1169" s="85">
        <v>45144</v>
      </c>
    </row>
    <row r="1170" spans="23:23" x14ac:dyDescent="0.3">
      <c r="W1170" s="85">
        <v>45150</v>
      </c>
    </row>
    <row r="1171" spans="23:23" x14ac:dyDescent="0.3">
      <c r="W1171" s="85">
        <v>45151</v>
      </c>
    </row>
    <row r="1172" spans="23:23" x14ac:dyDescent="0.3">
      <c r="W1172" s="85">
        <v>45157</v>
      </c>
    </row>
    <row r="1173" spans="23:23" x14ac:dyDescent="0.3">
      <c r="W1173" s="85">
        <v>45158</v>
      </c>
    </row>
    <row r="1174" spans="23:23" x14ac:dyDescent="0.3">
      <c r="W1174" s="85">
        <v>45164</v>
      </c>
    </row>
    <row r="1175" spans="23:23" x14ac:dyDescent="0.3">
      <c r="W1175" s="85">
        <v>45165</v>
      </c>
    </row>
    <row r="1176" spans="23:23" x14ac:dyDescent="0.3">
      <c r="W1176" s="85">
        <v>45171</v>
      </c>
    </row>
    <row r="1177" spans="23:23" x14ac:dyDescent="0.3">
      <c r="W1177" s="85">
        <v>45172</v>
      </c>
    </row>
    <row r="1178" spans="23:23" x14ac:dyDescent="0.3">
      <c r="W1178" s="85">
        <v>45178</v>
      </c>
    </row>
    <row r="1179" spans="23:23" x14ac:dyDescent="0.3">
      <c r="W1179" s="85">
        <v>45179</v>
      </c>
    </row>
    <row r="1180" spans="23:23" x14ac:dyDescent="0.3">
      <c r="W1180" s="85">
        <v>45185</v>
      </c>
    </row>
    <row r="1181" spans="23:23" x14ac:dyDescent="0.3">
      <c r="W1181" s="85">
        <v>45186</v>
      </c>
    </row>
    <row r="1182" spans="23:23" x14ac:dyDescent="0.3">
      <c r="W1182" s="85">
        <v>45192</v>
      </c>
    </row>
    <row r="1183" spans="23:23" x14ac:dyDescent="0.3">
      <c r="W1183" s="85">
        <v>45193</v>
      </c>
    </row>
    <row r="1184" spans="23:23" x14ac:dyDescent="0.3">
      <c r="W1184" s="85">
        <v>45199</v>
      </c>
    </row>
    <row r="1185" spans="23:23" x14ac:dyDescent="0.3">
      <c r="W1185" s="85">
        <v>45200</v>
      </c>
    </row>
    <row r="1186" spans="23:23" x14ac:dyDescent="0.3">
      <c r="W1186" s="85">
        <v>45206</v>
      </c>
    </row>
    <row r="1187" spans="23:23" x14ac:dyDescent="0.3">
      <c r="W1187" s="85">
        <v>45207</v>
      </c>
    </row>
    <row r="1188" spans="23:23" x14ac:dyDescent="0.3">
      <c r="W1188" s="85">
        <v>45213</v>
      </c>
    </row>
    <row r="1189" spans="23:23" x14ac:dyDescent="0.3">
      <c r="W1189" s="85">
        <v>45214</v>
      </c>
    </row>
    <row r="1190" spans="23:23" x14ac:dyDescent="0.3">
      <c r="W1190" s="85">
        <v>45220</v>
      </c>
    </row>
    <row r="1191" spans="23:23" x14ac:dyDescent="0.3">
      <c r="W1191" s="85">
        <v>45221</v>
      </c>
    </row>
    <row r="1192" spans="23:23" x14ac:dyDescent="0.3">
      <c r="W1192" s="85">
        <v>45227</v>
      </c>
    </row>
    <row r="1193" spans="23:23" x14ac:dyDescent="0.3">
      <c r="W1193" s="85">
        <v>45228</v>
      </c>
    </row>
    <row r="1194" spans="23:23" x14ac:dyDescent="0.3">
      <c r="W1194" s="85">
        <v>45234</v>
      </c>
    </row>
    <row r="1195" spans="23:23" x14ac:dyDescent="0.3">
      <c r="W1195" s="85">
        <v>45235</v>
      </c>
    </row>
    <row r="1196" spans="23:23" x14ac:dyDescent="0.3">
      <c r="W1196" s="85">
        <v>45241</v>
      </c>
    </row>
    <row r="1197" spans="23:23" x14ac:dyDescent="0.3">
      <c r="W1197" s="85">
        <v>45242</v>
      </c>
    </row>
    <row r="1198" spans="23:23" x14ac:dyDescent="0.3">
      <c r="W1198" s="85">
        <v>45248</v>
      </c>
    </row>
    <row r="1199" spans="23:23" x14ac:dyDescent="0.3">
      <c r="W1199" s="85">
        <v>45249</v>
      </c>
    </row>
    <row r="1200" spans="23:23" x14ac:dyDescent="0.3">
      <c r="W1200" s="85">
        <v>45255</v>
      </c>
    </row>
    <row r="1201" spans="23:23" x14ac:dyDescent="0.3">
      <c r="W1201" s="85">
        <v>45256</v>
      </c>
    </row>
    <row r="1202" spans="23:23" x14ac:dyDescent="0.3">
      <c r="W1202" s="85">
        <v>45262</v>
      </c>
    </row>
    <row r="1203" spans="23:23" x14ac:dyDescent="0.3">
      <c r="W1203" s="85">
        <v>45263</v>
      </c>
    </row>
    <row r="1204" spans="23:23" x14ac:dyDescent="0.3">
      <c r="W1204" s="85">
        <v>45269</v>
      </c>
    </row>
    <row r="1205" spans="23:23" x14ac:dyDescent="0.3">
      <c r="W1205" s="85">
        <v>45270</v>
      </c>
    </row>
    <row r="1206" spans="23:23" x14ac:dyDescent="0.3">
      <c r="W1206" s="85">
        <v>45276</v>
      </c>
    </row>
    <row r="1207" spans="23:23" x14ac:dyDescent="0.3">
      <c r="W1207" s="85">
        <v>45277</v>
      </c>
    </row>
    <row r="1208" spans="23:23" x14ac:dyDescent="0.3">
      <c r="W1208" s="85">
        <v>45283</v>
      </c>
    </row>
    <row r="1209" spans="23:23" x14ac:dyDescent="0.3">
      <c r="W1209" s="85">
        <v>45284</v>
      </c>
    </row>
    <row r="1210" spans="23:23" x14ac:dyDescent="0.3">
      <c r="W1210" s="85">
        <v>45285</v>
      </c>
    </row>
    <row r="1211" spans="23:23" x14ac:dyDescent="0.3">
      <c r="W1211" s="85">
        <v>45286</v>
      </c>
    </row>
    <row r="1212" spans="23:23" x14ac:dyDescent="0.3">
      <c r="W1212" s="85">
        <v>45290</v>
      </c>
    </row>
    <row r="1213" spans="23:23" x14ac:dyDescent="0.3">
      <c r="W1213" s="85">
        <v>45291</v>
      </c>
    </row>
    <row r="1214" spans="23:23" x14ac:dyDescent="0.3">
      <c r="W1214" s="85">
        <v>45292</v>
      </c>
    </row>
    <row r="1215" spans="23:23" x14ac:dyDescent="0.3">
      <c r="W1215" s="85">
        <v>45297</v>
      </c>
    </row>
    <row r="1216" spans="23:23" x14ac:dyDescent="0.3">
      <c r="W1216" s="85">
        <v>45298</v>
      </c>
    </row>
    <row r="1217" spans="23:23" x14ac:dyDescent="0.3">
      <c r="W1217" s="85">
        <v>45304</v>
      </c>
    </row>
    <row r="1218" spans="23:23" x14ac:dyDescent="0.3">
      <c r="W1218" s="85">
        <v>45305</v>
      </c>
    </row>
    <row r="1219" spans="23:23" x14ac:dyDescent="0.3">
      <c r="W1219" s="85">
        <v>45311</v>
      </c>
    </row>
    <row r="1220" spans="23:23" x14ac:dyDescent="0.3">
      <c r="W1220" s="85">
        <v>45312</v>
      </c>
    </row>
    <row r="1221" spans="23:23" x14ac:dyDescent="0.3">
      <c r="W1221" s="85">
        <v>45318</v>
      </c>
    </row>
    <row r="1222" spans="23:23" x14ac:dyDescent="0.3">
      <c r="W1222" s="85">
        <v>45319</v>
      </c>
    </row>
    <row r="1223" spans="23:23" x14ac:dyDescent="0.3">
      <c r="W1223" s="85">
        <v>45325</v>
      </c>
    </row>
    <row r="1224" spans="23:23" x14ac:dyDescent="0.3">
      <c r="W1224" s="85">
        <v>45326</v>
      </c>
    </row>
    <row r="1225" spans="23:23" x14ac:dyDescent="0.3">
      <c r="W1225" s="85">
        <v>45332</v>
      </c>
    </row>
    <row r="1226" spans="23:23" x14ac:dyDescent="0.3">
      <c r="W1226" s="85">
        <v>45333</v>
      </c>
    </row>
    <row r="1227" spans="23:23" x14ac:dyDescent="0.3">
      <c r="W1227" s="85">
        <v>45339</v>
      </c>
    </row>
    <row r="1228" spans="23:23" x14ac:dyDescent="0.3">
      <c r="W1228" s="85">
        <v>45340</v>
      </c>
    </row>
    <row r="1229" spans="23:23" x14ac:dyDescent="0.3">
      <c r="W1229" s="85">
        <v>45346</v>
      </c>
    </row>
    <row r="1230" spans="23:23" x14ac:dyDescent="0.3">
      <c r="W1230" s="85">
        <v>45347</v>
      </c>
    </row>
    <row r="1231" spans="23:23" x14ac:dyDescent="0.3">
      <c r="W1231" s="85">
        <v>45353</v>
      </c>
    </row>
    <row r="1232" spans="23:23" x14ac:dyDescent="0.3">
      <c r="W1232" s="85">
        <v>45354</v>
      </c>
    </row>
    <row r="1233" spans="23:23" x14ac:dyDescent="0.3">
      <c r="W1233" s="85">
        <v>45360</v>
      </c>
    </row>
    <row r="1234" spans="23:23" x14ac:dyDescent="0.3">
      <c r="W1234" s="85">
        <v>45361</v>
      </c>
    </row>
    <row r="1235" spans="23:23" x14ac:dyDescent="0.3">
      <c r="W1235" s="85">
        <v>45367</v>
      </c>
    </row>
    <row r="1236" spans="23:23" x14ac:dyDescent="0.3">
      <c r="W1236" s="85">
        <v>45368</v>
      </c>
    </row>
    <row r="1237" spans="23:23" x14ac:dyDescent="0.3">
      <c r="W1237" s="85">
        <v>45374</v>
      </c>
    </row>
    <row r="1238" spans="23:23" x14ac:dyDescent="0.3">
      <c r="W1238" s="85">
        <v>45375</v>
      </c>
    </row>
    <row r="1239" spans="23:23" x14ac:dyDescent="0.3">
      <c r="W1239" s="85">
        <v>45380</v>
      </c>
    </row>
    <row r="1240" spans="23:23" x14ac:dyDescent="0.3">
      <c r="W1240" s="85">
        <v>45381</v>
      </c>
    </row>
    <row r="1241" spans="23:23" x14ac:dyDescent="0.3">
      <c r="W1241" s="85">
        <v>45382</v>
      </c>
    </row>
    <row r="1242" spans="23:23" x14ac:dyDescent="0.3">
      <c r="W1242" s="85">
        <v>45383</v>
      </c>
    </row>
    <row r="1243" spans="23:23" x14ac:dyDescent="0.3">
      <c r="W1243" s="85">
        <v>45388</v>
      </c>
    </row>
    <row r="1244" spans="23:23" x14ac:dyDescent="0.3">
      <c r="W1244" s="85">
        <v>45389</v>
      </c>
    </row>
    <row r="1245" spans="23:23" x14ac:dyDescent="0.3">
      <c r="W1245" s="85">
        <v>45395</v>
      </c>
    </row>
    <row r="1246" spans="23:23" x14ac:dyDescent="0.3">
      <c r="W1246" s="85">
        <v>45396</v>
      </c>
    </row>
    <row r="1247" spans="23:23" x14ac:dyDescent="0.3">
      <c r="W1247" s="85">
        <v>45402</v>
      </c>
    </row>
    <row r="1248" spans="23:23" x14ac:dyDescent="0.3">
      <c r="W1248" s="85">
        <v>45403</v>
      </c>
    </row>
    <row r="1249" spans="23:23" x14ac:dyDescent="0.3">
      <c r="W1249" s="85">
        <v>45409</v>
      </c>
    </row>
    <row r="1250" spans="23:23" x14ac:dyDescent="0.3">
      <c r="W1250" s="85">
        <v>45410</v>
      </c>
    </row>
    <row r="1251" spans="23:23" x14ac:dyDescent="0.3">
      <c r="W1251" s="85">
        <v>45413</v>
      </c>
    </row>
    <row r="1252" spans="23:23" x14ac:dyDescent="0.3">
      <c r="W1252" s="85">
        <v>45416</v>
      </c>
    </row>
    <row r="1253" spans="23:23" x14ac:dyDescent="0.3">
      <c r="W1253" s="85">
        <v>45417</v>
      </c>
    </row>
    <row r="1254" spans="23:23" x14ac:dyDescent="0.3">
      <c r="W1254" s="85">
        <v>45423</v>
      </c>
    </row>
    <row r="1255" spans="23:23" x14ac:dyDescent="0.3">
      <c r="W1255" s="85">
        <v>45424</v>
      </c>
    </row>
    <row r="1256" spans="23:23" x14ac:dyDescent="0.3">
      <c r="W1256" s="85">
        <v>45430</v>
      </c>
    </row>
    <row r="1257" spans="23:23" x14ac:dyDescent="0.3">
      <c r="W1257" s="85">
        <v>45431</v>
      </c>
    </row>
    <row r="1258" spans="23:23" x14ac:dyDescent="0.3">
      <c r="W1258" s="85">
        <v>45437</v>
      </c>
    </row>
    <row r="1259" spans="23:23" x14ac:dyDescent="0.3">
      <c r="W1259" s="85">
        <v>45438</v>
      </c>
    </row>
    <row r="1260" spans="23:23" x14ac:dyDescent="0.3">
      <c r="W1260" s="85">
        <v>45444</v>
      </c>
    </row>
    <row r="1261" spans="23:23" x14ac:dyDescent="0.3">
      <c r="W1261" s="85">
        <v>45445</v>
      </c>
    </row>
    <row r="1262" spans="23:23" x14ac:dyDescent="0.3">
      <c r="W1262" s="85">
        <v>45451</v>
      </c>
    </row>
    <row r="1263" spans="23:23" x14ac:dyDescent="0.3">
      <c r="W1263" s="85">
        <v>45452</v>
      </c>
    </row>
    <row r="1264" spans="23:23" x14ac:dyDescent="0.3">
      <c r="W1264" s="85">
        <v>45458</v>
      </c>
    </row>
    <row r="1265" spans="23:23" x14ac:dyDescent="0.3">
      <c r="W1265" s="85">
        <v>45459</v>
      </c>
    </row>
    <row r="1266" spans="23:23" x14ac:dyDescent="0.3">
      <c r="W1266" s="85">
        <v>45465</v>
      </c>
    </row>
    <row r="1267" spans="23:23" x14ac:dyDescent="0.3">
      <c r="W1267" s="85">
        <v>45466</v>
      </c>
    </row>
    <row r="1268" spans="23:23" x14ac:dyDescent="0.3">
      <c r="W1268" s="85">
        <v>45472</v>
      </c>
    </row>
    <row r="1269" spans="23:23" x14ac:dyDescent="0.3">
      <c r="W1269" s="85">
        <v>45473</v>
      </c>
    </row>
    <row r="1270" spans="23:23" x14ac:dyDescent="0.3">
      <c r="W1270" s="85">
        <v>45479</v>
      </c>
    </row>
    <row r="1271" spans="23:23" x14ac:dyDescent="0.3">
      <c r="W1271" s="85">
        <v>45480</v>
      </c>
    </row>
    <row r="1272" spans="23:23" x14ac:dyDescent="0.3">
      <c r="W1272" s="85">
        <v>45486</v>
      </c>
    </row>
    <row r="1273" spans="23:23" x14ac:dyDescent="0.3">
      <c r="W1273" s="85">
        <v>45487</v>
      </c>
    </row>
    <row r="1274" spans="23:23" x14ac:dyDescent="0.3">
      <c r="W1274" s="85">
        <v>45493</v>
      </c>
    </row>
    <row r="1275" spans="23:23" x14ac:dyDescent="0.3">
      <c r="W1275" s="85">
        <v>45494</v>
      </c>
    </row>
    <row r="1276" spans="23:23" x14ac:dyDescent="0.3">
      <c r="W1276" s="85">
        <v>45500</v>
      </c>
    </row>
    <row r="1277" spans="23:23" x14ac:dyDescent="0.3">
      <c r="W1277" s="85">
        <v>45501</v>
      </c>
    </row>
    <row r="1278" spans="23:23" x14ac:dyDescent="0.3">
      <c r="W1278" s="85">
        <v>45507</v>
      </c>
    </row>
    <row r="1279" spans="23:23" x14ac:dyDescent="0.3">
      <c r="W1279" s="85">
        <v>45508</v>
      </c>
    </row>
    <row r="1280" spans="23:23" x14ac:dyDescent="0.3">
      <c r="W1280" s="85">
        <v>45514</v>
      </c>
    </row>
    <row r="1281" spans="23:23" x14ac:dyDescent="0.3">
      <c r="W1281" s="85">
        <v>45515</v>
      </c>
    </row>
    <row r="1282" spans="23:23" x14ac:dyDescent="0.3">
      <c r="W1282" s="85">
        <v>45521</v>
      </c>
    </row>
    <row r="1283" spans="23:23" x14ac:dyDescent="0.3">
      <c r="W1283" s="85">
        <v>45522</v>
      </c>
    </row>
    <row r="1284" spans="23:23" x14ac:dyDescent="0.3">
      <c r="W1284" s="85">
        <v>45528</v>
      </c>
    </row>
    <row r="1285" spans="23:23" x14ac:dyDescent="0.3">
      <c r="W1285" s="85">
        <v>45529</v>
      </c>
    </row>
    <row r="1286" spans="23:23" x14ac:dyDescent="0.3">
      <c r="W1286" s="85">
        <v>45535</v>
      </c>
    </row>
    <row r="1287" spans="23:23" x14ac:dyDescent="0.3">
      <c r="W1287" s="85">
        <v>45536</v>
      </c>
    </row>
    <row r="1288" spans="23:23" x14ac:dyDescent="0.3">
      <c r="W1288" s="85">
        <v>45542</v>
      </c>
    </row>
    <row r="1289" spans="23:23" x14ac:dyDescent="0.3">
      <c r="W1289" s="85">
        <v>45543</v>
      </c>
    </row>
    <row r="1290" spans="23:23" x14ac:dyDescent="0.3">
      <c r="W1290" s="85">
        <v>45549</v>
      </c>
    </row>
    <row r="1291" spans="23:23" x14ac:dyDescent="0.3">
      <c r="W1291" s="85">
        <v>45550</v>
      </c>
    </row>
    <row r="1292" spans="23:23" x14ac:dyDescent="0.3">
      <c r="W1292" s="85">
        <v>45556</v>
      </c>
    </row>
    <row r="1293" spans="23:23" x14ac:dyDescent="0.3">
      <c r="W1293" s="85">
        <v>45557</v>
      </c>
    </row>
    <row r="1294" spans="23:23" x14ac:dyDescent="0.3">
      <c r="W1294" s="85">
        <v>45563</v>
      </c>
    </row>
    <row r="1295" spans="23:23" x14ac:dyDescent="0.3">
      <c r="W1295" s="85">
        <v>45564</v>
      </c>
    </row>
    <row r="1296" spans="23:23" x14ac:dyDescent="0.3">
      <c r="W1296" s="85">
        <v>45570</v>
      </c>
    </row>
    <row r="1297" spans="23:23" x14ac:dyDescent="0.3">
      <c r="W1297" s="85">
        <v>45571</v>
      </c>
    </row>
    <row r="1298" spans="23:23" x14ac:dyDescent="0.3">
      <c r="W1298" s="85">
        <v>45577</v>
      </c>
    </row>
    <row r="1299" spans="23:23" x14ac:dyDescent="0.3">
      <c r="W1299" s="85">
        <v>45578</v>
      </c>
    </row>
    <row r="1300" spans="23:23" x14ac:dyDescent="0.3">
      <c r="W1300" s="85">
        <v>45584</v>
      </c>
    </row>
    <row r="1301" spans="23:23" x14ac:dyDescent="0.3">
      <c r="W1301" s="85">
        <v>45585</v>
      </c>
    </row>
    <row r="1302" spans="23:23" x14ac:dyDescent="0.3">
      <c r="W1302" s="85">
        <v>45591</v>
      </c>
    </row>
    <row r="1303" spans="23:23" x14ac:dyDescent="0.3">
      <c r="W1303" s="85">
        <v>45592</v>
      </c>
    </row>
    <row r="1304" spans="23:23" x14ac:dyDescent="0.3">
      <c r="W1304" s="85">
        <v>45598</v>
      </c>
    </row>
    <row r="1305" spans="23:23" x14ac:dyDescent="0.3">
      <c r="W1305" s="85">
        <v>45599</v>
      </c>
    </row>
    <row r="1306" spans="23:23" x14ac:dyDescent="0.3">
      <c r="W1306" s="85">
        <v>45605</v>
      </c>
    </row>
    <row r="1307" spans="23:23" x14ac:dyDescent="0.3">
      <c r="W1307" s="85">
        <v>45606</v>
      </c>
    </row>
    <row r="1308" spans="23:23" x14ac:dyDescent="0.3">
      <c r="W1308" s="85">
        <v>45612</v>
      </c>
    </row>
    <row r="1309" spans="23:23" x14ac:dyDescent="0.3">
      <c r="W1309" s="85">
        <v>45613</v>
      </c>
    </row>
    <row r="1310" spans="23:23" x14ac:dyDescent="0.3">
      <c r="W1310" s="85">
        <v>45619</v>
      </c>
    </row>
    <row r="1311" spans="23:23" x14ac:dyDescent="0.3">
      <c r="W1311" s="85">
        <v>45620</v>
      </c>
    </row>
    <row r="1312" spans="23:23" x14ac:dyDescent="0.3">
      <c r="W1312" s="85">
        <v>45626</v>
      </c>
    </row>
    <row r="1313" spans="23:23" x14ac:dyDescent="0.3">
      <c r="W1313" s="85">
        <v>45627</v>
      </c>
    </row>
    <row r="1314" spans="23:23" x14ac:dyDescent="0.3">
      <c r="W1314" s="85">
        <v>45633</v>
      </c>
    </row>
    <row r="1315" spans="23:23" x14ac:dyDescent="0.3">
      <c r="W1315" s="85">
        <v>45634</v>
      </c>
    </row>
    <row r="1316" spans="23:23" x14ac:dyDescent="0.3">
      <c r="W1316" s="85">
        <v>45640</v>
      </c>
    </row>
    <row r="1317" spans="23:23" x14ac:dyDescent="0.3">
      <c r="W1317" s="85">
        <v>45641</v>
      </c>
    </row>
    <row r="1318" spans="23:23" x14ac:dyDescent="0.3">
      <c r="W1318" s="85">
        <v>45647</v>
      </c>
    </row>
    <row r="1319" spans="23:23" x14ac:dyDescent="0.3">
      <c r="W1319" s="85">
        <v>45648</v>
      </c>
    </row>
    <row r="1320" spans="23:23" x14ac:dyDescent="0.3">
      <c r="W1320" s="85">
        <v>45651</v>
      </c>
    </row>
    <row r="1321" spans="23:23" x14ac:dyDescent="0.3">
      <c r="W1321" s="85">
        <v>45652</v>
      </c>
    </row>
    <row r="1322" spans="23:23" x14ac:dyDescent="0.3">
      <c r="W1322" s="85">
        <v>45654</v>
      </c>
    </row>
    <row r="1323" spans="23:23" x14ac:dyDescent="0.3">
      <c r="W1323" s="85">
        <v>45655</v>
      </c>
    </row>
    <row r="1324" spans="23:23" x14ac:dyDescent="0.3">
      <c r="W1324" s="85">
        <v>45658</v>
      </c>
    </row>
    <row r="1325" spans="23:23" x14ac:dyDescent="0.3">
      <c r="W1325" s="85">
        <v>45661</v>
      </c>
    </row>
    <row r="1326" spans="23:23" x14ac:dyDescent="0.3">
      <c r="W1326" s="85">
        <v>45662</v>
      </c>
    </row>
    <row r="1327" spans="23:23" x14ac:dyDescent="0.3">
      <c r="W1327" s="85">
        <v>45668</v>
      </c>
    </row>
    <row r="1328" spans="23:23" x14ac:dyDescent="0.3">
      <c r="W1328" s="85">
        <v>45669</v>
      </c>
    </row>
    <row r="1329" spans="23:23" x14ac:dyDescent="0.3">
      <c r="W1329" s="85">
        <v>45675</v>
      </c>
    </row>
    <row r="1330" spans="23:23" x14ac:dyDescent="0.3">
      <c r="W1330" s="85">
        <v>45676</v>
      </c>
    </row>
    <row r="1331" spans="23:23" x14ac:dyDescent="0.3">
      <c r="W1331" s="85">
        <v>45682</v>
      </c>
    </row>
    <row r="1332" spans="23:23" x14ac:dyDescent="0.3">
      <c r="W1332" s="85">
        <v>45683</v>
      </c>
    </row>
    <row r="1333" spans="23:23" x14ac:dyDescent="0.3">
      <c r="W1333" s="85">
        <v>45689</v>
      </c>
    </row>
    <row r="1334" spans="23:23" x14ac:dyDescent="0.3">
      <c r="W1334" s="85">
        <v>45690</v>
      </c>
    </row>
    <row r="1335" spans="23:23" x14ac:dyDescent="0.3">
      <c r="W1335" s="85">
        <v>45696</v>
      </c>
    </row>
    <row r="1336" spans="23:23" x14ac:dyDescent="0.3">
      <c r="W1336" s="85">
        <v>45697</v>
      </c>
    </row>
    <row r="1337" spans="23:23" x14ac:dyDescent="0.3">
      <c r="W1337" s="85">
        <v>45703</v>
      </c>
    </row>
    <row r="1338" spans="23:23" x14ac:dyDescent="0.3">
      <c r="W1338" s="85">
        <v>45704</v>
      </c>
    </row>
    <row r="1339" spans="23:23" x14ac:dyDescent="0.3">
      <c r="W1339" s="85">
        <v>45710</v>
      </c>
    </row>
    <row r="1340" spans="23:23" x14ac:dyDescent="0.3">
      <c r="W1340" s="85">
        <v>45711</v>
      </c>
    </row>
    <row r="1341" spans="23:23" x14ac:dyDescent="0.3">
      <c r="W1341" s="85">
        <v>45717</v>
      </c>
    </row>
    <row r="1342" spans="23:23" x14ac:dyDescent="0.3">
      <c r="W1342" s="85">
        <v>45718</v>
      </c>
    </row>
    <row r="1343" spans="23:23" x14ac:dyDescent="0.3">
      <c r="W1343" s="85">
        <v>45724</v>
      </c>
    </row>
    <row r="1344" spans="23:23" x14ac:dyDescent="0.3">
      <c r="W1344" s="85">
        <v>45725</v>
      </c>
    </row>
    <row r="1345" spans="23:23" x14ac:dyDescent="0.3">
      <c r="W1345" s="85">
        <v>45731</v>
      </c>
    </row>
    <row r="1346" spans="23:23" x14ac:dyDescent="0.3">
      <c r="W1346" s="85">
        <v>45732</v>
      </c>
    </row>
    <row r="1347" spans="23:23" x14ac:dyDescent="0.3">
      <c r="W1347" s="85">
        <v>45738</v>
      </c>
    </row>
    <row r="1348" spans="23:23" x14ac:dyDescent="0.3">
      <c r="W1348" s="85">
        <v>45739</v>
      </c>
    </row>
    <row r="1349" spans="23:23" x14ac:dyDescent="0.3">
      <c r="W1349" s="85">
        <v>45745</v>
      </c>
    </row>
    <row r="1350" spans="23:23" x14ac:dyDescent="0.3">
      <c r="W1350" s="85">
        <v>45746</v>
      </c>
    </row>
    <row r="1351" spans="23:23" x14ac:dyDescent="0.3">
      <c r="W1351" s="85">
        <v>45752</v>
      </c>
    </row>
    <row r="1352" spans="23:23" x14ac:dyDescent="0.3">
      <c r="W1352" s="85">
        <v>45753</v>
      </c>
    </row>
    <row r="1353" spans="23:23" x14ac:dyDescent="0.3">
      <c r="W1353" s="85">
        <v>45759</v>
      </c>
    </row>
    <row r="1354" spans="23:23" x14ac:dyDescent="0.3">
      <c r="W1354" s="85">
        <v>45760</v>
      </c>
    </row>
    <row r="1355" spans="23:23" x14ac:dyDescent="0.3">
      <c r="W1355" s="85">
        <v>45765</v>
      </c>
    </row>
    <row r="1356" spans="23:23" x14ac:dyDescent="0.3">
      <c r="W1356" s="85">
        <v>45766</v>
      </c>
    </row>
    <row r="1357" spans="23:23" x14ac:dyDescent="0.3">
      <c r="W1357" s="85">
        <v>45767</v>
      </c>
    </row>
    <row r="1358" spans="23:23" x14ac:dyDescent="0.3">
      <c r="W1358" s="85">
        <v>45768</v>
      </c>
    </row>
    <row r="1359" spans="23:23" x14ac:dyDescent="0.3">
      <c r="W1359" s="85">
        <v>45773</v>
      </c>
    </row>
    <row r="1360" spans="23:23" x14ac:dyDescent="0.3">
      <c r="W1360" s="85">
        <v>45774</v>
      </c>
    </row>
    <row r="1361" spans="23:23" x14ac:dyDescent="0.3">
      <c r="W1361" s="85">
        <v>45778</v>
      </c>
    </row>
    <row r="1362" spans="23:23" x14ac:dyDescent="0.3">
      <c r="W1362" s="85">
        <v>45780</v>
      </c>
    </row>
    <row r="1363" spans="23:23" x14ac:dyDescent="0.3">
      <c r="W1363" s="85">
        <v>45781</v>
      </c>
    </row>
    <row r="1364" spans="23:23" x14ac:dyDescent="0.3">
      <c r="W1364" s="85">
        <v>45787</v>
      </c>
    </row>
    <row r="1365" spans="23:23" x14ac:dyDescent="0.3">
      <c r="W1365" s="85">
        <v>45788</v>
      </c>
    </row>
    <row r="1366" spans="23:23" x14ac:dyDescent="0.3">
      <c r="W1366" s="85">
        <v>45794</v>
      </c>
    </row>
    <row r="1367" spans="23:23" x14ac:dyDescent="0.3">
      <c r="W1367" s="85">
        <v>45795</v>
      </c>
    </row>
    <row r="1368" spans="23:23" x14ac:dyDescent="0.3">
      <c r="W1368" s="85">
        <v>45801</v>
      </c>
    </row>
    <row r="1369" spans="23:23" x14ac:dyDescent="0.3">
      <c r="W1369" s="85">
        <v>45802</v>
      </c>
    </row>
    <row r="1370" spans="23:23" x14ac:dyDescent="0.3">
      <c r="W1370" s="85">
        <v>45808</v>
      </c>
    </row>
    <row r="1371" spans="23:23" x14ac:dyDescent="0.3">
      <c r="W1371" s="85">
        <v>45809</v>
      </c>
    </row>
    <row r="1372" spans="23:23" x14ac:dyDescent="0.3">
      <c r="W1372" s="85">
        <v>45815</v>
      </c>
    </row>
    <row r="1373" spans="23:23" x14ac:dyDescent="0.3">
      <c r="W1373" s="85">
        <v>45816</v>
      </c>
    </row>
    <row r="1374" spans="23:23" x14ac:dyDescent="0.3">
      <c r="W1374" s="85">
        <v>45822</v>
      </c>
    </row>
    <row r="1375" spans="23:23" x14ac:dyDescent="0.3">
      <c r="W1375" s="85">
        <v>45823</v>
      </c>
    </row>
    <row r="1376" spans="23:23" x14ac:dyDescent="0.3">
      <c r="W1376" s="85">
        <v>45829</v>
      </c>
    </row>
    <row r="1377" spans="23:23" x14ac:dyDescent="0.3">
      <c r="W1377" s="85">
        <v>45830</v>
      </c>
    </row>
    <row r="1378" spans="23:23" x14ac:dyDescent="0.3">
      <c r="W1378" s="85">
        <v>45836</v>
      </c>
    </row>
    <row r="1379" spans="23:23" x14ac:dyDescent="0.3">
      <c r="W1379" s="85">
        <v>45837</v>
      </c>
    </row>
    <row r="1380" spans="23:23" x14ac:dyDescent="0.3">
      <c r="W1380" s="85">
        <v>45843</v>
      </c>
    </row>
    <row r="1381" spans="23:23" x14ac:dyDescent="0.3">
      <c r="W1381" s="85">
        <v>45844</v>
      </c>
    </row>
    <row r="1382" spans="23:23" x14ac:dyDescent="0.3">
      <c r="W1382" s="85">
        <v>45850</v>
      </c>
    </row>
    <row r="1383" spans="23:23" x14ac:dyDescent="0.3">
      <c r="W1383" s="85">
        <v>45851</v>
      </c>
    </row>
    <row r="1384" spans="23:23" x14ac:dyDescent="0.3">
      <c r="W1384" s="85">
        <v>45857</v>
      </c>
    </row>
    <row r="1385" spans="23:23" x14ac:dyDescent="0.3">
      <c r="W1385" s="85">
        <v>45858</v>
      </c>
    </row>
    <row r="1386" spans="23:23" x14ac:dyDescent="0.3">
      <c r="W1386" s="85">
        <v>45864</v>
      </c>
    </row>
    <row r="1387" spans="23:23" x14ac:dyDescent="0.3">
      <c r="W1387" s="85">
        <v>45865</v>
      </c>
    </row>
    <row r="1388" spans="23:23" x14ac:dyDescent="0.3">
      <c r="W1388" s="85">
        <v>45871</v>
      </c>
    </row>
    <row r="1389" spans="23:23" x14ac:dyDescent="0.3">
      <c r="W1389" s="85">
        <v>45872</v>
      </c>
    </row>
    <row r="1390" spans="23:23" x14ac:dyDescent="0.3">
      <c r="W1390" s="85">
        <v>45878</v>
      </c>
    </row>
    <row r="1391" spans="23:23" x14ac:dyDescent="0.3">
      <c r="W1391" s="85">
        <v>45879</v>
      </c>
    </row>
    <row r="1392" spans="23:23" x14ac:dyDescent="0.3">
      <c r="W1392" s="85">
        <v>45885</v>
      </c>
    </row>
    <row r="1393" spans="23:23" x14ac:dyDescent="0.3">
      <c r="W1393" s="85">
        <v>45886</v>
      </c>
    </row>
    <row r="1394" spans="23:23" x14ac:dyDescent="0.3">
      <c r="W1394" s="85">
        <v>45892</v>
      </c>
    </row>
    <row r="1395" spans="23:23" x14ac:dyDescent="0.3">
      <c r="W1395" s="85">
        <v>45893</v>
      </c>
    </row>
    <row r="1396" spans="23:23" x14ac:dyDescent="0.3">
      <c r="W1396" s="85">
        <v>45899</v>
      </c>
    </row>
    <row r="1397" spans="23:23" x14ac:dyDescent="0.3">
      <c r="W1397" s="85">
        <v>45900</v>
      </c>
    </row>
    <row r="1398" spans="23:23" x14ac:dyDescent="0.3">
      <c r="W1398" s="85">
        <v>45906</v>
      </c>
    </row>
    <row r="1399" spans="23:23" x14ac:dyDescent="0.3">
      <c r="W1399" s="85">
        <v>45907</v>
      </c>
    </row>
    <row r="1400" spans="23:23" x14ac:dyDescent="0.3">
      <c r="W1400" s="85">
        <v>45913</v>
      </c>
    </row>
    <row r="1401" spans="23:23" x14ac:dyDescent="0.3">
      <c r="W1401" s="85">
        <v>45914</v>
      </c>
    </row>
    <row r="1402" spans="23:23" x14ac:dyDescent="0.3">
      <c r="W1402" s="85">
        <v>45920</v>
      </c>
    </row>
    <row r="1403" spans="23:23" x14ac:dyDescent="0.3">
      <c r="W1403" s="85">
        <v>45921</v>
      </c>
    </row>
    <row r="1404" spans="23:23" x14ac:dyDescent="0.3">
      <c r="W1404" s="85">
        <v>45927</v>
      </c>
    </row>
    <row r="1405" spans="23:23" x14ac:dyDescent="0.3">
      <c r="W1405" s="85">
        <v>45928</v>
      </c>
    </row>
    <row r="1406" spans="23:23" x14ac:dyDescent="0.3">
      <c r="W1406" s="85">
        <v>45934</v>
      </c>
    </row>
    <row r="1407" spans="23:23" x14ac:dyDescent="0.3">
      <c r="W1407" s="85">
        <v>45935</v>
      </c>
    </row>
    <row r="1408" spans="23:23" x14ac:dyDescent="0.3">
      <c r="W1408" s="85">
        <v>45941</v>
      </c>
    </row>
    <row r="1409" spans="23:23" x14ac:dyDescent="0.3">
      <c r="W1409" s="85">
        <v>45942</v>
      </c>
    </row>
    <row r="1410" spans="23:23" x14ac:dyDescent="0.3">
      <c r="W1410" s="85">
        <v>45948</v>
      </c>
    </row>
    <row r="1411" spans="23:23" x14ac:dyDescent="0.3">
      <c r="W1411" s="85">
        <v>45949</v>
      </c>
    </row>
    <row r="1412" spans="23:23" x14ac:dyDescent="0.3">
      <c r="W1412" s="85">
        <v>45955</v>
      </c>
    </row>
    <row r="1413" spans="23:23" x14ac:dyDescent="0.3">
      <c r="W1413" s="85">
        <v>45956</v>
      </c>
    </row>
    <row r="1414" spans="23:23" x14ac:dyDescent="0.3">
      <c r="W1414" s="85">
        <v>45962</v>
      </c>
    </row>
    <row r="1415" spans="23:23" x14ac:dyDescent="0.3">
      <c r="W1415" s="85">
        <v>45963</v>
      </c>
    </row>
    <row r="1416" spans="23:23" x14ac:dyDescent="0.3">
      <c r="W1416" s="85">
        <v>45969</v>
      </c>
    </row>
    <row r="1417" spans="23:23" x14ac:dyDescent="0.3">
      <c r="W1417" s="85">
        <v>45970</v>
      </c>
    </row>
    <row r="1418" spans="23:23" x14ac:dyDescent="0.3">
      <c r="W1418" s="85">
        <v>45976</v>
      </c>
    </row>
    <row r="1419" spans="23:23" x14ac:dyDescent="0.3">
      <c r="W1419" s="85">
        <v>45977</v>
      </c>
    </row>
    <row r="1420" spans="23:23" x14ac:dyDescent="0.3">
      <c r="W1420" s="85">
        <v>45983</v>
      </c>
    </row>
    <row r="1421" spans="23:23" x14ac:dyDescent="0.3">
      <c r="W1421" s="85">
        <v>45984</v>
      </c>
    </row>
    <row r="1422" spans="23:23" x14ac:dyDescent="0.3">
      <c r="W1422" s="85">
        <v>45990</v>
      </c>
    </row>
    <row r="1423" spans="23:23" x14ac:dyDescent="0.3">
      <c r="W1423" s="85">
        <v>45991</v>
      </c>
    </row>
    <row r="1424" spans="23:23" x14ac:dyDescent="0.3">
      <c r="W1424" s="85">
        <v>45997</v>
      </c>
    </row>
    <row r="1425" spans="23:23" x14ac:dyDescent="0.3">
      <c r="W1425" s="85">
        <v>45998</v>
      </c>
    </row>
    <row r="1426" spans="23:23" x14ac:dyDescent="0.3">
      <c r="W1426" s="85">
        <v>46004</v>
      </c>
    </row>
    <row r="1427" spans="23:23" x14ac:dyDescent="0.3">
      <c r="W1427" s="85">
        <v>46005</v>
      </c>
    </row>
    <row r="1428" spans="23:23" x14ac:dyDescent="0.3">
      <c r="W1428" s="85">
        <v>46011</v>
      </c>
    </row>
    <row r="1429" spans="23:23" x14ac:dyDescent="0.3">
      <c r="W1429" s="85">
        <v>46012</v>
      </c>
    </row>
    <row r="1430" spans="23:23" x14ac:dyDescent="0.3">
      <c r="W1430" s="85">
        <v>46016</v>
      </c>
    </row>
    <row r="1431" spans="23:23" x14ac:dyDescent="0.3">
      <c r="W1431" s="85">
        <v>46017</v>
      </c>
    </row>
    <row r="1432" spans="23:23" x14ac:dyDescent="0.3">
      <c r="W1432" s="85">
        <v>46018</v>
      </c>
    </row>
    <row r="1433" spans="23:23" x14ac:dyDescent="0.3">
      <c r="W1433" s="85">
        <v>46019</v>
      </c>
    </row>
    <row r="1434" spans="23:23" x14ac:dyDescent="0.3">
      <c r="W1434" s="85">
        <v>46023</v>
      </c>
    </row>
    <row r="1435" spans="23:23" x14ac:dyDescent="0.3">
      <c r="W1435" s="85">
        <v>46025</v>
      </c>
    </row>
    <row r="1436" spans="23:23" x14ac:dyDescent="0.3">
      <c r="W1436" s="85">
        <v>46026</v>
      </c>
    </row>
    <row r="1437" spans="23:23" x14ac:dyDescent="0.3">
      <c r="W1437" s="85">
        <v>46032</v>
      </c>
    </row>
    <row r="1438" spans="23:23" x14ac:dyDescent="0.3">
      <c r="W1438" s="85">
        <v>46033</v>
      </c>
    </row>
    <row r="1439" spans="23:23" x14ac:dyDescent="0.3">
      <c r="W1439" s="85">
        <v>46039</v>
      </c>
    </row>
    <row r="1440" spans="23:23" x14ac:dyDescent="0.3">
      <c r="W1440" s="85">
        <v>46040</v>
      </c>
    </row>
    <row r="1441" spans="23:23" x14ac:dyDescent="0.3">
      <c r="W1441" s="85">
        <v>46046</v>
      </c>
    </row>
    <row r="1442" spans="23:23" x14ac:dyDescent="0.3">
      <c r="W1442" s="85">
        <v>46047</v>
      </c>
    </row>
    <row r="1443" spans="23:23" x14ac:dyDescent="0.3">
      <c r="W1443" s="85">
        <v>46053</v>
      </c>
    </row>
    <row r="1444" spans="23:23" x14ac:dyDescent="0.3">
      <c r="W1444" s="85">
        <v>46054</v>
      </c>
    </row>
    <row r="1445" spans="23:23" x14ac:dyDescent="0.3">
      <c r="W1445" s="85">
        <v>46060</v>
      </c>
    </row>
    <row r="1446" spans="23:23" x14ac:dyDescent="0.3">
      <c r="W1446" s="85">
        <v>46061</v>
      </c>
    </row>
    <row r="1447" spans="23:23" x14ac:dyDescent="0.3">
      <c r="W1447" s="85">
        <v>46067</v>
      </c>
    </row>
    <row r="1448" spans="23:23" x14ac:dyDescent="0.3">
      <c r="W1448" s="85">
        <v>46068</v>
      </c>
    </row>
    <row r="1449" spans="23:23" x14ac:dyDescent="0.3">
      <c r="W1449" s="85">
        <v>46074</v>
      </c>
    </row>
    <row r="1450" spans="23:23" x14ac:dyDescent="0.3">
      <c r="W1450" s="85">
        <v>46075</v>
      </c>
    </row>
    <row r="1451" spans="23:23" x14ac:dyDescent="0.3">
      <c r="W1451" s="85">
        <v>46081</v>
      </c>
    </row>
    <row r="1452" spans="23:23" x14ac:dyDescent="0.3">
      <c r="W1452" s="85">
        <v>46082</v>
      </c>
    </row>
    <row r="1453" spans="23:23" x14ac:dyDescent="0.3">
      <c r="W1453" s="85">
        <v>46088</v>
      </c>
    </row>
    <row r="1454" spans="23:23" x14ac:dyDescent="0.3">
      <c r="W1454" s="85">
        <v>46089</v>
      </c>
    </row>
    <row r="1455" spans="23:23" x14ac:dyDescent="0.3">
      <c r="W1455" s="85">
        <v>46095</v>
      </c>
    </row>
    <row r="1456" spans="23:23" x14ac:dyDescent="0.3">
      <c r="W1456" s="85">
        <v>46096</v>
      </c>
    </row>
    <row r="1457" spans="23:23" x14ac:dyDescent="0.3">
      <c r="W1457" s="85">
        <v>46102</v>
      </c>
    </row>
    <row r="1458" spans="23:23" x14ac:dyDescent="0.3">
      <c r="W1458" s="85">
        <v>46103</v>
      </c>
    </row>
    <row r="1459" spans="23:23" x14ac:dyDescent="0.3">
      <c r="W1459" s="85">
        <v>46109</v>
      </c>
    </row>
    <row r="1460" spans="23:23" x14ac:dyDescent="0.3">
      <c r="W1460" s="85">
        <v>46110</v>
      </c>
    </row>
    <row r="1461" spans="23:23" x14ac:dyDescent="0.3">
      <c r="W1461" s="85">
        <v>46115</v>
      </c>
    </row>
    <row r="1462" spans="23:23" x14ac:dyDescent="0.3">
      <c r="W1462" s="85">
        <v>46116</v>
      </c>
    </row>
    <row r="1463" spans="23:23" x14ac:dyDescent="0.3">
      <c r="W1463" s="85">
        <v>46117</v>
      </c>
    </row>
    <row r="1464" spans="23:23" x14ac:dyDescent="0.3">
      <c r="W1464" s="85">
        <v>46118</v>
      </c>
    </row>
    <row r="1465" spans="23:23" x14ac:dyDescent="0.3">
      <c r="W1465" s="85">
        <v>46123</v>
      </c>
    </row>
    <row r="1466" spans="23:23" x14ac:dyDescent="0.3">
      <c r="W1466" s="85">
        <v>46124</v>
      </c>
    </row>
    <row r="1467" spans="23:23" x14ac:dyDescent="0.3">
      <c r="W1467" s="85">
        <v>46130</v>
      </c>
    </row>
    <row r="1468" spans="23:23" x14ac:dyDescent="0.3">
      <c r="W1468" s="85">
        <v>46131</v>
      </c>
    </row>
    <row r="1469" spans="23:23" x14ac:dyDescent="0.3">
      <c r="W1469" s="85">
        <v>46137</v>
      </c>
    </row>
    <row r="1470" spans="23:23" x14ac:dyDescent="0.3">
      <c r="W1470" s="85">
        <v>46138</v>
      </c>
    </row>
    <row r="1471" spans="23:23" x14ac:dyDescent="0.3">
      <c r="W1471" s="85">
        <v>46143</v>
      </c>
    </row>
    <row r="1472" spans="23:23" x14ac:dyDescent="0.3">
      <c r="W1472" s="85">
        <v>46144</v>
      </c>
    </row>
    <row r="1473" spans="23:23" x14ac:dyDescent="0.3">
      <c r="W1473" s="85">
        <v>46145</v>
      </c>
    </row>
    <row r="1474" spans="23:23" x14ac:dyDescent="0.3">
      <c r="W1474" s="85">
        <v>46151</v>
      </c>
    </row>
    <row r="1475" spans="23:23" x14ac:dyDescent="0.3">
      <c r="W1475" s="85">
        <v>46152</v>
      </c>
    </row>
    <row r="1476" spans="23:23" x14ac:dyDescent="0.3">
      <c r="W1476" s="85">
        <v>46158</v>
      </c>
    </row>
    <row r="1477" spans="23:23" x14ac:dyDescent="0.3">
      <c r="W1477" s="85">
        <v>46159</v>
      </c>
    </row>
    <row r="1478" spans="23:23" x14ac:dyDescent="0.3">
      <c r="W1478" s="85">
        <v>46165</v>
      </c>
    </row>
    <row r="1479" spans="23:23" x14ac:dyDescent="0.3">
      <c r="W1479" s="85">
        <v>46166</v>
      </c>
    </row>
    <row r="1480" spans="23:23" x14ac:dyDescent="0.3">
      <c r="W1480" s="85">
        <v>46172</v>
      </c>
    </row>
    <row r="1481" spans="23:23" x14ac:dyDescent="0.3">
      <c r="W1481" s="85">
        <v>46173</v>
      </c>
    </row>
    <row r="1482" spans="23:23" x14ac:dyDescent="0.3">
      <c r="W1482" s="85">
        <v>46179</v>
      </c>
    </row>
    <row r="1483" spans="23:23" x14ac:dyDescent="0.3">
      <c r="W1483" s="85">
        <v>46180</v>
      </c>
    </row>
    <row r="1484" spans="23:23" x14ac:dyDescent="0.3">
      <c r="W1484" s="85">
        <v>46186</v>
      </c>
    </row>
    <row r="1485" spans="23:23" x14ac:dyDescent="0.3">
      <c r="W1485" s="85">
        <v>46187</v>
      </c>
    </row>
    <row r="1486" spans="23:23" x14ac:dyDescent="0.3">
      <c r="W1486" s="85">
        <v>46193</v>
      </c>
    </row>
    <row r="1487" spans="23:23" x14ac:dyDescent="0.3">
      <c r="W1487" s="85">
        <v>46194</v>
      </c>
    </row>
    <row r="1488" spans="23:23" x14ac:dyDescent="0.3">
      <c r="W1488" s="85">
        <v>46200</v>
      </c>
    </row>
    <row r="1489" spans="23:23" x14ac:dyDescent="0.3">
      <c r="W1489" s="85">
        <v>46201</v>
      </c>
    </row>
    <row r="1490" spans="23:23" x14ac:dyDescent="0.3">
      <c r="W1490" s="85">
        <v>46207</v>
      </c>
    </row>
    <row r="1491" spans="23:23" x14ac:dyDescent="0.3">
      <c r="W1491" s="85">
        <v>46208</v>
      </c>
    </row>
    <row r="1492" spans="23:23" x14ac:dyDescent="0.3">
      <c r="W1492" s="85">
        <v>46214</v>
      </c>
    </row>
    <row r="1493" spans="23:23" x14ac:dyDescent="0.3">
      <c r="W1493" s="85">
        <v>46215</v>
      </c>
    </row>
    <row r="1494" spans="23:23" x14ac:dyDescent="0.3">
      <c r="W1494" s="85">
        <v>46221</v>
      </c>
    </row>
    <row r="1495" spans="23:23" x14ac:dyDescent="0.3">
      <c r="W1495" s="85">
        <v>46222</v>
      </c>
    </row>
    <row r="1496" spans="23:23" x14ac:dyDescent="0.3">
      <c r="W1496" s="85">
        <v>46228</v>
      </c>
    </row>
    <row r="1497" spans="23:23" x14ac:dyDescent="0.3">
      <c r="W1497" s="85">
        <v>46229</v>
      </c>
    </row>
    <row r="1498" spans="23:23" x14ac:dyDescent="0.3">
      <c r="W1498" s="85">
        <v>46235</v>
      </c>
    </row>
    <row r="1499" spans="23:23" x14ac:dyDescent="0.3">
      <c r="W1499" s="85">
        <v>46236</v>
      </c>
    </row>
    <row r="1500" spans="23:23" x14ac:dyDescent="0.3">
      <c r="W1500" s="85">
        <v>46242</v>
      </c>
    </row>
    <row r="1501" spans="23:23" x14ac:dyDescent="0.3">
      <c r="W1501" s="85">
        <v>46243</v>
      </c>
    </row>
    <row r="1502" spans="23:23" x14ac:dyDescent="0.3">
      <c r="W1502" s="85">
        <v>46249</v>
      </c>
    </row>
    <row r="1503" spans="23:23" x14ac:dyDescent="0.3">
      <c r="W1503" s="85">
        <v>46250</v>
      </c>
    </row>
    <row r="1504" spans="23:23" x14ac:dyDescent="0.3">
      <c r="W1504" s="85">
        <v>46256</v>
      </c>
    </row>
    <row r="1505" spans="23:23" x14ac:dyDescent="0.3">
      <c r="W1505" s="85">
        <v>46257</v>
      </c>
    </row>
    <row r="1506" spans="23:23" x14ac:dyDescent="0.3">
      <c r="W1506" s="85">
        <v>46263</v>
      </c>
    </row>
    <row r="1507" spans="23:23" x14ac:dyDescent="0.3">
      <c r="W1507" s="85">
        <v>46264</v>
      </c>
    </row>
    <row r="1508" spans="23:23" x14ac:dyDescent="0.3">
      <c r="W1508" s="85">
        <v>46270</v>
      </c>
    </row>
    <row r="1509" spans="23:23" x14ac:dyDescent="0.3">
      <c r="W1509" s="85">
        <v>46271</v>
      </c>
    </row>
    <row r="1510" spans="23:23" x14ac:dyDescent="0.3">
      <c r="W1510" s="85">
        <v>46277</v>
      </c>
    </row>
    <row r="1511" spans="23:23" x14ac:dyDescent="0.3">
      <c r="W1511" s="85">
        <v>46278</v>
      </c>
    </row>
    <row r="1512" spans="23:23" x14ac:dyDescent="0.3">
      <c r="W1512" s="85">
        <v>46284</v>
      </c>
    </row>
    <row r="1513" spans="23:23" x14ac:dyDescent="0.3">
      <c r="W1513" s="85">
        <v>46285</v>
      </c>
    </row>
    <row r="1514" spans="23:23" x14ac:dyDescent="0.3">
      <c r="W1514" s="85">
        <v>46291</v>
      </c>
    </row>
    <row r="1515" spans="23:23" x14ac:dyDescent="0.3">
      <c r="W1515" s="85">
        <v>46292</v>
      </c>
    </row>
    <row r="1516" spans="23:23" x14ac:dyDescent="0.3">
      <c r="W1516" s="85">
        <v>46298</v>
      </c>
    </row>
    <row r="1517" spans="23:23" x14ac:dyDescent="0.3">
      <c r="W1517" s="85">
        <v>46299</v>
      </c>
    </row>
    <row r="1518" spans="23:23" x14ac:dyDescent="0.3">
      <c r="W1518" s="85">
        <v>46305</v>
      </c>
    </row>
    <row r="1519" spans="23:23" x14ac:dyDescent="0.3">
      <c r="W1519" s="85">
        <v>46306</v>
      </c>
    </row>
    <row r="1520" spans="23:23" x14ac:dyDescent="0.3">
      <c r="W1520" s="85">
        <v>46312</v>
      </c>
    </row>
    <row r="1521" spans="23:23" x14ac:dyDescent="0.3">
      <c r="W1521" s="85">
        <v>46313</v>
      </c>
    </row>
    <row r="1522" spans="23:23" x14ac:dyDescent="0.3">
      <c r="W1522" s="85">
        <v>46319</v>
      </c>
    </row>
    <row r="1523" spans="23:23" x14ac:dyDescent="0.3">
      <c r="W1523" s="85">
        <v>46320</v>
      </c>
    </row>
    <row r="1524" spans="23:23" x14ac:dyDescent="0.3">
      <c r="W1524" s="85">
        <v>46326</v>
      </c>
    </row>
    <row r="1525" spans="23:23" x14ac:dyDescent="0.3">
      <c r="W1525" s="85">
        <v>46327</v>
      </c>
    </row>
    <row r="1526" spans="23:23" x14ac:dyDescent="0.3">
      <c r="W1526" s="85">
        <v>46333</v>
      </c>
    </row>
    <row r="1527" spans="23:23" x14ac:dyDescent="0.3">
      <c r="W1527" s="85">
        <v>46334</v>
      </c>
    </row>
    <row r="1528" spans="23:23" x14ac:dyDescent="0.3">
      <c r="W1528" s="85">
        <v>46340</v>
      </c>
    </row>
    <row r="1529" spans="23:23" x14ac:dyDescent="0.3">
      <c r="W1529" s="85">
        <v>46341</v>
      </c>
    </row>
    <row r="1530" spans="23:23" x14ac:dyDescent="0.3">
      <c r="W1530" s="85">
        <v>46347</v>
      </c>
    </row>
    <row r="1531" spans="23:23" x14ac:dyDescent="0.3">
      <c r="W1531" s="85">
        <v>46348</v>
      </c>
    </row>
    <row r="1532" spans="23:23" x14ac:dyDescent="0.3">
      <c r="W1532" s="85">
        <v>46354</v>
      </c>
    </row>
    <row r="1533" spans="23:23" x14ac:dyDescent="0.3">
      <c r="W1533" s="85">
        <v>46355</v>
      </c>
    </row>
    <row r="1534" spans="23:23" x14ac:dyDescent="0.3">
      <c r="W1534" s="85">
        <v>46361</v>
      </c>
    </row>
    <row r="1535" spans="23:23" x14ac:dyDescent="0.3">
      <c r="W1535" s="85">
        <v>46362</v>
      </c>
    </row>
    <row r="1536" spans="23:23" x14ac:dyDescent="0.3">
      <c r="W1536" s="85">
        <v>46368</v>
      </c>
    </row>
    <row r="1537" spans="23:23" x14ac:dyDescent="0.3">
      <c r="W1537" s="85">
        <v>46369</v>
      </c>
    </row>
    <row r="1538" spans="23:23" x14ac:dyDescent="0.3">
      <c r="W1538" s="85">
        <v>46375</v>
      </c>
    </row>
    <row r="1539" spans="23:23" x14ac:dyDescent="0.3">
      <c r="W1539" s="85">
        <v>46376</v>
      </c>
    </row>
    <row r="1540" spans="23:23" x14ac:dyDescent="0.3">
      <c r="W1540" s="85">
        <v>46381</v>
      </c>
    </row>
    <row r="1541" spans="23:23" x14ac:dyDescent="0.3">
      <c r="W1541" s="85">
        <v>46382</v>
      </c>
    </row>
    <row r="1542" spans="23:23" x14ac:dyDescent="0.3">
      <c r="W1542" s="85">
        <v>46383</v>
      </c>
    </row>
    <row r="1543" spans="23:23" x14ac:dyDescent="0.3">
      <c r="W1543" s="85">
        <v>46388</v>
      </c>
    </row>
    <row r="1544" spans="23:23" x14ac:dyDescent="0.3">
      <c r="W1544" s="85">
        <v>46389</v>
      </c>
    </row>
    <row r="1545" spans="23:23" x14ac:dyDescent="0.3">
      <c r="W1545" s="85">
        <v>46390</v>
      </c>
    </row>
    <row r="1546" spans="23:23" x14ac:dyDescent="0.3">
      <c r="W1546" s="85">
        <v>46396</v>
      </c>
    </row>
    <row r="1547" spans="23:23" x14ac:dyDescent="0.3">
      <c r="W1547" s="85">
        <v>46397</v>
      </c>
    </row>
    <row r="1548" spans="23:23" x14ac:dyDescent="0.3">
      <c r="W1548" s="85">
        <v>46403</v>
      </c>
    </row>
    <row r="1549" spans="23:23" x14ac:dyDescent="0.3">
      <c r="W1549" s="85">
        <v>46404</v>
      </c>
    </row>
    <row r="1550" spans="23:23" x14ac:dyDescent="0.3">
      <c r="W1550" s="85">
        <v>46410</v>
      </c>
    </row>
    <row r="1551" spans="23:23" x14ac:dyDescent="0.3">
      <c r="W1551" s="85">
        <v>46411</v>
      </c>
    </row>
    <row r="1552" spans="23:23" x14ac:dyDescent="0.3">
      <c r="W1552" s="85">
        <v>46417</v>
      </c>
    </row>
    <row r="1553" spans="23:23" x14ac:dyDescent="0.3">
      <c r="W1553" s="85">
        <v>46418</v>
      </c>
    </row>
    <row r="1554" spans="23:23" x14ac:dyDescent="0.3">
      <c r="W1554" s="85">
        <v>46424</v>
      </c>
    </row>
    <row r="1555" spans="23:23" x14ac:dyDescent="0.3">
      <c r="W1555" s="85">
        <v>46425</v>
      </c>
    </row>
    <row r="1556" spans="23:23" x14ac:dyDescent="0.3">
      <c r="W1556" s="85">
        <v>46431</v>
      </c>
    </row>
    <row r="1557" spans="23:23" x14ac:dyDescent="0.3">
      <c r="W1557" s="85">
        <v>46432</v>
      </c>
    </row>
    <row r="1558" spans="23:23" x14ac:dyDescent="0.3">
      <c r="W1558" s="85">
        <v>46438</v>
      </c>
    </row>
    <row r="1559" spans="23:23" x14ac:dyDescent="0.3">
      <c r="W1559" s="85">
        <v>46439</v>
      </c>
    </row>
    <row r="1560" spans="23:23" x14ac:dyDescent="0.3">
      <c r="W1560" s="85">
        <v>46445</v>
      </c>
    </row>
    <row r="1561" spans="23:23" x14ac:dyDescent="0.3">
      <c r="W1561" s="85">
        <v>46446</v>
      </c>
    </row>
    <row r="1562" spans="23:23" x14ac:dyDescent="0.3">
      <c r="W1562" s="85">
        <v>46452</v>
      </c>
    </row>
    <row r="1563" spans="23:23" x14ac:dyDescent="0.3">
      <c r="W1563" s="85">
        <v>46453</v>
      </c>
    </row>
    <row r="1564" spans="23:23" x14ac:dyDescent="0.3">
      <c r="W1564" s="85">
        <v>46459</v>
      </c>
    </row>
    <row r="1565" spans="23:23" x14ac:dyDescent="0.3">
      <c r="W1565" s="85">
        <v>46460</v>
      </c>
    </row>
    <row r="1566" spans="23:23" x14ac:dyDescent="0.3">
      <c r="W1566" s="85">
        <v>46466</v>
      </c>
    </row>
    <row r="1567" spans="23:23" x14ac:dyDescent="0.3">
      <c r="W1567" s="85">
        <v>46467</v>
      </c>
    </row>
    <row r="1568" spans="23:23" x14ac:dyDescent="0.3">
      <c r="W1568" s="85">
        <v>46472</v>
      </c>
    </row>
    <row r="1569" spans="23:23" x14ac:dyDescent="0.3">
      <c r="W1569" s="85">
        <v>46473</v>
      </c>
    </row>
    <row r="1570" spans="23:23" x14ac:dyDescent="0.3">
      <c r="W1570" s="85">
        <v>46474</v>
      </c>
    </row>
    <row r="1571" spans="23:23" x14ac:dyDescent="0.3">
      <c r="W1571" s="85">
        <v>46475</v>
      </c>
    </row>
    <row r="1572" spans="23:23" x14ac:dyDescent="0.3">
      <c r="W1572" s="85">
        <v>46480</v>
      </c>
    </row>
    <row r="1573" spans="23:23" x14ac:dyDescent="0.3">
      <c r="W1573" s="85">
        <v>46481</v>
      </c>
    </row>
    <row r="1574" spans="23:23" x14ac:dyDescent="0.3">
      <c r="W1574" s="85">
        <v>46487</v>
      </c>
    </row>
    <row r="1575" spans="23:23" x14ac:dyDescent="0.3">
      <c r="W1575" s="85">
        <v>46488</v>
      </c>
    </row>
    <row r="1576" spans="23:23" x14ac:dyDescent="0.3">
      <c r="W1576" s="85">
        <v>46494</v>
      </c>
    </row>
    <row r="1577" spans="23:23" x14ac:dyDescent="0.3">
      <c r="W1577" s="85">
        <v>46495</v>
      </c>
    </row>
    <row r="1578" spans="23:23" x14ac:dyDescent="0.3">
      <c r="W1578" s="85">
        <v>46501</v>
      </c>
    </row>
    <row r="1579" spans="23:23" x14ac:dyDescent="0.3">
      <c r="W1579" s="85">
        <v>46502</v>
      </c>
    </row>
    <row r="1580" spans="23:23" x14ac:dyDescent="0.3">
      <c r="W1580" s="85">
        <v>46508</v>
      </c>
    </row>
    <row r="1581" spans="23:23" x14ac:dyDescent="0.3">
      <c r="W1581" s="85">
        <v>46509</v>
      </c>
    </row>
    <row r="1582" spans="23:23" x14ac:dyDescent="0.3">
      <c r="W1582" s="85">
        <v>46515</v>
      </c>
    </row>
    <row r="1583" spans="23:23" x14ac:dyDescent="0.3">
      <c r="W1583" s="85">
        <v>46516</v>
      </c>
    </row>
    <row r="1584" spans="23:23" x14ac:dyDescent="0.3">
      <c r="W1584" s="85">
        <v>46522</v>
      </c>
    </row>
    <row r="1585" spans="23:23" x14ac:dyDescent="0.3">
      <c r="W1585" s="85">
        <v>46523</v>
      </c>
    </row>
    <row r="1586" spans="23:23" x14ac:dyDescent="0.3">
      <c r="W1586" s="85">
        <v>46529</v>
      </c>
    </row>
    <row r="1587" spans="23:23" x14ac:dyDescent="0.3">
      <c r="W1587" s="85">
        <v>46530</v>
      </c>
    </row>
    <row r="1588" spans="23:23" x14ac:dyDescent="0.3">
      <c r="W1588" s="85">
        <v>46536</v>
      </c>
    </row>
    <row r="1589" spans="23:23" x14ac:dyDescent="0.3">
      <c r="W1589" s="85">
        <v>46537</v>
      </c>
    </row>
    <row r="1590" spans="23:23" x14ac:dyDescent="0.3">
      <c r="W1590" s="85">
        <v>46543</v>
      </c>
    </row>
    <row r="1591" spans="23:23" x14ac:dyDescent="0.3">
      <c r="W1591" s="85">
        <v>46544</v>
      </c>
    </row>
    <row r="1592" spans="23:23" x14ac:dyDescent="0.3">
      <c r="W1592" s="85">
        <v>46550</v>
      </c>
    </row>
    <row r="1593" spans="23:23" x14ac:dyDescent="0.3">
      <c r="W1593" s="85">
        <v>46551</v>
      </c>
    </row>
    <row r="1594" spans="23:23" x14ac:dyDescent="0.3">
      <c r="W1594" s="85">
        <v>46557</v>
      </c>
    </row>
    <row r="1595" spans="23:23" x14ac:dyDescent="0.3">
      <c r="W1595" s="85">
        <v>46558</v>
      </c>
    </row>
    <row r="1596" spans="23:23" x14ac:dyDescent="0.3">
      <c r="W1596" s="85">
        <v>46564</v>
      </c>
    </row>
    <row r="1597" spans="23:23" x14ac:dyDescent="0.3">
      <c r="W1597" s="85">
        <v>46565</v>
      </c>
    </row>
    <row r="1598" spans="23:23" x14ac:dyDescent="0.3">
      <c r="W1598" s="85">
        <v>46571</v>
      </c>
    </row>
    <row r="1599" spans="23:23" x14ac:dyDescent="0.3">
      <c r="W1599" s="85">
        <v>46572</v>
      </c>
    </row>
    <row r="1600" spans="23:23" x14ac:dyDescent="0.3">
      <c r="W1600" s="85">
        <v>46578</v>
      </c>
    </row>
    <row r="1601" spans="23:23" x14ac:dyDescent="0.3">
      <c r="W1601" s="85">
        <v>46579</v>
      </c>
    </row>
    <row r="1602" spans="23:23" x14ac:dyDescent="0.3">
      <c r="W1602" s="85">
        <v>46585</v>
      </c>
    </row>
    <row r="1603" spans="23:23" x14ac:dyDescent="0.3">
      <c r="W1603" s="85">
        <v>46586</v>
      </c>
    </row>
    <row r="1604" spans="23:23" x14ac:dyDescent="0.3">
      <c r="W1604" s="85">
        <v>46592</v>
      </c>
    </row>
    <row r="1605" spans="23:23" x14ac:dyDescent="0.3">
      <c r="W1605" s="85">
        <v>46593</v>
      </c>
    </row>
    <row r="1606" spans="23:23" x14ac:dyDescent="0.3">
      <c r="W1606" s="85">
        <v>46599</v>
      </c>
    </row>
    <row r="1607" spans="23:23" x14ac:dyDescent="0.3">
      <c r="W1607" s="85">
        <v>46600</v>
      </c>
    </row>
    <row r="1608" spans="23:23" x14ac:dyDescent="0.3">
      <c r="W1608" s="85">
        <v>46606</v>
      </c>
    </row>
    <row r="1609" spans="23:23" x14ac:dyDescent="0.3">
      <c r="W1609" s="85">
        <v>46607</v>
      </c>
    </row>
    <row r="1610" spans="23:23" x14ac:dyDescent="0.3">
      <c r="W1610" s="85">
        <v>46613</v>
      </c>
    </row>
    <row r="1611" spans="23:23" x14ac:dyDescent="0.3">
      <c r="W1611" s="85">
        <v>46614</v>
      </c>
    </row>
    <row r="1612" spans="23:23" x14ac:dyDescent="0.3">
      <c r="W1612" s="85">
        <v>46620</v>
      </c>
    </row>
    <row r="1613" spans="23:23" x14ac:dyDescent="0.3">
      <c r="W1613" s="85">
        <v>46621</v>
      </c>
    </row>
    <row r="1614" spans="23:23" x14ac:dyDescent="0.3">
      <c r="W1614" s="85">
        <v>46627</v>
      </c>
    </row>
    <row r="1615" spans="23:23" x14ac:dyDescent="0.3">
      <c r="W1615" s="85">
        <v>46628</v>
      </c>
    </row>
    <row r="1616" spans="23:23" x14ac:dyDescent="0.3">
      <c r="W1616" s="85">
        <v>46634</v>
      </c>
    </row>
    <row r="1617" spans="23:23" x14ac:dyDescent="0.3">
      <c r="W1617" s="85">
        <v>46635</v>
      </c>
    </row>
    <row r="1618" spans="23:23" x14ac:dyDescent="0.3">
      <c r="W1618" s="85">
        <v>46641</v>
      </c>
    </row>
    <row r="1619" spans="23:23" x14ac:dyDescent="0.3">
      <c r="W1619" s="85">
        <v>46642</v>
      </c>
    </row>
    <row r="1620" spans="23:23" x14ac:dyDescent="0.3">
      <c r="W1620" s="85">
        <v>46648</v>
      </c>
    </row>
    <row r="1621" spans="23:23" x14ac:dyDescent="0.3">
      <c r="W1621" s="85">
        <v>46649</v>
      </c>
    </row>
    <row r="1622" spans="23:23" x14ac:dyDescent="0.3">
      <c r="W1622" s="85">
        <v>46655</v>
      </c>
    </row>
    <row r="1623" spans="23:23" x14ac:dyDescent="0.3">
      <c r="W1623" s="85">
        <v>46656</v>
      </c>
    </row>
    <row r="1624" spans="23:23" x14ac:dyDescent="0.3">
      <c r="W1624" s="85">
        <v>46662</v>
      </c>
    </row>
    <row r="1625" spans="23:23" x14ac:dyDescent="0.3">
      <c r="W1625" s="85">
        <v>46663</v>
      </c>
    </row>
    <row r="1626" spans="23:23" x14ac:dyDescent="0.3">
      <c r="W1626" s="85">
        <v>46669</v>
      </c>
    </row>
    <row r="1627" spans="23:23" x14ac:dyDescent="0.3">
      <c r="W1627" s="85">
        <v>46670</v>
      </c>
    </row>
    <row r="1628" spans="23:23" x14ac:dyDescent="0.3">
      <c r="W1628" s="85">
        <v>46676</v>
      </c>
    </row>
    <row r="1629" spans="23:23" x14ac:dyDescent="0.3">
      <c r="W1629" s="85">
        <v>46677</v>
      </c>
    </row>
    <row r="1630" spans="23:23" x14ac:dyDescent="0.3">
      <c r="W1630" s="85">
        <v>46683</v>
      </c>
    </row>
    <row r="1631" spans="23:23" x14ac:dyDescent="0.3">
      <c r="W1631" s="85">
        <v>46684</v>
      </c>
    </row>
    <row r="1632" spans="23:23" x14ac:dyDescent="0.3">
      <c r="W1632" s="85">
        <v>46690</v>
      </c>
    </row>
    <row r="1633" spans="23:23" x14ac:dyDescent="0.3">
      <c r="W1633" s="85">
        <v>46691</v>
      </c>
    </row>
    <row r="1634" spans="23:23" x14ac:dyDescent="0.3">
      <c r="W1634" s="85">
        <v>46697</v>
      </c>
    </row>
    <row r="1635" spans="23:23" x14ac:dyDescent="0.3">
      <c r="W1635" s="85">
        <v>46698</v>
      </c>
    </row>
    <row r="1636" spans="23:23" x14ac:dyDescent="0.3">
      <c r="W1636" s="85">
        <v>46704</v>
      </c>
    </row>
    <row r="1637" spans="23:23" x14ac:dyDescent="0.3">
      <c r="W1637" s="85">
        <v>46705</v>
      </c>
    </row>
    <row r="1638" spans="23:23" x14ac:dyDescent="0.3">
      <c r="W1638" s="85">
        <v>46711</v>
      </c>
    </row>
    <row r="1639" spans="23:23" x14ac:dyDescent="0.3">
      <c r="W1639" s="85">
        <v>46712</v>
      </c>
    </row>
    <row r="1640" spans="23:23" x14ac:dyDescent="0.3">
      <c r="W1640" s="85">
        <v>46718</v>
      </c>
    </row>
    <row r="1641" spans="23:23" x14ac:dyDescent="0.3">
      <c r="W1641" s="85">
        <v>46719</v>
      </c>
    </row>
    <row r="1642" spans="23:23" x14ac:dyDescent="0.3">
      <c r="W1642" s="85">
        <v>46725</v>
      </c>
    </row>
    <row r="1643" spans="23:23" x14ac:dyDescent="0.3">
      <c r="W1643" s="85">
        <v>46726</v>
      </c>
    </row>
    <row r="1644" spans="23:23" x14ac:dyDescent="0.3">
      <c r="W1644" s="85">
        <v>46732</v>
      </c>
    </row>
    <row r="1645" spans="23:23" x14ac:dyDescent="0.3">
      <c r="W1645" s="85">
        <v>46733</v>
      </c>
    </row>
    <row r="1646" spans="23:23" x14ac:dyDescent="0.3">
      <c r="W1646" s="85">
        <v>46739</v>
      </c>
    </row>
    <row r="1647" spans="23:23" x14ac:dyDescent="0.3">
      <c r="W1647" s="85">
        <v>46740</v>
      </c>
    </row>
    <row r="1648" spans="23:23" x14ac:dyDescent="0.3">
      <c r="W1648" s="85">
        <v>46746</v>
      </c>
    </row>
    <row r="1649" spans="23:23" x14ac:dyDescent="0.3">
      <c r="W1649" s="85">
        <v>46747</v>
      </c>
    </row>
    <row r="1650" spans="23:23" x14ac:dyDescent="0.3">
      <c r="W1650" s="85">
        <v>46753</v>
      </c>
    </row>
    <row r="1651" spans="23:23" x14ac:dyDescent="0.3">
      <c r="W1651" s="85">
        <v>46754</v>
      </c>
    </row>
    <row r="1652" spans="23:23" x14ac:dyDescent="0.3">
      <c r="W1652" s="85">
        <v>46760</v>
      </c>
    </row>
    <row r="1653" spans="23:23" x14ac:dyDescent="0.3">
      <c r="W1653" s="85">
        <v>46761</v>
      </c>
    </row>
    <row r="1654" spans="23:23" x14ac:dyDescent="0.3">
      <c r="W1654" s="85">
        <v>46767</v>
      </c>
    </row>
    <row r="1655" spans="23:23" x14ac:dyDescent="0.3">
      <c r="W1655" s="85">
        <v>46768</v>
      </c>
    </row>
    <row r="1656" spans="23:23" x14ac:dyDescent="0.3">
      <c r="W1656" s="85">
        <v>46774</v>
      </c>
    </row>
    <row r="1657" spans="23:23" x14ac:dyDescent="0.3">
      <c r="W1657" s="85">
        <v>46775</v>
      </c>
    </row>
    <row r="1658" spans="23:23" x14ac:dyDescent="0.3">
      <c r="W1658" s="85">
        <v>46781</v>
      </c>
    </row>
    <row r="1659" spans="23:23" x14ac:dyDescent="0.3">
      <c r="W1659" s="85">
        <v>46782</v>
      </c>
    </row>
    <row r="1660" spans="23:23" x14ac:dyDescent="0.3">
      <c r="W1660" s="85">
        <v>46788</v>
      </c>
    </row>
    <row r="1661" spans="23:23" x14ac:dyDescent="0.3">
      <c r="W1661" s="85">
        <v>46789</v>
      </c>
    </row>
    <row r="1662" spans="23:23" x14ac:dyDescent="0.3">
      <c r="W1662" s="85">
        <v>46795</v>
      </c>
    </row>
    <row r="1663" spans="23:23" x14ac:dyDescent="0.3">
      <c r="W1663" s="85">
        <v>46796</v>
      </c>
    </row>
    <row r="1664" spans="23:23" x14ac:dyDescent="0.3">
      <c r="W1664" s="85">
        <v>46802</v>
      </c>
    </row>
    <row r="1665" spans="23:23" x14ac:dyDescent="0.3">
      <c r="W1665" s="85">
        <v>46803</v>
      </c>
    </row>
    <row r="1666" spans="23:23" x14ac:dyDescent="0.3">
      <c r="W1666" s="85">
        <v>46809</v>
      </c>
    </row>
    <row r="1667" spans="23:23" x14ac:dyDescent="0.3">
      <c r="W1667" s="85">
        <v>46810</v>
      </c>
    </row>
    <row r="1668" spans="23:23" x14ac:dyDescent="0.3">
      <c r="W1668" s="85">
        <v>46816</v>
      </c>
    </row>
    <row r="1669" spans="23:23" x14ac:dyDescent="0.3">
      <c r="W1669" s="85">
        <v>46817</v>
      </c>
    </row>
    <row r="1670" spans="23:23" x14ac:dyDescent="0.3">
      <c r="W1670" s="85">
        <v>46823</v>
      </c>
    </row>
    <row r="1671" spans="23:23" x14ac:dyDescent="0.3">
      <c r="W1671" s="85">
        <v>46824</v>
      </c>
    </row>
    <row r="1672" spans="23:23" x14ac:dyDescent="0.3">
      <c r="W1672" s="85">
        <v>46830</v>
      </c>
    </row>
    <row r="1673" spans="23:23" x14ac:dyDescent="0.3">
      <c r="W1673" s="85">
        <v>46831</v>
      </c>
    </row>
    <row r="1674" spans="23:23" x14ac:dyDescent="0.3">
      <c r="W1674" s="85">
        <v>46837</v>
      </c>
    </row>
    <row r="1675" spans="23:23" x14ac:dyDescent="0.3">
      <c r="W1675" s="85">
        <v>46838</v>
      </c>
    </row>
    <row r="1676" spans="23:23" x14ac:dyDescent="0.3">
      <c r="W1676" s="85">
        <v>46844</v>
      </c>
    </row>
    <row r="1677" spans="23:23" x14ac:dyDescent="0.3">
      <c r="W1677" s="85">
        <v>46845</v>
      </c>
    </row>
    <row r="1678" spans="23:23" x14ac:dyDescent="0.3">
      <c r="W1678" s="85">
        <v>46851</v>
      </c>
    </row>
    <row r="1679" spans="23:23" x14ac:dyDescent="0.3">
      <c r="W1679" s="85">
        <v>46852</v>
      </c>
    </row>
    <row r="1680" spans="23:23" x14ac:dyDescent="0.3">
      <c r="W1680" s="85">
        <v>46857</v>
      </c>
    </row>
    <row r="1681" spans="23:23" x14ac:dyDescent="0.3">
      <c r="W1681" s="85">
        <v>46858</v>
      </c>
    </row>
    <row r="1682" spans="23:23" x14ac:dyDescent="0.3">
      <c r="W1682" s="85">
        <v>46859</v>
      </c>
    </row>
    <row r="1683" spans="23:23" x14ac:dyDescent="0.3">
      <c r="W1683" s="85">
        <v>46860</v>
      </c>
    </row>
    <row r="1684" spans="23:23" x14ac:dyDescent="0.3">
      <c r="W1684" s="85">
        <v>46865</v>
      </c>
    </row>
    <row r="1685" spans="23:23" x14ac:dyDescent="0.3">
      <c r="W1685" s="85">
        <v>46866</v>
      </c>
    </row>
    <row r="1686" spans="23:23" x14ac:dyDescent="0.3">
      <c r="W1686" s="85">
        <v>46872</v>
      </c>
    </row>
    <row r="1687" spans="23:23" x14ac:dyDescent="0.3">
      <c r="W1687" s="85">
        <v>46873</v>
      </c>
    </row>
    <row r="1688" spans="23:23" x14ac:dyDescent="0.3">
      <c r="W1688" s="85">
        <v>46874</v>
      </c>
    </row>
    <row r="1689" spans="23:23" x14ac:dyDescent="0.3">
      <c r="W1689" s="85">
        <v>46879</v>
      </c>
    </row>
    <row r="1690" spans="23:23" x14ac:dyDescent="0.3">
      <c r="W1690" s="85">
        <v>46880</v>
      </c>
    </row>
    <row r="1691" spans="23:23" x14ac:dyDescent="0.3">
      <c r="W1691" s="85">
        <v>46886</v>
      </c>
    </row>
    <row r="1692" spans="23:23" x14ac:dyDescent="0.3">
      <c r="W1692" s="85">
        <v>46887</v>
      </c>
    </row>
    <row r="1693" spans="23:23" x14ac:dyDescent="0.3">
      <c r="W1693" s="85">
        <v>46893</v>
      </c>
    </row>
    <row r="1694" spans="23:23" x14ac:dyDescent="0.3">
      <c r="W1694" s="85">
        <v>46894</v>
      </c>
    </row>
    <row r="1695" spans="23:23" x14ac:dyDescent="0.3">
      <c r="W1695" s="85">
        <v>46900</v>
      </c>
    </row>
    <row r="1696" spans="23:23" x14ac:dyDescent="0.3">
      <c r="W1696" s="85">
        <v>46901</v>
      </c>
    </row>
    <row r="1697" spans="23:23" x14ac:dyDescent="0.3">
      <c r="W1697" s="85">
        <v>46907</v>
      </c>
    </row>
    <row r="1698" spans="23:23" x14ac:dyDescent="0.3">
      <c r="W1698" s="85">
        <v>46908</v>
      </c>
    </row>
    <row r="1699" spans="23:23" x14ac:dyDescent="0.3">
      <c r="W1699" s="85">
        <v>46914</v>
      </c>
    </row>
    <row r="1700" spans="23:23" x14ac:dyDescent="0.3">
      <c r="W1700" s="85">
        <v>46915</v>
      </c>
    </row>
    <row r="1701" spans="23:23" x14ac:dyDescent="0.3">
      <c r="W1701" s="85">
        <v>46921</v>
      </c>
    </row>
    <row r="1702" spans="23:23" x14ac:dyDescent="0.3">
      <c r="W1702" s="85">
        <v>46922</v>
      </c>
    </row>
    <row r="1703" spans="23:23" x14ac:dyDescent="0.3">
      <c r="W1703" s="85">
        <v>46928</v>
      </c>
    </row>
    <row r="1704" spans="23:23" x14ac:dyDescent="0.3">
      <c r="W1704" s="85">
        <v>46929</v>
      </c>
    </row>
    <row r="1705" spans="23:23" x14ac:dyDescent="0.3">
      <c r="W1705" s="85">
        <v>46935</v>
      </c>
    </row>
    <row r="1706" spans="23:23" x14ac:dyDescent="0.3">
      <c r="W1706" s="85">
        <v>46936</v>
      </c>
    </row>
    <row r="1707" spans="23:23" x14ac:dyDescent="0.3">
      <c r="W1707" s="85">
        <v>46942</v>
      </c>
    </row>
    <row r="1708" spans="23:23" x14ac:dyDescent="0.3">
      <c r="W1708" s="85">
        <v>46943</v>
      </c>
    </row>
    <row r="1709" spans="23:23" x14ac:dyDescent="0.3">
      <c r="W1709" s="85">
        <v>46949</v>
      </c>
    </row>
    <row r="1710" spans="23:23" x14ac:dyDescent="0.3">
      <c r="W1710" s="85">
        <v>46950</v>
      </c>
    </row>
    <row r="1711" spans="23:23" x14ac:dyDescent="0.3">
      <c r="W1711" s="85">
        <v>46956</v>
      </c>
    </row>
    <row r="1712" spans="23:23" x14ac:dyDescent="0.3">
      <c r="W1712" s="85">
        <v>46957</v>
      </c>
    </row>
    <row r="1713" spans="23:23" x14ac:dyDescent="0.3">
      <c r="W1713" s="85">
        <v>46963</v>
      </c>
    </row>
    <row r="1714" spans="23:23" x14ac:dyDescent="0.3">
      <c r="W1714" s="85">
        <v>46964</v>
      </c>
    </row>
    <row r="1715" spans="23:23" x14ac:dyDescent="0.3">
      <c r="W1715" s="85">
        <v>46970</v>
      </c>
    </row>
    <row r="1716" spans="23:23" x14ac:dyDescent="0.3">
      <c r="W1716" s="85">
        <v>46971</v>
      </c>
    </row>
    <row r="1717" spans="23:23" x14ac:dyDescent="0.3">
      <c r="W1717" s="85">
        <v>46977</v>
      </c>
    </row>
    <row r="1718" spans="23:23" x14ac:dyDescent="0.3">
      <c r="W1718" s="85">
        <v>46978</v>
      </c>
    </row>
    <row r="1719" spans="23:23" x14ac:dyDescent="0.3">
      <c r="W1719" s="85">
        <v>46984</v>
      </c>
    </row>
    <row r="1720" spans="23:23" x14ac:dyDescent="0.3">
      <c r="W1720" s="85">
        <v>46985</v>
      </c>
    </row>
    <row r="1721" spans="23:23" x14ac:dyDescent="0.3">
      <c r="W1721" s="85">
        <v>46991</v>
      </c>
    </row>
    <row r="1722" spans="23:23" x14ac:dyDescent="0.3">
      <c r="W1722" s="85">
        <v>46992</v>
      </c>
    </row>
    <row r="1723" spans="23:23" x14ac:dyDescent="0.3">
      <c r="W1723" s="85">
        <v>46998</v>
      </c>
    </row>
    <row r="1724" spans="23:23" x14ac:dyDescent="0.3">
      <c r="W1724" s="85">
        <v>46999</v>
      </c>
    </row>
    <row r="1725" spans="23:23" x14ac:dyDescent="0.3">
      <c r="W1725" s="85">
        <v>47005</v>
      </c>
    </row>
    <row r="1726" spans="23:23" x14ac:dyDescent="0.3">
      <c r="W1726" s="85">
        <v>47006</v>
      </c>
    </row>
    <row r="1727" spans="23:23" x14ac:dyDescent="0.3">
      <c r="W1727" s="85">
        <v>47012</v>
      </c>
    </row>
    <row r="1728" spans="23:23" x14ac:dyDescent="0.3">
      <c r="W1728" s="85">
        <v>47013</v>
      </c>
    </row>
    <row r="1729" spans="23:23" x14ac:dyDescent="0.3">
      <c r="W1729" s="85">
        <v>47019</v>
      </c>
    </row>
    <row r="1730" spans="23:23" x14ac:dyDescent="0.3">
      <c r="W1730" s="85">
        <v>47020</v>
      </c>
    </row>
    <row r="1731" spans="23:23" x14ac:dyDescent="0.3">
      <c r="W1731" s="85">
        <v>47026</v>
      </c>
    </row>
    <row r="1732" spans="23:23" x14ac:dyDescent="0.3">
      <c r="W1732" s="85">
        <v>47027</v>
      </c>
    </row>
    <row r="1733" spans="23:23" x14ac:dyDescent="0.3">
      <c r="W1733" s="85">
        <v>47033</v>
      </c>
    </row>
    <row r="1734" spans="23:23" x14ac:dyDescent="0.3">
      <c r="W1734" s="85">
        <v>47034</v>
      </c>
    </row>
    <row r="1735" spans="23:23" x14ac:dyDescent="0.3">
      <c r="W1735" s="85">
        <v>47040</v>
      </c>
    </row>
    <row r="1736" spans="23:23" x14ac:dyDescent="0.3">
      <c r="W1736" s="85">
        <v>47041</v>
      </c>
    </row>
    <row r="1737" spans="23:23" x14ac:dyDescent="0.3">
      <c r="W1737" s="85">
        <v>47047</v>
      </c>
    </row>
    <row r="1738" spans="23:23" x14ac:dyDescent="0.3">
      <c r="W1738" s="85">
        <v>47048</v>
      </c>
    </row>
    <row r="1739" spans="23:23" x14ac:dyDescent="0.3">
      <c r="W1739" s="85">
        <v>47054</v>
      </c>
    </row>
    <row r="1740" spans="23:23" x14ac:dyDescent="0.3">
      <c r="W1740" s="85">
        <v>47055</v>
      </c>
    </row>
    <row r="1741" spans="23:23" x14ac:dyDescent="0.3">
      <c r="W1741" s="85">
        <v>47061</v>
      </c>
    </row>
    <row r="1742" spans="23:23" x14ac:dyDescent="0.3">
      <c r="W1742" s="85">
        <v>47062</v>
      </c>
    </row>
    <row r="1743" spans="23:23" x14ac:dyDescent="0.3">
      <c r="W1743" s="85">
        <v>47068</v>
      </c>
    </row>
    <row r="1744" spans="23:23" x14ac:dyDescent="0.3">
      <c r="W1744" s="85">
        <v>47069</v>
      </c>
    </row>
    <row r="1745" spans="23:23" x14ac:dyDescent="0.3">
      <c r="W1745" s="85">
        <v>47075</v>
      </c>
    </row>
    <row r="1746" spans="23:23" x14ac:dyDescent="0.3">
      <c r="W1746" s="85">
        <v>47076</v>
      </c>
    </row>
    <row r="1747" spans="23:23" x14ac:dyDescent="0.3">
      <c r="W1747" s="85">
        <v>47082</v>
      </c>
    </row>
    <row r="1748" spans="23:23" x14ac:dyDescent="0.3">
      <c r="W1748" s="85">
        <v>47083</v>
      </c>
    </row>
    <row r="1749" spans="23:23" x14ac:dyDescent="0.3">
      <c r="W1749" s="85">
        <v>47089</v>
      </c>
    </row>
    <row r="1750" spans="23:23" x14ac:dyDescent="0.3">
      <c r="W1750" s="85">
        <v>47090</v>
      </c>
    </row>
    <row r="1751" spans="23:23" x14ac:dyDescent="0.3">
      <c r="W1751" s="85">
        <v>47096</v>
      </c>
    </row>
    <row r="1752" spans="23:23" x14ac:dyDescent="0.3">
      <c r="W1752" s="85">
        <v>47097</v>
      </c>
    </row>
    <row r="1753" spans="23:23" x14ac:dyDescent="0.3">
      <c r="W1753" s="85">
        <v>47103</v>
      </c>
    </row>
    <row r="1754" spans="23:23" x14ac:dyDescent="0.3">
      <c r="W1754" s="85">
        <v>47104</v>
      </c>
    </row>
    <row r="1755" spans="23:23" x14ac:dyDescent="0.3">
      <c r="W1755" s="85">
        <v>47110</v>
      </c>
    </row>
    <row r="1756" spans="23:23" x14ac:dyDescent="0.3">
      <c r="W1756" s="85">
        <v>47111</v>
      </c>
    </row>
    <row r="1757" spans="23:23" x14ac:dyDescent="0.3">
      <c r="W1757" s="85">
        <v>47112</v>
      </c>
    </row>
    <row r="1758" spans="23:23" x14ac:dyDescent="0.3">
      <c r="W1758" s="85">
        <v>47113</v>
      </c>
    </row>
    <row r="1759" spans="23:23" x14ac:dyDescent="0.3">
      <c r="W1759" s="85">
        <v>47117</v>
      </c>
    </row>
    <row r="1760" spans="23:23" x14ac:dyDescent="0.3">
      <c r="W1760" s="85">
        <v>47118</v>
      </c>
    </row>
    <row r="1761" spans="23:23" x14ac:dyDescent="0.3">
      <c r="W1761" s="85">
        <v>47119</v>
      </c>
    </row>
    <row r="1762" spans="23:23" x14ac:dyDescent="0.3">
      <c r="W1762" s="85">
        <v>47124</v>
      </c>
    </row>
    <row r="1763" spans="23:23" x14ac:dyDescent="0.3">
      <c r="W1763" s="85">
        <v>47125</v>
      </c>
    </row>
    <row r="1764" spans="23:23" x14ac:dyDescent="0.3">
      <c r="W1764" s="85">
        <v>47131</v>
      </c>
    </row>
    <row r="1765" spans="23:23" x14ac:dyDescent="0.3">
      <c r="W1765" s="85">
        <v>47132</v>
      </c>
    </row>
    <row r="1766" spans="23:23" x14ac:dyDescent="0.3">
      <c r="W1766" s="85">
        <v>47138</v>
      </c>
    </row>
    <row r="1767" spans="23:23" x14ac:dyDescent="0.3">
      <c r="W1767" s="85">
        <v>47139</v>
      </c>
    </row>
    <row r="1768" spans="23:23" x14ac:dyDescent="0.3">
      <c r="W1768" s="85">
        <v>47145</v>
      </c>
    </row>
    <row r="1769" spans="23:23" x14ac:dyDescent="0.3">
      <c r="W1769" s="85">
        <v>47146</v>
      </c>
    </row>
    <row r="1770" spans="23:23" x14ac:dyDescent="0.3">
      <c r="W1770" s="85">
        <v>47152</v>
      </c>
    </row>
    <row r="1771" spans="23:23" x14ac:dyDescent="0.3">
      <c r="W1771" s="85">
        <v>47153</v>
      </c>
    </row>
    <row r="1772" spans="23:23" x14ac:dyDescent="0.3">
      <c r="W1772" s="85">
        <v>47159</v>
      </c>
    </row>
    <row r="1773" spans="23:23" x14ac:dyDescent="0.3">
      <c r="W1773" s="85">
        <v>47160</v>
      </c>
    </row>
    <row r="1774" spans="23:23" x14ac:dyDescent="0.3">
      <c r="W1774" s="85">
        <v>47166</v>
      </c>
    </row>
    <row r="1775" spans="23:23" x14ac:dyDescent="0.3">
      <c r="W1775" s="85">
        <v>47167</v>
      </c>
    </row>
    <row r="1776" spans="23:23" x14ac:dyDescent="0.3">
      <c r="W1776" s="85">
        <v>47173</v>
      </c>
    </row>
    <row r="1777" spans="23:23" x14ac:dyDescent="0.3">
      <c r="W1777" s="85">
        <v>47174</v>
      </c>
    </row>
    <row r="1778" spans="23:23" x14ac:dyDescent="0.3">
      <c r="W1778" s="85">
        <v>47180</v>
      </c>
    </row>
    <row r="1779" spans="23:23" x14ac:dyDescent="0.3">
      <c r="W1779" s="85">
        <v>47181</v>
      </c>
    </row>
    <row r="1780" spans="23:23" x14ac:dyDescent="0.3">
      <c r="W1780" s="85">
        <v>47187</v>
      </c>
    </row>
    <row r="1781" spans="23:23" x14ac:dyDescent="0.3">
      <c r="W1781" s="85">
        <v>47188</v>
      </c>
    </row>
    <row r="1782" spans="23:23" x14ac:dyDescent="0.3">
      <c r="W1782" s="85">
        <v>47194</v>
      </c>
    </row>
    <row r="1783" spans="23:23" x14ac:dyDescent="0.3">
      <c r="W1783" s="85">
        <v>47195</v>
      </c>
    </row>
    <row r="1784" spans="23:23" x14ac:dyDescent="0.3">
      <c r="W1784" s="85">
        <v>47201</v>
      </c>
    </row>
    <row r="1785" spans="23:23" x14ac:dyDescent="0.3">
      <c r="W1785" s="85">
        <v>47202</v>
      </c>
    </row>
    <row r="1786" spans="23:23" x14ac:dyDescent="0.3">
      <c r="W1786" s="85">
        <v>47207</v>
      </c>
    </row>
    <row r="1787" spans="23:23" x14ac:dyDescent="0.3">
      <c r="W1787" s="85">
        <v>47208</v>
      </c>
    </row>
    <row r="1788" spans="23:23" x14ac:dyDescent="0.3">
      <c r="W1788" s="85">
        <v>47209</v>
      </c>
    </row>
    <row r="1789" spans="23:23" x14ac:dyDescent="0.3">
      <c r="W1789" s="85">
        <v>47210</v>
      </c>
    </row>
    <row r="1790" spans="23:23" x14ac:dyDescent="0.3">
      <c r="W1790" s="85">
        <v>47215</v>
      </c>
    </row>
    <row r="1791" spans="23:23" x14ac:dyDescent="0.3">
      <c r="W1791" s="85">
        <v>47216</v>
      </c>
    </row>
    <row r="1792" spans="23:23" x14ac:dyDescent="0.3">
      <c r="W1792" s="85">
        <v>47222</v>
      </c>
    </row>
    <row r="1793" spans="23:23" x14ac:dyDescent="0.3">
      <c r="W1793" s="85">
        <v>47223</v>
      </c>
    </row>
    <row r="1794" spans="23:23" x14ac:dyDescent="0.3">
      <c r="W1794" s="85">
        <v>47229</v>
      </c>
    </row>
    <row r="1795" spans="23:23" x14ac:dyDescent="0.3">
      <c r="W1795" s="85">
        <v>47230</v>
      </c>
    </row>
    <row r="1796" spans="23:23" x14ac:dyDescent="0.3">
      <c r="W1796" s="85">
        <v>47236</v>
      </c>
    </row>
    <row r="1797" spans="23:23" x14ac:dyDescent="0.3">
      <c r="W1797" s="85">
        <v>47237</v>
      </c>
    </row>
    <row r="1798" spans="23:23" x14ac:dyDescent="0.3">
      <c r="W1798" s="85">
        <v>47239</v>
      </c>
    </row>
    <row r="1799" spans="23:23" x14ac:dyDescent="0.3">
      <c r="W1799" s="85">
        <v>47243</v>
      </c>
    </row>
    <row r="1800" spans="23:23" x14ac:dyDescent="0.3">
      <c r="W1800" s="85">
        <v>47244</v>
      </c>
    </row>
    <row r="1801" spans="23:23" x14ac:dyDescent="0.3">
      <c r="W1801" s="85">
        <v>47250</v>
      </c>
    </row>
    <row r="1802" spans="23:23" x14ac:dyDescent="0.3">
      <c r="W1802" s="85">
        <v>47251</v>
      </c>
    </row>
    <row r="1803" spans="23:23" x14ac:dyDescent="0.3">
      <c r="W1803" s="85">
        <v>47257</v>
      </c>
    </row>
    <row r="1804" spans="23:23" x14ac:dyDescent="0.3">
      <c r="W1804" s="85">
        <v>47258</v>
      </c>
    </row>
    <row r="1805" spans="23:23" x14ac:dyDescent="0.3">
      <c r="W1805" s="85">
        <v>47264</v>
      </c>
    </row>
    <row r="1806" spans="23:23" x14ac:dyDescent="0.3">
      <c r="W1806" s="85">
        <v>47265</v>
      </c>
    </row>
    <row r="1807" spans="23:23" x14ac:dyDescent="0.3">
      <c r="W1807" s="85">
        <v>47271</v>
      </c>
    </row>
    <row r="1808" spans="23:23" x14ac:dyDescent="0.3">
      <c r="W1808" s="85">
        <v>47272</v>
      </c>
    </row>
    <row r="1809" spans="23:23" x14ac:dyDescent="0.3">
      <c r="W1809" s="85">
        <v>47278</v>
      </c>
    </row>
    <row r="1810" spans="23:23" x14ac:dyDescent="0.3">
      <c r="W1810" s="85">
        <v>47279</v>
      </c>
    </row>
    <row r="1811" spans="23:23" x14ac:dyDescent="0.3">
      <c r="W1811" s="85">
        <v>47285</v>
      </c>
    </row>
    <row r="1812" spans="23:23" x14ac:dyDescent="0.3">
      <c r="W1812" s="85">
        <v>47286</v>
      </c>
    </row>
    <row r="1813" spans="23:23" x14ac:dyDescent="0.3">
      <c r="W1813" s="85">
        <v>47292</v>
      </c>
    </row>
    <row r="1814" spans="23:23" x14ac:dyDescent="0.3">
      <c r="W1814" s="85">
        <v>47293</v>
      </c>
    </row>
    <row r="1815" spans="23:23" x14ac:dyDescent="0.3">
      <c r="W1815" s="85">
        <v>47299</v>
      </c>
    </row>
    <row r="1816" spans="23:23" x14ac:dyDescent="0.3">
      <c r="W1816" s="85">
        <v>47300</v>
      </c>
    </row>
    <row r="1817" spans="23:23" x14ac:dyDescent="0.3">
      <c r="W1817" s="85">
        <v>47306</v>
      </c>
    </row>
    <row r="1818" spans="23:23" x14ac:dyDescent="0.3">
      <c r="W1818" s="85">
        <v>47307</v>
      </c>
    </row>
    <row r="1819" spans="23:23" x14ac:dyDescent="0.3">
      <c r="W1819" s="85">
        <v>47313</v>
      </c>
    </row>
    <row r="1820" spans="23:23" x14ac:dyDescent="0.3">
      <c r="W1820" s="85">
        <v>47314</v>
      </c>
    </row>
    <row r="1821" spans="23:23" x14ac:dyDescent="0.3">
      <c r="W1821" s="85">
        <v>47320</v>
      </c>
    </row>
    <row r="1822" spans="23:23" x14ac:dyDescent="0.3">
      <c r="W1822" s="85">
        <v>47321</v>
      </c>
    </row>
    <row r="1823" spans="23:23" x14ac:dyDescent="0.3">
      <c r="W1823" s="85">
        <v>47327</v>
      </c>
    </row>
    <row r="1824" spans="23:23" x14ac:dyDescent="0.3">
      <c r="W1824" s="85">
        <v>47328</v>
      </c>
    </row>
    <row r="1825" spans="23:23" x14ac:dyDescent="0.3">
      <c r="W1825" s="85">
        <v>47334</v>
      </c>
    </row>
    <row r="1826" spans="23:23" x14ac:dyDescent="0.3">
      <c r="W1826" s="85">
        <v>47335</v>
      </c>
    </row>
    <row r="1827" spans="23:23" x14ac:dyDescent="0.3">
      <c r="W1827" s="85">
        <v>47341</v>
      </c>
    </row>
    <row r="1828" spans="23:23" x14ac:dyDescent="0.3">
      <c r="W1828" s="85">
        <v>47342</v>
      </c>
    </row>
    <row r="1829" spans="23:23" x14ac:dyDescent="0.3">
      <c r="W1829" s="85">
        <v>47348</v>
      </c>
    </row>
    <row r="1830" spans="23:23" x14ac:dyDescent="0.3">
      <c r="W1830" s="85">
        <v>47349</v>
      </c>
    </row>
    <row r="1831" spans="23:23" x14ac:dyDescent="0.3">
      <c r="W1831" s="85">
        <v>47355</v>
      </c>
    </row>
    <row r="1832" spans="23:23" x14ac:dyDescent="0.3">
      <c r="W1832" s="85">
        <v>47356</v>
      </c>
    </row>
    <row r="1833" spans="23:23" x14ac:dyDescent="0.3">
      <c r="W1833" s="85">
        <v>47362</v>
      </c>
    </row>
    <row r="1834" spans="23:23" x14ac:dyDescent="0.3">
      <c r="W1834" s="85">
        <v>47363</v>
      </c>
    </row>
    <row r="1835" spans="23:23" x14ac:dyDescent="0.3">
      <c r="W1835" s="85">
        <v>47369</v>
      </c>
    </row>
    <row r="1836" spans="23:23" x14ac:dyDescent="0.3">
      <c r="W1836" s="85">
        <v>47370</v>
      </c>
    </row>
    <row r="1837" spans="23:23" x14ac:dyDescent="0.3">
      <c r="W1837" s="85">
        <v>47376</v>
      </c>
    </row>
    <row r="1838" spans="23:23" x14ac:dyDescent="0.3">
      <c r="W1838" s="85">
        <v>47377</v>
      </c>
    </row>
    <row r="1839" spans="23:23" x14ac:dyDescent="0.3">
      <c r="W1839" s="85">
        <v>47383</v>
      </c>
    </row>
    <row r="1840" spans="23:23" x14ac:dyDescent="0.3">
      <c r="W1840" s="85">
        <v>47384</v>
      </c>
    </row>
    <row r="1841" spans="23:23" x14ac:dyDescent="0.3">
      <c r="W1841" s="85">
        <v>47390</v>
      </c>
    </row>
    <row r="1842" spans="23:23" x14ac:dyDescent="0.3">
      <c r="W1842" s="85">
        <v>47391</v>
      </c>
    </row>
    <row r="1843" spans="23:23" x14ac:dyDescent="0.3">
      <c r="W1843" s="85">
        <v>47397</v>
      </c>
    </row>
    <row r="1844" spans="23:23" x14ac:dyDescent="0.3">
      <c r="W1844" s="85">
        <v>47398</v>
      </c>
    </row>
    <row r="1845" spans="23:23" x14ac:dyDescent="0.3">
      <c r="W1845" s="85">
        <v>47404</v>
      </c>
    </row>
    <row r="1846" spans="23:23" x14ac:dyDescent="0.3">
      <c r="W1846" s="85">
        <v>47405</v>
      </c>
    </row>
    <row r="1847" spans="23:23" x14ac:dyDescent="0.3">
      <c r="W1847" s="85">
        <v>47411</v>
      </c>
    </row>
    <row r="1848" spans="23:23" x14ac:dyDescent="0.3">
      <c r="W1848" s="85">
        <v>47412</v>
      </c>
    </row>
    <row r="1849" spans="23:23" x14ac:dyDescent="0.3">
      <c r="W1849" s="85">
        <v>47418</v>
      </c>
    </row>
    <row r="1850" spans="23:23" x14ac:dyDescent="0.3">
      <c r="W1850" s="85">
        <v>47419</v>
      </c>
    </row>
    <row r="1851" spans="23:23" x14ac:dyDescent="0.3">
      <c r="W1851" s="85">
        <v>47425</v>
      </c>
    </row>
    <row r="1852" spans="23:23" x14ac:dyDescent="0.3">
      <c r="W1852" s="85">
        <v>47426</v>
      </c>
    </row>
    <row r="1853" spans="23:23" x14ac:dyDescent="0.3">
      <c r="W1853" s="85">
        <v>47432</v>
      </c>
    </row>
    <row r="1854" spans="23:23" x14ac:dyDescent="0.3">
      <c r="W1854" s="85">
        <v>47433</v>
      </c>
    </row>
    <row r="1855" spans="23:23" x14ac:dyDescent="0.3">
      <c r="W1855" s="85">
        <v>47439</v>
      </c>
    </row>
    <row r="1856" spans="23:23" x14ac:dyDescent="0.3">
      <c r="W1856" s="85">
        <v>47440</v>
      </c>
    </row>
    <row r="1857" spans="23:23" x14ac:dyDescent="0.3">
      <c r="W1857" s="85">
        <v>47446</v>
      </c>
    </row>
    <row r="1858" spans="23:23" x14ac:dyDescent="0.3">
      <c r="W1858" s="85">
        <v>47447</v>
      </c>
    </row>
    <row r="1859" spans="23:23" x14ac:dyDescent="0.3">
      <c r="W1859" s="85">
        <v>47453</v>
      </c>
    </row>
    <row r="1860" spans="23:23" x14ac:dyDescent="0.3">
      <c r="W1860" s="85">
        <v>47454</v>
      </c>
    </row>
    <row r="1861" spans="23:23" x14ac:dyDescent="0.3">
      <c r="W1861" s="85">
        <v>47460</v>
      </c>
    </row>
    <row r="1862" spans="23:23" x14ac:dyDescent="0.3">
      <c r="W1862" s="85">
        <v>47461</v>
      </c>
    </row>
    <row r="1863" spans="23:23" x14ac:dyDescent="0.3">
      <c r="W1863" s="85">
        <v>47467</v>
      </c>
    </row>
    <row r="1864" spans="23:23" x14ac:dyDescent="0.3">
      <c r="W1864" s="85">
        <v>47468</v>
      </c>
    </row>
    <row r="1865" spans="23:23" x14ac:dyDescent="0.3">
      <c r="W1865" s="85">
        <v>47474</v>
      </c>
    </row>
    <row r="1866" spans="23:23" x14ac:dyDescent="0.3">
      <c r="W1866" s="85">
        <v>47475</v>
      </c>
    </row>
    <row r="1867" spans="23:23" x14ac:dyDescent="0.3">
      <c r="W1867" s="85">
        <v>47477</v>
      </c>
    </row>
    <row r="1868" spans="23:23" x14ac:dyDescent="0.3">
      <c r="W1868" s="85">
        <v>47478</v>
      </c>
    </row>
    <row r="1869" spans="23:23" x14ac:dyDescent="0.3">
      <c r="W1869" s="85">
        <v>47481</v>
      </c>
    </row>
    <row r="1870" spans="23:23" x14ac:dyDescent="0.3">
      <c r="W1870" s="85">
        <v>47482</v>
      </c>
    </row>
    <row r="1871" spans="23:23" x14ac:dyDescent="0.3">
      <c r="W1871" s="85">
        <v>47484</v>
      </c>
    </row>
    <row r="1872" spans="23:23" x14ac:dyDescent="0.3">
      <c r="W1872" s="85">
        <v>47488</v>
      </c>
    </row>
    <row r="1873" spans="23:23" x14ac:dyDescent="0.3">
      <c r="W1873" s="85">
        <v>47489</v>
      </c>
    </row>
    <row r="1874" spans="23:23" x14ac:dyDescent="0.3">
      <c r="W1874" s="85">
        <v>47495</v>
      </c>
    </row>
    <row r="1875" spans="23:23" x14ac:dyDescent="0.3">
      <c r="W1875" s="85">
        <v>47496</v>
      </c>
    </row>
    <row r="1876" spans="23:23" x14ac:dyDescent="0.3">
      <c r="W1876" s="85">
        <v>47502</v>
      </c>
    </row>
    <row r="1877" spans="23:23" x14ac:dyDescent="0.3">
      <c r="W1877" s="85">
        <v>47503</v>
      </c>
    </row>
    <row r="1878" spans="23:23" x14ac:dyDescent="0.3">
      <c r="W1878" s="85">
        <v>47509</v>
      </c>
    </row>
    <row r="1879" spans="23:23" x14ac:dyDescent="0.3">
      <c r="W1879" s="85">
        <v>47510</v>
      </c>
    </row>
    <row r="1880" spans="23:23" x14ac:dyDescent="0.3">
      <c r="W1880" s="85">
        <v>47516</v>
      </c>
    </row>
    <row r="1881" spans="23:23" x14ac:dyDescent="0.3">
      <c r="W1881" s="85">
        <v>47517</v>
      </c>
    </row>
    <row r="1882" spans="23:23" x14ac:dyDescent="0.3">
      <c r="W1882" s="85">
        <v>47523</v>
      </c>
    </row>
    <row r="1883" spans="23:23" x14ac:dyDescent="0.3">
      <c r="W1883" s="85">
        <v>47524</v>
      </c>
    </row>
    <row r="1884" spans="23:23" x14ac:dyDescent="0.3">
      <c r="W1884" s="85">
        <v>47530</v>
      </c>
    </row>
    <row r="1885" spans="23:23" x14ac:dyDescent="0.3">
      <c r="W1885" s="85">
        <v>47531</v>
      </c>
    </row>
    <row r="1886" spans="23:23" x14ac:dyDescent="0.3">
      <c r="W1886" s="85">
        <v>47537</v>
      </c>
    </row>
    <row r="1887" spans="23:23" x14ac:dyDescent="0.3">
      <c r="W1887" s="85">
        <v>47538</v>
      </c>
    </row>
    <row r="1888" spans="23:23" x14ac:dyDescent="0.3">
      <c r="W1888" s="85">
        <v>47544</v>
      </c>
    </row>
    <row r="1889" spans="23:23" x14ac:dyDescent="0.3">
      <c r="W1889" s="85">
        <v>47545</v>
      </c>
    </row>
    <row r="1890" spans="23:23" x14ac:dyDescent="0.3">
      <c r="W1890" s="85">
        <v>47551</v>
      </c>
    </row>
    <row r="1891" spans="23:23" x14ac:dyDescent="0.3">
      <c r="W1891" s="85">
        <v>47552</v>
      </c>
    </row>
    <row r="1892" spans="23:23" x14ac:dyDescent="0.3">
      <c r="W1892" s="85">
        <v>47558</v>
      </c>
    </row>
    <row r="1893" spans="23:23" x14ac:dyDescent="0.3">
      <c r="W1893" s="85">
        <v>47559</v>
      </c>
    </row>
    <row r="1894" spans="23:23" x14ac:dyDescent="0.3">
      <c r="W1894" s="85">
        <v>47565</v>
      </c>
    </row>
    <row r="1895" spans="23:23" x14ac:dyDescent="0.3">
      <c r="W1895" s="85">
        <v>47566</v>
      </c>
    </row>
    <row r="1896" spans="23:23" x14ac:dyDescent="0.3">
      <c r="W1896" s="85">
        <v>47572</v>
      </c>
    </row>
    <row r="1897" spans="23:23" x14ac:dyDescent="0.3">
      <c r="W1897" s="85">
        <v>47573</v>
      </c>
    </row>
    <row r="1898" spans="23:23" x14ac:dyDescent="0.3">
      <c r="W1898" s="85">
        <v>47579</v>
      </c>
    </row>
    <row r="1899" spans="23:23" x14ac:dyDescent="0.3">
      <c r="W1899" s="85">
        <v>47580</v>
      </c>
    </row>
    <row r="1900" spans="23:23" x14ac:dyDescent="0.3">
      <c r="W1900" s="85">
        <v>47586</v>
      </c>
    </row>
    <row r="1901" spans="23:23" x14ac:dyDescent="0.3">
      <c r="W1901" s="85">
        <v>47587</v>
      </c>
    </row>
    <row r="1902" spans="23:23" x14ac:dyDescent="0.3">
      <c r="W1902" s="85">
        <v>47592</v>
      </c>
    </row>
    <row r="1903" spans="23:23" x14ac:dyDescent="0.3">
      <c r="W1903" s="85">
        <v>47593</v>
      </c>
    </row>
    <row r="1904" spans="23:23" x14ac:dyDescent="0.3">
      <c r="W1904" s="85">
        <v>47594</v>
      </c>
    </row>
    <row r="1905" spans="23:23" x14ac:dyDescent="0.3">
      <c r="W1905" s="85">
        <v>47595</v>
      </c>
    </row>
    <row r="1906" spans="23:23" x14ac:dyDescent="0.3">
      <c r="W1906" s="85">
        <v>47600</v>
      </c>
    </row>
    <row r="1907" spans="23:23" x14ac:dyDescent="0.3">
      <c r="W1907" s="85">
        <v>47601</v>
      </c>
    </row>
    <row r="1908" spans="23:23" x14ac:dyDescent="0.3">
      <c r="W1908" s="85">
        <v>47604</v>
      </c>
    </row>
    <row r="1909" spans="23:23" x14ac:dyDescent="0.3">
      <c r="W1909" s="85">
        <v>47607</v>
      </c>
    </row>
    <row r="1910" spans="23:23" x14ac:dyDescent="0.3">
      <c r="W1910" s="85">
        <v>47608</v>
      </c>
    </row>
    <row r="1911" spans="23:23" x14ac:dyDescent="0.3">
      <c r="W1911" s="85">
        <v>47614</v>
      </c>
    </row>
    <row r="1912" spans="23:23" x14ac:dyDescent="0.3">
      <c r="W1912" s="85">
        <v>47615</v>
      </c>
    </row>
    <row r="1913" spans="23:23" x14ac:dyDescent="0.3">
      <c r="W1913" s="85">
        <v>47621</v>
      </c>
    </row>
    <row r="1914" spans="23:23" x14ac:dyDescent="0.3">
      <c r="W1914" s="85">
        <v>47622</v>
      </c>
    </row>
    <row r="1915" spans="23:23" x14ac:dyDescent="0.3">
      <c r="W1915" s="85">
        <v>47628</v>
      </c>
    </row>
    <row r="1916" spans="23:23" x14ac:dyDescent="0.3">
      <c r="W1916" s="85">
        <v>47629</v>
      </c>
    </row>
    <row r="1917" spans="23:23" x14ac:dyDescent="0.3">
      <c r="W1917" s="85">
        <v>47635</v>
      </c>
    </row>
    <row r="1918" spans="23:23" x14ac:dyDescent="0.3">
      <c r="W1918" s="85">
        <v>47636</v>
      </c>
    </row>
    <row r="1919" spans="23:23" x14ac:dyDescent="0.3">
      <c r="W1919" s="85">
        <v>47642</v>
      </c>
    </row>
    <row r="1920" spans="23:23" x14ac:dyDescent="0.3">
      <c r="W1920" s="85">
        <v>47643</v>
      </c>
    </row>
    <row r="1921" spans="23:23" x14ac:dyDescent="0.3">
      <c r="W1921" s="85">
        <v>47649</v>
      </c>
    </row>
    <row r="1922" spans="23:23" x14ac:dyDescent="0.3">
      <c r="W1922" s="85">
        <v>47650</v>
      </c>
    </row>
    <row r="1923" spans="23:23" x14ac:dyDescent="0.3">
      <c r="W1923" s="85">
        <v>47656</v>
      </c>
    </row>
    <row r="1924" spans="23:23" x14ac:dyDescent="0.3">
      <c r="W1924" s="85">
        <v>47657</v>
      </c>
    </row>
    <row r="1925" spans="23:23" x14ac:dyDescent="0.3">
      <c r="W1925" s="85">
        <v>47663</v>
      </c>
    </row>
    <row r="1926" spans="23:23" x14ac:dyDescent="0.3">
      <c r="W1926" s="85">
        <v>47664</v>
      </c>
    </row>
    <row r="1927" spans="23:23" x14ac:dyDescent="0.3">
      <c r="W1927" s="85">
        <v>47670</v>
      </c>
    </row>
    <row r="1928" spans="23:23" x14ac:dyDescent="0.3">
      <c r="W1928" s="85">
        <v>47671</v>
      </c>
    </row>
    <row r="1929" spans="23:23" x14ac:dyDescent="0.3">
      <c r="W1929" s="85">
        <v>47677</v>
      </c>
    </row>
    <row r="1930" spans="23:23" x14ac:dyDescent="0.3">
      <c r="W1930" s="85">
        <v>47678</v>
      </c>
    </row>
    <row r="1931" spans="23:23" x14ac:dyDescent="0.3">
      <c r="W1931" s="85">
        <v>47684</v>
      </c>
    </row>
    <row r="1932" spans="23:23" x14ac:dyDescent="0.3">
      <c r="W1932" s="85">
        <v>47685</v>
      </c>
    </row>
    <row r="1933" spans="23:23" x14ac:dyDescent="0.3">
      <c r="W1933" s="85">
        <v>47691</v>
      </c>
    </row>
    <row r="1934" spans="23:23" x14ac:dyDescent="0.3">
      <c r="W1934" s="85">
        <v>47692</v>
      </c>
    </row>
    <row r="1935" spans="23:23" x14ac:dyDescent="0.3">
      <c r="W1935" s="85">
        <v>47698</v>
      </c>
    </row>
    <row r="1936" spans="23:23" x14ac:dyDescent="0.3">
      <c r="W1936" s="85">
        <v>47699</v>
      </c>
    </row>
    <row r="1937" spans="23:23" x14ac:dyDescent="0.3">
      <c r="W1937" s="85">
        <v>47705</v>
      </c>
    </row>
    <row r="1938" spans="23:23" x14ac:dyDescent="0.3">
      <c r="W1938" s="85">
        <v>47706</v>
      </c>
    </row>
    <row r="1939" spans="23:23" x14ac:dyDescent="0.3">
      <c r="W1939" s="85">
        <v>47712</v>
      </c>
    </row>
    <row r="1940" spans="23:23" x14ac:dyDescent="0.3">
      <c r="W1940" s="85">
        <v>47713</v>
      </c>
    </row>
    <row r="1941" spans="23:23" x14ac:dyDescent="0.3">
      <c r="W1941" s="85">
        <v>47719</v>
      </c>
    </row>
    <row r="1942" spans="23:23" x14ac:dyDescent="0.3">
      <c r="W1942" s="85">
        <v>47720</v>
      </c>
    </row>
    <row r="1943" spans="23:23" x14ac:dyDescent="0.3">
      <c r="W1943" s="85">
        <v>47726</v>
      </c>
    </row>
    <row r="1944" spans="23:23" x14ac:dyDescent="0.3">
      <c r="W1944" s="85">
        <v>47727</v>
      </c>
    </row>
    <row r="1945" spans="23:23" x14ac:dyDescent="0.3">
      <c r="W1945" s="85">
        <v>47733</v>
      </c>
    </row>
    <row r="1946" spans="23:23" x14ac:dyDescent="0.3">
      <c r="W1946" s="85">
        <v>47734</v>
      </c>
    </row>
    <row r="1947" spans="23:23" x14ac:dyDescent="0.3">
      <c r="W1947" s="85">
        <v>47740</v>
      </c>
    </row>
    <row r="1948" spans="23:23" x14ac:dyDescent="0.3">
      <c r="W1948" s="85">
        <v>47741</v>
      </c>
    </row>
    <row r="1949" spans="23:23" x14ac:dyDescent="0.3">
      <c r="W1949" s="85">
        <v>47747</v>
      </c>
    </row>
    <row r="1950" spans="23:23" x14ac:dyDescent="0.3">
      <c r="W1950" s="85">
        <v>47748</v>
      </c>
    </row>
    <row r="1951" spans="23:23" x14ac:dyDescent="0.3">
      <c r="W1951" s="85">
        <v>47754</v>
      </c>
    </row>
    <row r="1952" spans="23:23" x14ac:dyDescent="0.3">
      <c r="W1952" s="85">
        <v>47755</v>
      </c>
    </row>
    <row r="1953" spans="23:23" x14ac:dyDescent="0.3">
      <c r="W1953" s="85">
        <v>47761</v>
      </c>
    </row>
    <row r="1954" spans="23:23" x14ac:dyDescent="0.3">
      <c r="W1954" s="85">
        <v>47762</v>
      </c>
    </row>
    <row r="1955" spans="23:23" x14ac:dyDescent="0.3">
      <c r="W1955" s="85">
        <v>47768</v>
      </c>
    </row>
    <row r="1956" spans="23:23" x14ac:dyDescent="0.3">
      <c r="W1956" s="85">
        <v>47769</v>
      </c>
    </row>
    <row r="1957" spans="23:23" x14ac:dyDescent="0.3">
      <c r="W1957" s="85">
        <v>47775</v>
      </c>
    </row>
    <row r="1958" spans="23:23" x14ac:dyDescent="0.3">
      <c r="W1958" s="85">
        <v>47776</v>
      </c>
    </row>
    <row r="1959" spans="23:23" x14ac:dyDescent="0.3">
      <c r="W1959" s="85">
        <v>47782</v>
      </c>
    </row>
    <row r="1960" spans="23:23" x14ac:dyDescent="0.3">
      <c r="W1960" s="85">
        <v>47783</v>
      </c>
    </row>
    <row r="1961" spans="23:23" x14ac:dyDescent="0.3">
      <c r="W1961" s="85">
        <v>47789</v>
      </c>
    </row>
    <row r="1962" spans="23:23" x14ac:dyDescent="0.3">
      <c r="W1962" s="85">
        <v>47790</v>
      </c>
    </row>
    <row r="1963" spans="23:23" x14ac:dyDescent="0.3">
      <c r="W1963" s="85">
        <v>47796</v>
      </c>
    </row>
    <row r="1964" spans="23:23" x14ac:dyDescent="0.3">
      <c r="W1964" s="85">
        <v>47797</v>
      </c>
    </row>
    <row r="1965" spans="23:23" x14ac:dyDescent="0.3">
      <c r="W1965" s="85">
        <v>47803</v>
      </c>
    </row>
    <row r="1966" spans="23:23" x14ac:dyDescent="0.3">
      <c r="W1966" s="85">
        <v>47804</v>
      </c>
    </row>
    <row r="1967" spans="23:23" x14ac:dyDescent="0.3">
      <c r="W1967" s="85">
        <v>47810</v>
      </c>
    </row>
    <row r="1968" spans="23:23" x14ac:dyDescent="0.3">
      <c r="W1968" s="85">
        <v>47811</v>
      </c>
    </row>
    <row r="1969" spans="23:23" x14ac:dyDescent="0.3">
      <c r="W1969" s="85">
        <v>47817</v>
      </c>
    </row>
    <row r="1970" spans="23:23" x14ac:dyDescent="0.3">
      <c r="W1970" s="85">
        <v>47818</v>
      </c>
    </row>
    <row r="1971" spans="23:23" x14ac:dyDescent="0.3">
      <c r="W1971" s="85">
        <v>47824</v>
      </c>
    </row>
    <row r="1972" spans="23:23" x14ac:dyDescent="0.3">
      <c r="W1972" s="85">
        <v>47825</v>
      </c>
    </row>
    <row r="1973" spans="23:23" x14ac:dyDescent="0.3">
      <c r="W1973" s="85">
        <v>47831</v>
      </c>
    </row>
    <row r="1974" spans="23:23" x14ac:dyDescent="0.3">
      <c r="W1974" s="85">
        <v>47832</v>
      </c>
    </row>
    <row r="1975" spans="23:23" x14ac:dyDescent="0.3">
      <c r="W1975" s="85">
        <v>47838</v>
      </c>
    </row>
    <row r="1976" spans="23:23" x14ac:dyDescent="0.3">
      <c r="W1976" s="85">
        <v>47839</v>
      </c>
    </row>
    <row r="1977" spans="23:23" x14ac:dyDescent="0.3">
      <c r="W1977" s="85">
        <v>47842</v>
      </c>
    </row>
    <row r="1978" spans="23:23" x14ac:dyDescent="0.3">
      <c r="W1978" s="85">
        <v>47843</v>
      </c>
    </row>
    <row r="1979" spans="23:23" x14ac:dyDescent="0.3">
      <c r="W1979" s="85">
        <v>47845</v>
      </c>
    </row>
    <row r="1980" spans="23:23" x14ac:dyDescent="0.3">
      <c r="W1980" s="85">
        <v>47846</v>
      </c>
    </row>
    <row r="1981" spans="23:23" x14ac:dyDescent="0.3">
      <c r="W1981" s="85">
        <v>47849</v>
      </c>
    </row>
    <row r="1982" spans="23:23" x14ac:dyDescent="0.3">
      <c r="W1982" s="85">
        <v>47852</v>
      </c>
    </row>
    <row r="1983" spans="23:23" x14ac:dyDescent="0.3">
      <c r="W1983" s="85">
        <v>47853</v>
      </c>
    </row>
    <row r="1984" spans="23:23" x14ac:dyDescent="0.3">
      <c r="W1984" s="85">
        <v>47859</v>
      </c>
    </row>
    <row r="1985" spans="23:23" x14ac:dyDescent="0.3">
      <c r="W1985" s="85">
        <v>47860</v>
      </c>
    </row>
    <row r="1986" spans="23:23" x14ac:dyDescent="0.3">
      <c r="W1986" s="85">
        <v>47866</v>
      </c>
    </row>
    <row r="1987" spans="23:23" x14ac:dyDescent="0.3">
      <c r="W1987" s="85">
        <v>47867</v>
      </c>
    </row>
    <row r="1988" spans="23:23" x14ac:dyDescent="0.3">
      <c r="W1988" s="85">
        <v>47873</v>
      </c>
    </row>
    <row r="1989" spans="23:23" x14ac:dyDescent="0.3">
      <c r="W1989" s="85">
        <v>47874</v>
      </c>
    </row>
    <row r="1990" spans="23:23" x14ac:dyDescent="0.3">
      <c r="W1990" s="85">
        <v>47880</v>
      </c>
    </row>
    <row r="1991" spans="23:23" x14ac:dyDescent="0.3">
      <c r="W1991" s="85">
        <v>47881</v>
      </c>
    </row>
    <row r="1992" spans="23:23" x14ac:dyDescent="0.3">
      <c r="W1992" s="85">
        <v>47887</v>
      </c>
    </row>
    <row r="1993" spans="23:23" x14ac:dyDescent="0.3">
      <c r="W1993" s="85">
        <v>47888</v>
      </c>
    </row>
    <row r="1994" spans="23:23" x14ac:dyDescent="0.3">
      <c r="W1994" s="85">
        <v>47894</v>
      </c>
    </row>
    <row r="1995" spans="23:23" x14ac:dyDescent="0.3">
      <c r="W1995" s="85">
        <v>47895</v>
      </c>
    </row>
    <row r="1996" spans="23:23" x14ac:dyDescent="0.3">
      <c r="W1996" s="85">
        <v>47901</v>
      </c>
    </row>
    <row r="1997" spans="23:23" x14ac:dyDescent="0.3">
      <c r="W1997" s="85">
        <v>47902</v>
      </c>
    </row>
    <row r="1998" spans="23:23" x14ac:dyDescent="0.3">
      <c r="W1998" s="85">
        <v>47908</v>
      </c>
    </row>
    <row r="1999" spans="23:23" x14ac:dyDescent="0.3">
      <c r="W1999" s="85">
        <v>47909</v>
      </c>
    </row>
    <row r="2000" spans="23:23" x14ac:dyDescent="0.3">
      <c r="W2000" s="85">
        <v>47915</v>
      </c>
    </row>
    <row r="2001" spans="23:23" x14ac:dyDescent="0.3">
      <c r="W2001" s="85">
        <v>47916</v>
      </c>
    </row>
    <row r="2002" spans="23:23" x14ac:dyDescent="0.3">
      <c r="W2002" s="85">
        <v>47922</v>
      </c>
    </row>
    <row r="2003" spans="23:23" x14ac:dyDescent="0.3">
      <c r="W2003" s="85">
        <v>47923</v>
      </c>
    </row>
    <row r="2004" spans="23:23" x14ac:dyDescent="0.3">
      <c r="W2004" s="85">
        <v>47929</v>
      </c>
    </row>
    <row r="2005" spans="23:23" x14ac:dyDescent="0.3">
      <c r="W2005" s="85">
        <v>47930</v>
      </c>
    </row>
    <row r="2006" spans="23:23" x14ac:dyDescent="0.3">
      <c r="W2006" s="85">
        <v>47936</v>
      </c>
    </row>
    <row r="2007" spans="23:23" x14ac:dyDescent="0.3">
      <c r="W2007" s="85">
        <v>47937</v>
      </c>
    </row>
    <row r="2008" spans="23:23" x14ac:dyDescent="0.3">
      <c r="W2008" s="85">
        <v>47943</v>
      </c>
    </row>
    <row r="2009" spans="23:23" x14ac:dyDescent="0.3">
      <c r="W2009" s="85">
        <v>47944</v>
      </c>
    </row>
    <row r="2010" spans="23:23" x14ac:dyDescent="0.3">
      <c r="W2010" s="85">
        <v>47949</v>
      </c>
    </row>
    <row r="2011" spans="23:23" x14ac:dyDescent="0.3">
      <c r="W2011" s="85">
        <v>47950</v>
      </c>
    </row>
    <row r="2012" spans="23:23" x14ac:dyDescent="0.3">
      <c r="W2012" s="85">
        <v>47951</v>
      </c>
    </row>
    <row r="2013" spans="23:23" x14ac:dyDescent="0.3">
      <c r="W2013" s="85">
        <v>47952</v>
      </c>
    </row>
    <row r="2014" spans="23:23" x14ac:dyDescent="0.3">
      <c r="W2014" s="85">
        <v>47957</v>
      </c>
    </row>
    <row r="2015" spans="23:23" x14ac:dyDescent="0.3">
      <c r="W2015" s="85">
        <v>47958</v>
      </c>
    </row>
    <row r="2016" spans="23:23" x14ac:dyDescent="0.3">
      <c r="W2016" s="85">
        <v>47964</v>
      </c>
    </row>
    <row r="2017" spans="23:23" x14ac:dyDescent="0.3">
      <c r="W2017" s="85">
        <v>47965</v>
      </c>
    </row>
    <row r="2018" spans="23:23" x14ac:dyDescent="0.3">
      <c r="W2018" s="85">
        <v>47969</v>
      </c>
    </row>
    <row r="2019" spans="23:23" x14ac:dyDescent="0.3">
      <c r="W2019" s="85">
        <v>47971</v>
      </c>
    </row>
    <row r="2020" spans="23:23" x14ac:dyDescent="0.3">
      <c r="W2020" s="85">
        <v>47972</v>
      </c>
    </row>
    <row r="2021" spans="23:23" x14ac:dyDescent="0.3">
      <c r="W2021" s="85">
        <v>47978</v>
      </c>
    </row>
    <row r="2022" spans="23:23" x14ac:dyDescent="0.3">
      <c r="W2022" s="85">
        <v>47979</v>
      </c>
    </row>
    <row r="2023" spans="23:23" x14ac:dyDescent="0.3">
      <c r="W2023" s="85">
        <v>47985</v>
      </c>
    </row>
    <row r="2024" spans="23:23" x14ac:dyDescent="0.3">
      <c r="W2024" s="85">
        <v>47986</v>
      </c>
    </row>
    <row r="2025" spans="23:23" x14ac:dyDescent="0.3">
      <c r="W2025" s="85">
        <v>47992</v>
      </c>
    </row>
    <row r="2026" spans="23:23" x14ac:dyDescent="0.3">
      <c r="W2026" s="85">
        <v>47993</v>
      </c>
    </row>
    <row r="2027" spans="23:23" x14ac:dyDescent="0.3">
      <c r="W2027" s="85">
        <v>47999</v>
      </c>
    </row>
    <row r="2028" spans="23:23" x14ac:dyDescent="0.3">
      <c r="W2028" s="85">
        <v>48000</v>
      </c>
    </row>
    <row r="2029" spans="23:23" x14ac:dyDescent="0.3">
      <c r="W2029" s="85">
        <v>48006</v>
      </c>
    </row>
    <row r="2030" spans="23:23" x14ac:dyDescent="0.3">
      <c r="W2030" s="85">
        <v>48007</v>
      </c>
    </row>
    <row r="2031" spans="23:23" x14ac:dyDescent="0.3">
      <c r="W2031" s="85">
        <v>48013</v>
      </c>
    </row>
    <row r="2032" spans="23:23" x14ac:dyDescent="0.3">
      <c r="W2032" s="85">
        <v>48014</v>
      </c>
    </row>
    <row r="2033" spans="23:23" x14ac:dyDescent="0.3">
      <c r="W2033" s="85">
        <v>48020</v>
      </c>
    </row>
    <row r="2034" spans="23:23" x14ac:dyDescent="0.3">
      <c r="W2034" s="85">
        <v>48021</v>
      </c>
    </row>
    <row r="2035" spans="23:23" x14ac:dyDescent="0.3">
      <c r="W2035" s="85">
        <v>48027</v>
      </c>
    </row>
    <row r="2036" spans="23:23" x14ac:dyDescent="0.3">
      <c r="W2036" s="85">
        <v>48028</v>
      </c>
    </row>
    <row r="2037" spans="23:23" x14ac:dyDescent="0.3">
      <c r="W2037" s="85">
        <v>48034</v>
      </c>
    </row>
    <row r="2038" spans="23:23" x14ac:dyDescent="0.3">
      <c r="W2038" s="85">
        <v>48035</v>
      </c>
    </row>
    <row r="2039" spans="23:23" x14ac:dyDescent="0.3">
      <c r="W2039" s="85">
        <v>48041</v>
      </c>
    </row>
    <row r="2040" spans="23:23" x14ac:dyDescent="0.3">
      <c r="W2040" s="85">
        <v>48042</v>
      </c>
    </row>
    <row r="2041" spans="23:23" x14ac:dyDescent="0.3">
      <c r="W2041" s="85">
        <v>48048</v>
      </c>
    </row>
    <row r="2042" spans="23:23" x14ac:dyDescent="0.3">
      <c r="W2042" s="85">
        <v>48049</v>
      </c>
    </row>
    <row r="2043" spans="23:23" x14ac:dyDescent="0.3">
      <c r="W2043" s="85">
        <v>48055</v>
      </c>
    </row>
    <row r="2044" spans="23:23" x14ac:dyDescent="0.3">
      <c r="W2044" s="85">
        <v>48056</v>
      </c>
    </row>
    <row r="2045" spans="23:23" x14ac:dyDescent="0.3">
      <c r="W2045" s="85">
        <v>48062</v>
      </c>
    </row>
    <row r="2046" spans="23:23" x14ac:dyDescent="0.3">
      <c r="W2046" s="85">
        <v>48063</v>
      </c>
    </row>
    <row r="2047" spans="23:23" x14ac:dyDescent="0.3">
      <c r="W2047" s="85">
        <v>48069</v>
      </c>
    </row>
    <row r="2048" spans="23:23" x14ac:dyDescent="0.3">
      <c r="W2048" s="85">
        <v>48070</v>
      </c>
    </row>
    <row r="2049" spans="23:23" x14ac:dyDescent="0.3">
      <c r="W2049" s="85">
        <v>48076</v>
      </c>
    </row>
    <row r="2050" spans="23:23" x14ac:dyDescent="0.3">
      <c r="W2050" s="85">
        <v>48077</v>
      </c>
    </row>
    <row r="2051" spans="23:23" x14ac:dyDescent="0.3">
      <c r="W2051" s="85">
        <v>48083</v>
      </c>
    </row>
    <row r="2052" spans="23:23" x14ac:dyDescent="0.3">
      <c r="W2052" s="85">
        <v>48084</v>
      </c>
    </row>
    <row r="2053" spans="23:23" x14ac:dyDescent="0.3">
      <c r="W2053" s="85">
        <v>48090</v>
      </c>
    </row>
    <row r="2054" spans="23:23" x14ac:dyDescent="0.3">
      <c r="W2054" s="85">
        <v>48091</v>
      </c>
    </row>
    <row r="2055" spans="23:23" x14ac:dyDescent="0.3">
      <c r="W2055" s="85">
        <v>48097</v>
      </c>
    </row>
    <row r="2056" spans="23:23" x14ac:dyDescent="0.3">
      <c r="W2056" s="85">
        <v>48098</v>
      </c>
    </row>
    <row r="2057" spans="23:23" x14ac:dyDescent="0.3">
      <c r="W2057" s="85">
        <v>48104</v>
      </c>
    </row>
    <row r="2058" spans="23:23" x14ac:dyDescent="0.3">
      <c r="W2058" s="85">
        <v>48105</v>
      </c>
    </row>
    <row r="2059" spans="23:23" x14ac:dyDescent="0.3">
      <c r="W2059" s="85">
        <v>48111</v>
      </c>
    </row>
    <row r="2060" spans="23:23" x14ac:dyDescent="0.3">
      <c r="W2060" s="85">
        <v>48112</v>
      </c>
    </row>
    <row r="2061" spans="23:23" x14ac:dyDescent="0.3">
      <c r="W2061" s="85">
        <v>48118</v>
      </c>
    </row>
    <row r="2062" spans="23:23" x14ac:dyDescent="0.3">
      <c r="W2062" s="85">
        <v>48119</v>
      </c>
    </row>
    <row r="2063" spans="23:23" x14ac:dyDescent="0.3">
      <c r="W2063" s="85">
        <v>48125</v>
      </c>
    </row>
    <row r="2064" spans="23:23" x14ac:dyDescent="0.3">
      <c r="W2064" s="85">
        <v>48126</v>
      </c>
    </row>
    <row r="2065" spans="23:23" x14ac:dyDescent="0.3">
      <c r="W2065" s="85">
        <v>48132</v>
      </c>
    </row>
    <row r="2066" spans="23:23" x14ac:dyDescent="0.3">
      <c r="W2066" s="85">
        <v>48133</v>
      </c>
    </row>
    <row r="2067" spans="23:23" x14ac:dyDescent="0.3">
      <c r="W2067" s="85">
        <v>48139</v>
      </c>
    </row>
    <row r="2068" spans="23:23" x14ac:dyDescent="0.3">
      <c r="W2068" s="85">
        <v>48140</v>
      </c>
    </row>
    <row r="2069" spans="23:23" x14ac:dyDescent="0.3">
      <c r="W2069" s="85">
        <v>48146</v>
      </c>
    </row>
    <row r="2070" spans="23:23" x14ac:dyDescent="0.3">
      <c r="W2070" s="85">
        <v>48147</v>
      </c>
    </row>
    <row r="2071" spans="23:23" x14ac:dyDescent="0.3">
      <c r="W2071" s="85">
        <v>48153</v>
      </c>
    </row>
    <row r="2072" spans="23:23" x14ac:dyDescent="0.3">
      <c r="W2072" s="85">
        <v>48154</v>
      </c>
    </row>
    <row r="2073" spans="23:23" x14ac:dyDescent="0.3">
      <c r="W2073" s="85">
        <v>48160</v>
      </c>
    </row>
    <row r="2074" spans="23:23" x14ac:dyDescent="0.3">
      <c r="W2074" s="85">
        <v>48161</v>
      </c>
    </row>
    <row r="2075" spans="23:23" x14ac:dyDescent="0.3">
      <c r="W2075" s="85">
        <v>48167</v>
      </c>
    </row>
    <row r="2076" spans="23:23" x14ac:dyDescent="0.3">
      <c r="W2076" s="85">
        <v>48168</v>
      </c>
    </row>
    <row r="2077" spans="23:23" x14ac:dyDescent="0.3">
      <c r="W2077" s="85">
        <v>48174</v>
      </c>
    </row>
    <row r="2078" spans="23:23" x14ac:dyDescent="0.3">
      <c r="W2078" s="85">
        <v>48175</v>
      </c>
    </row>
    <row r="2079" spans="23:23" x14ac:dyDescent="0.3">
      <c r="W2079" s="85">
        <v>48181</v>
      </c>
    </row>
    <row r="2080" spans="23:23" x14ac:dyDescent="0.3">
      <c r="W2080" s="85">
        <v>48182</v>
      </c>
    </row>
    <row r="2081" spans="23:23" x14ac:dyDescent="0.3">
      <c r="W2081" s="85">
        <v>48188</v>
      </c>
    </row>
    <row r="2082" spans="23:23" x14ac:dyDescent="0.3">
      <c r="W2082" s="85">
        <v>48189</v>
      </c>
    </row>
    <row r="2083" spans="23:23" x14ac:dyDescent="0.3">
      <c r="W2083" s="85">
        <v>48195</v>
      </c>
    </row>
    <row r="2084" spans="23:23" x14ac:dyDescent="0.3">
      <c r="W2084" s="85">
        <v>48196</v>
      </c>
    </row>
    <row r="2085" spans="23:23" x14ac:dyDescent="0.3">
      <c r="W2085" s="85">
        <v>48202</v>
      </c>
    </row>
    <row r="2086" spans="23:23" x14ac:dyDescent="0.3">
      <c r="W2086" s="85">
        <v>48203</v>
      </c>
    </row>
    <row r="2087" spans="23:23" x14ac:dyDescent="0.3">
      <c r="W2087" s="85">
        <v>48207</v>
      </c>
    </row>
    <row r="2088" spans="23:23" x14ac:dyDescent="0.3">
      <c r="W2088" s="85">
        <v>48208</v>
      </c>
    </row>
    <row r="2089" spans="23:23" x14ac:dyDescent="0.3">
      <c r="W2089" s="85">
        <v>48209</v>
      </c>
    </row>
    <row r="2090" spans="23:23" x14ac:dyDescent="0.3">
      <c r="W2090" s="85">
        <v>48210</v>
      </c>
    </row>
    <row r="2091" spans="23:23" x14ac:dyDescent="0.3">
      <c r="W2091" s="85">
        <v>48214</v>
      </c>
    </row>
    <row r="2092" spans="23:23" x14ac:dyDescent="0.3">
      <c r="W2092" s="85">
        <v>48216</v>
      </c>
    </row>
    <row r="2093" spans="23:23" x14ac:dyDescent="0.3">
      <c r="W2093" s="85">
        <v>48217</v>
      </c>
    </row>
    <row r="2094" spans="23:23" x14ac:dyDescent="0.3">
      <c r="W2094" s="85">
        <v>48223</v>
      </c>
    </row>
    <row r="2095" spans="23:23" x14ac:dyDescent="0.3">
      <c r="W2095" s="85">
        <v>48224</v>
      </c>
    </row>
    <row r="2096" spans="23:23" x14ac:dyDescent="0.3">
      <c r="W2096" s="85">
        <v>48230</v>
      </c>
    </row>
    <row r="2097" spans="23:23" x14ac:dyDescent="0.3">
      <c r="W2097" s="85">
        <v>48231</v>
      </c>
    </row>
    <row r="2098" spans="23:23" x14ac:dyDescent="0.3">
      <c r="W2098" s="85">
        <v>48237</v>
      </c>
    </row>
    <row r="2099" spans="23:23" x14ac:dyDescent="0.3">
      <c r="W2099" s="85">
        <v>48238</v>
      </c>
    </row>
    <row r="2100" spans="23:23" x14ac:dyDescent="0.3">
      <c r="W2100" s="85">
        <v>48244</v>
      </c>
    </row>
    <row r="2101" spans="23:23" x14ac:dyDescent="0.3">
      <c r="W2101" s="85">
        <v>48245</v>
      </c>
    </row>
    <row r="2102" spans="23:23" x14ac:dyDescent="0.3">
      <c r="W2102" s="85">
        <v>48251</v>
      </c>
    </row>
    <row r="2103" spans="23:23" x14ac:dyDescent="0.3">
      <c r="W2103" s="85">
        <v>48252</v>
      </c>
    </row>
    <row r="2104" spans="23:23" x14ac:dyDescent="0.3">
      <c r="W2104" s="85">
        <v>48258</v>
      </c>
    </row>
    <row r="2105" spans="23:23" x14ac:dyDescent="0.3">
      <c r="W2105" s="85">
        <v>48259</v>
      </c>
    </row>
    <row r="2106" spans="23:23" x14ac:dyDescent="0.3">
      <c r="W2106" s="85">
        <v>48265</v>
      </c>
    </row>
    <row r="2107" spans="23:23" x14ac:dyDescent="0.3">
      <c r="W2107" s="85">
        <v>48266</v>
      </c>
    </row>
    <row r="2108" spans="23:23" x14ac:dyDescent="0.3">
      <c r="W2108" s="85">
        <v>48272</v>
      </c>
    </row>
    <row r="2109" spans="23:23" x14ac:dyDescent="0.3">
      <c r="W2109" s="85">
        <v>48273</v>
      </c>
    </row>
    <row r="2110" spans="23:23" x14ac:dyDescent="0.3">
      <c r="W2110" s="85">
        <v>48279</v>
      </c>
    </row>
    <row r="2111" spans="23:23" x14ac:dyDescent="0.3">
      <c r="W2111" s="85">
        <v>48280</v>
      </c>
    </row>
    <row r="2112" spans="23:23" x14ac:dyDescent="0.3">
      <c r="W2112" s="85">
        <v>48286</v>
      </c>
    </row>
    <row r="2113" spans="23:23" x14ac:dyDescent="0.3">
      <c r="W2113" s="85">
        <v>48287</v>
      </c>
    </row>
    <row r="2114" spans="23:23" x14ac:dyDescent="0.3">
      <c r="W2114" s="85">
        <v>48293</v>
      </c>
    </row>
    <row r="2115" spans="23:23" x14ac:dyDescent="0.3">
      <c r="W2115" s="85">
        <v>48294</v>
      </c>
    </row>
    <row r="2116" spans="23:23" x14ac:dyDescent="0.3">
      <c r="W2116" s="85">
        <v>48299</v>
      </c>
    </row>
    <row r="2117" spans="23:23" x14ac:dyDescent="0.3">
      <c r="W2117" s="85">
        <v>48300</v>
      </c>
    </row>
    <row r="2118" spans="23:23" x14ac:dyDescent="0.3">
      <c r="W2118" s="85">
        <v>48301</v>
      </c>
    </row>
    <row r="2119" spans="23:23" x14ac:dyDescent="0.3">
      <c r="W2119" s="85">
        <v>48302</v>
      </c>
    </row>
    <row r="2120" spans="23:23" x14ac:dyDescent="0.3">
      <c r="W2120" s="85">
        <v>48307</v>
      </c>
    </row>
    <row r="2121" spans="23:23" x14ac:dyDescent="0.3">
      <c r="W2121" s="85">
        <v>48308</v>
      </c>
    </row>
    <row r="2122" spans="23:23" x14ac:dyDescent="0.3">
      <c r="W2122" s="85">
        <v>48314</v>
      </c>
    </row>
    <row r="2123" spans="23:23" x14ac:dyDescent="0.3">
      <c r="W2123" s="85">
        <v>48315</v>
      </c>
    </row>
    <row r="2124" spans="23:23" x14ac:dyDescent="0.3">
      <c r="W2124" s="85">
        <v>48321</v>
      </c>
    </row>
    <row r="2125" spans="23:23" x14ac:dyDescent="0.3">
      <c r="W2125" s="85">
        <v>48322</v>
      </c>
    </row>
    <row r="2126" spans="23:23" x14ac:dyDescent="0.3">
      <c r="W2126" s="85">
        <v>48328</v>
      </c>
    </row>
    <row r="2127" spans="23:23" x14ac:dyDescent="0.3">
      <c r="W2127" s="85">
        <v>48329</v>
      </c>
    </row>
    <row r="2128" spans="23:23" x14ac:dyDescent="0.3">
      <c r="W2128" s="85">
        <v>48335</v>
      </c>
    </row>
    <row r="2129" spans="23:23" x14ac:dyDescent="0.3">
      <c r="W2129" s="85">
        <v>48336</v>
      </c>
    </row>
    <row r="2130" spans="23:23" x14ac:dyDescent="0.3">
      <c r="W2130" s="85">
        <v>48342</v>
      </c>
    </row>
    <row r="2131" spans="23:23" x14ac:dyDescent="0.3">
      <c r="W2131" s="85">
        <v>48343</v>
      </c>
    </row>
    <row r="2132" spans="23:23" x14ac:dyDescent="0.3">
      <c r="W2132" s="85">
        <v>48349</v>
      </c>
    </row>
    <row r="2133" spans="23:23" x14ac:dyDescent="0.3">
      <c r="W2133" s="85">
        <v>48350</v>
      </c>
    </row>
    <row r="2134" spans="23:23" x14ac:dyDescent="0.3">
      <c r="W2134" s="85">
        <v>48356</v>
      </c>
    </row>
    <row r="2135" spans="23:23" x14ac:dyDescent="0.3">
      <c r="W2135" s="85">
        <v>48357</v>
      </c>
    </row>
    <row r="2136" spans="23:23" x14ac:dyDescent="0.3">
      <c r="W2136" s="85">
        <v>48363</v>
      </c>
    </row>
    <row r="2137" spans="23:23" x14ac:dyDescent="0.3">
      <c r="W2137" s="85">
        <v>48364</v>
      </c>
    </row>
    <row r="2138" spans="23:23" x14ac:dyDescent="0.3">
      <c r="W2138" s="85">
        <v>48370</v>
      </c>
    </row>
    <row r="2139" spans="23:23" x14ac:dyDescent="0.3">
      <c r="W2139" s="85">
        <v>48371</v>
      </c>
    </row>
    <row r="2140" spans="23:23" x14ac:dyDescent="0.3">
      <c r="W2140" s="85">
        <v>48377</v>
      </c>
    </row>
    <row r="2141" spans="23:23" x14ac:dyDescent="0.3">
      <c r="W2141" s="85">
        <v>48378</v>
      </c>
    </row>
    <row r="2142" spans="23:23" x14ac:dyDescent="0.3">
      <c r="W2142" s="85">
        <v>48384</v>
      </c>
    </row>
    <row r="2143" spans="23:23" x14ac:dyDescent="0.3">
      <c r="W2143" s="85">
        <v>48385</v>
      </c>
    </row>
    <row r="2144" spans="23:23" x14ac:dyDescent="0.3">
      <c r="W2144" s="85">
        <v>48391</v>
      </c>
    </row>
    <row r="2145" spans="23:23" x14ac:dyDescent="0.3">
      <c r="W2145" s="85">
        <v>48392</v>
      </c>
    </row>
    <row r="2146" spans="23:23" x14ac:dyDescent="0.3">
      <c r="W2146" s="85">
        <v>48398</v>
      </c>
    </row>
    <row r="2147" spans="23:23" x14ac:dyDescent="0.3">
      <c r="W2147" s="85">
        <v>48399</v>
      </c>
    </row>
    <row r="2148" spans="23:23" x14ac:dyDescent="0.3">
      <c r="W2148" s="85">
        <v>48405</v>
      </c>
    </row>
    <row r="2149" spans="23:23" x14ac:dyDescent="0.3">
      <c r="W2149" s="85">
        <v>48406</v>
      </c>
    </row>
    <row r="2150" spans="23:23" x14ac:dyDescent="0.3">
      <c r="W2150" s="85">
        <v>48412</v>
      </c>
    </row>
    <row r="2151" spans="23:23" x14ac:dyDescent="0.3">
      <c r="W2151" s="85">
        <v>48413</v>
      </c>
    </row>
    <row r="2152" spans="23:23" x14ac:dyDescent="0.3">
      <c r="W2152" s="85">
        <v>48419</v>
      </c>
    </row>
    <row r="2153" spans="23:23" x14ac:dyDescent="0.3">
      <c r="W2153" s="85">
        <v>48420</v>
      </c>
    </row>
    <row r="2154" spans="23:23" x14ac:dyDescent="0.3">
      <c r="W2154" s="85">
        <v>48426</v>
      </c>
    </row>
    <row r="2155" spans="23:23" x14ac:dyDescent="0.3">
      <c r="W2155" s="85">
        <v>48427</v>
      </c>
    </row>
    <row r="2156" spans="23:23" x14ac:dyDescent="0.3">
      <c r="W2156" s="85">
        <v>48433</v>
      </c>
    </row>
    <row r="2157" spans="23:23" x14ac:dyDescent="0.3">
      <c r="W2157" s="85">
        <v>48434</v>
      </c>
    </row>
    <row r="2158" spans="23:23" x14ac:dyDescent="0.3">
      <c r="W2158" s="85">
        <v>48440</v>
      </c>
    </row>
    <row r="2159" spans="23:23" x14ac:dyDescent="0.3">
      <c r="W2159" s="85">
        <v>48441</v>
      </c>
    </row>
    <row r="2160" spans="23:23" x14ac:dyDescent="0.3">
      <c r="W2160" s="85">
        <v>48447</v>
      </c>
    </row>
    <row r="2161" spans="23:23" x14ac:dyDescent="0.3">
      <c r="W2161" s="85">
        <v>48448</v>
      </c>
    </row>
    <row r="2162" spans="23:23" x14ac:dyDescent="0.3">
      <c r="W2162" s="85">
        <v>48454</v>
      </c>
    </row>
    <row r="2163" spans="23:23" x14ac:dyDescent="0.3">
      <c r="W2163" s="85">
        <v>48455</v>
      </c>
    </row>
    <row r="2164" spans="23:23" x14ac:dyDescent="0.3">
      <c r="W2164" s="85">
        <v>48461</v>
      </c>
    </row>
    <row r="2165" spans="23:23" x14ac:dyDescent="0.3">
      <c r="W2165" s="85">
        <v>48462</v>
      </c>
    </row>
    <row r="2166" spans="23:23" x14ac:dyDescent="0.3">
      <c r="W2166" s="85">
        <v>48468</v>
      </c>
    </row>
    <row r="2167" spans="23:23" x14ac:dyDescent="0.3">
      <c r="W2167" s="85">
        <v>48469</v>
      </c>
    </row>
    <row r="2168" spans="23:23" x14ac:dyDescent="0.3">
      <c r="W2168" s="85">
        <v>48475</v>
      </c>
    </row>
    <row r="2169" spans="23:23" x14ac:dyDescent="0.3">
      <c r="W2169" s="85">
        <v>48476</v>
      </c>
    </row>
    <row r="2170" spans="23:23" x14ac:dyDescent="0.3">
      <c r="W2170" s="85">
        <v>48482</v>
      </c>
    </row>
    <row r="2171" spans="23:23" x14ac:dyDescent="0.3">
      <c r="W2171" s="85">
        <v>48483</v>
      </c>
    </row>
    <row r="2172" spans="23:23" x14ac:dyDescent="0.3">
      <c r="W2172" s="85">
        <v>48489</v>
      </c>
    </row>
    <row r="2173" spans="23:23" x14ac:dyDescent="0.3">
      <c r="W2173" s="85">
        <v>48490</v>
      </c>
    </row>
    <row r="2174" spans="23:23" x14ac:dyDescent="0.3">
      <c r="W2174" s="85">
        <v>48496</v>
      </c>
    </row>
    <row r="2175" spans="23:23" x14ac:dyDescent="0.3">
      <c r="W2175" s="85">
        <v>48497</v>
      </c>
    </row>
    <row r="2176" spans="23:23" x14ac:dyDescent="0.3">
      <c r="W2176" s="85">
        <v>48503</v>
      </c>
    </row>
    <row r="2177" spans="23:23" x14ac:dyDescent="0.3">
      <c r="W2177" s="85">
        <v>48504</v>
      </c>
    </row>
    <row r="2178" spans="23:23" x14ac:dyDescent="0.3">
      <c r="W2178" s="85">
        <v>48510</v>
      </c>
    </row>
    <row r="2179" spans="23:23" x14ac:dyDescent="0.3">
      <c r="W2179" s="85">
        <v>48511</v>
      </c>
    </row>
    <row r="2180" spans="23:23" x14ac:dyDescent="0.3">
      <c r="W2180" s="85">
        <v>48517</v>
      </c>
    </row>
    <row r="2181" spans="23:23" x14ac:dyDescent="0.3">
      <c r="W2181" s="85">
        <v>48518</v>
      </c>
    </row>
    <row r="2182" spans="23:23" x14ac:dyDescent="0.3">
      <c r="W2182" s="85">
        <v>48524</v>
      </c>
    </row>
    <row r="2183" spans="23:23" x14ac:dyDescent="0.3">
      <c r="W2183" s="85">
        <v>48525</v>
      </c>
    </row>
    <row r="2184" spans="23:23" x14ac:dyDescent="0.3">
      <c r="W2184" s="85">
        <v>48531</v>
      </c>
    </row>
    <row r="2185" spans="23:23" x14ac:dyDescent="0.3">
      <c r="W2185" s="85">
        <v>48532</v>
      </c>
    </row>
    <row r="2186" spans="23:23" x14ac:dyDescent="0.3">
      <c r="W2186" s="85">
        <v>48538</v>
      </c>
    </row>
    <row r="2187" spans="23:23" x14ac:dyDescent="0.3">
      <c r="W2187" s="85">
        <v>48539</v>
      </c>
    </row>
    <row r="2188" spans="23:23" x14ac:dyDescent="0.3">
      <c r="W2188" s="85">
        <v>48545</v>
      </c>
    </row>
    <row r="2189" spans="23:23" x14ac:dyDescent="0.3">
      <c r="W2189" s="85">
        <v>48546</v>
      </c>
    </row>
    <row r="2190" spans="23:23" x14ac:dyDescent="0.3">
      <c r="W2190" s="85">
        <v>48552</v>
      </c>
    </row>
    <row r="2191" spans="23:23" x14ac:dyDescent="0.3">
      <c r="W2191" s="85">
        <v>48553</v>
      </c>
    </row>
    <row r="2192" spans="23:23" x14ac:dyDescent="0.3">
      <c r="W2192" s="85">
        <v>48559</v>
      </c>
    </row>
    <row r="2193" spans="23:23" x14ac:dyDescent="0.3">
      <c r="W2193" s="85">
        <v>48560</v>
      </c>
    </row>
    <row r="2194" spans="23:23" x14ac:dyDescent="0.3">
      <c r="W2194" s="85">
        <v>48566</v>
      </c>
    </row>
    <row r="2195" spans="23:23" x14ac:dyDescent="0.3">
      <c r="W2195" s="85">
        <v>48567</v>
      </c>
    </row>
    <row r="2196" spans="23:23" x14ac:dyDescent="0.3">
      <c r="W2196" s="85">
        <v>48573</v>
      </c>
    </row>
    <row r="2197" spans="23:23" x14ac:dyDescent="0.3">
      <c r="W2197" s="85">
        <v>48574</v>
      </c>
    </row>
    <row r="2198" spans="23:23" x14ac:dyDescent="0.3">
      <c r="W2198" s="85">
        <v>48580</v>
      </c>
    </row>
    <row r="2199" spans="23:23" x14ac:dyDescent="0.3">
      <c r="W2199" s="85">
        <v>48581</v>
      </c>
    </row>
    <row r="2200" spans="23:23" x14ac:dyDescent="0.3">
      <c r="W2200" s="85">
        <v>48587</v>
      </c>
    </row>
    <row r="2201" spans="23:23" x14ac:dyDescent="0.3">
      <c r="W2201" s="85">
        <v>48588</v>
      </c>
    </row>
    <row r="2202" spans="23:23" x14ac:dyDescent="0.3">
      <c r="W2202" s="85">
        <v>48594</v>
      </c>
    </row>
    <row r="2203" spans="23:23" x14ac:dyDescent="0.3">
      <c r="W2203" s="85">
        <v>48595</v>
      </c>
    </row>
    <row r="2204" spans="23:23" x14ac:dyDescent="0.3">
      <c r="W2204" s="85">
        <v>48601</v>
      </c>
    </row>
    <row r="2205" spans="23:23" x14ac:dyDescent="0.3">
      <c r="W2205" s="85">
        <v>48602</v>
      </c>
    </row>
    <row r="2206" spans="23:23" x14ac:dyDescent="0.3">
      <c r="W2206" s="85">
        <v>48608</v>
      </c>
    </row>
    <row r="2207" spans="23:23" x14ac:dyDescent="0.3">
      <c r="W2207" s="85">
        <v>48609</v>
      </c>
    </row>
    <row r="2208" spans="23:23" x14ac:dyDescent="0.3">
      <c r="W2208" s="85">
        <v>48615</v>
      </c>
    </row>
    <row r="2209" spans="23:23" x14ac:dyDescent="0.3">
      <c r="W2209" s="85">
        <v>48616</v>
      </c>
    </row>
    <row r="2210" spans="23:23" x14ac:dyDescent="0.3">
      <c r="W2210" s="85">
        <v>48622</v>
      </c>
    </row>
    <row r="2211" spans="23:23" x14ac:dyDescent="0.3">
      <c r="W2211" s="85">
        <v>48623</v>
      </c>
    </row>
    <row r="2212" spans="23:23" x14ac:dyDescent="0.3">
      <c r="W2212" s="85">
        <v>48629</v>
      </c>
    </row>
    <row r="2213" spans="23:23" x14ac:dyDescent="0.3">
      <c r="W2213" s="85">
        <v>48630</v>
      </c>
    </row>
    <row r="2214" spans="23:23" x14ac:dyDescent="0.3">
      <c r="W2214" s="85">
        <v>48636</v>
      </c>
    </row>
    <row r="2215" spans="23:23" x14ac:dyDescent="0.3">
      <c r="W2215" s="85">
        <v>48637</v>
      </c>
    </row>
    <row r="2216" spans="23:23" x14ac:dyDescent="0.3">
      <c r="W2216" s="85">
        <v>48643</v>
      </c>
    </row>
    <row r="2217" spans="23:23" x14ac:dyDescent="0.3">
      <c r="W2217" s="85">
        <v>48644</v>
      </c>
    </row>
    <row r="2218" spans="23:23" x14ac:dyDescent="0.3">
      <c r="W2218" s="85">
        <v>48650</v>
      </c>
    </row>
    <row r="2219" spans="23:23" x14ac:dyDescent="0.3">
      <c r="W2219" s="85">
        <v>48651</v>
      </c>
    </row>
    <row r="2220" spans="23:23" x14ac:dyDescent="0.3">
      <c r="W2220" s="85">
        <v>48657</v>
      </c>
    </row>
    <row r="2221" spans="23:23" x14ac:dyDescent="0.3">
      <c r="W2221" s="85">
        <v>48658</v>
      </c>
    </row>
    <row r="2222" spans="23:23" x14ac:dyDescent="0.3">
      <c r="W2222" s="85">
        <v>48664</v>
      </c>
    </row>
    <row r="2223" spans="23:23" x14ac:dyDescent="0.3">
      <c r="W2223" s="85">
        <v>48665</v>
      </c>
    </row>
    <row r="2224" spans="23:23" x14ac:dyDescent="0.3">
      <c r="W2224" s="85">
        <v>48671</v>
      </c>
    </row>
    <row r="2225" spans="23:23" x14ac:dyDescent="0.3">
      <c r="W2225" s="85">
        <v>48672</v>
      </c>
    </row>
    <row r="2226" spans="23:23" x14ac:dyDescent="0.3">
      <c r="W2226" s="85">
        <v>48678</v>
      </c>
    </row>
    <row r="2227" spans="23:23" x14ac:dyDescent="0.3">
      <c r="W2227" s="85">
        <v>48679</v>
      </c>
    </row>
    <row r="2228" spans="23:23" x14ac:dyDescent="0.3">
      <c r="W2228" s="85">
        <v>48684</v>
      </c>
    </row>
    <row r="2229" spans="23:23" x14ac:dyDescent="0.3">
      <c r="W2229" s="85">
        <v>48685</v>
      </c>
    </row>
    <row r="2230" spans="23:23" x14ac:dyDescent="0.3">
      <c r="W2230" s="85">
        <v>48686</v>
      </c>
    </row>
    <row r="2231" spans="23:23" x14ac:dyDescent="0.3">
      <c r="W2231" s="85">
        <v>48687</v>
      </c>
    </row>
    <row r="2232" spans="23:23" x14ac:dyDescent="0.3">
      <c r="W2232" s="85">
        <v>48692</v>
      </c>
    </row>
    <row r="2233" spans="23:23" x14ac:dyDescent="0.3">
      <c r="W2233" s="85">
        <v>48693</v>
      </c>
    </row>
    <row r="2234" spans="23:23" x14ac:dyDescent="0.3">
      <c r="W2234" s="85">
        <v>48699</v>
      </c>
    </row>
    <row r="2235" spans="23:23" x14ac:dyDescent="0.3">
      <c r="W2235" s="85">
        <v>48700</v>
      </c>
    </row>
    <row r="2236" spans="23:23" x14ac:dyDescent="0.3">
      <c r="W2236" s="85">
        <v>48706</v>
      </c>
    </row>
    <row r="2237" spans="23:23" x14ac:dyDescent="0.3">
      <c r="W2237" s="85">
        <v>48707</v>
      </c>
    </row>
    <row r="2238" spans="23:23" x14ac:dyDescent="0.3">
      <c r="W2238" s="85">
        <v>48713</v>
      </c>
    </row>
    <row r="2239" spans="23:23" x14ac:dyDescent="0.3">
      <c r="W2239" s="85">
        <v>48714</v>
      </c>
    </row>
    <row r="2240" spans="23:23" x14ac:dyDescent="0.3">
      <c r="W2240" s="85">
        <v>48720</v>
      </c>
    </row>
    <row r="2241" spans="23:23" x14ac:dyDescent="0.3">
      <c r="W2241" s="85">
        <v>48721</v>
      </c>
    </row>
    <row r="2242" spans="23:23" x14ac:dyDescent="0.3">
      <c r="W2242" s="85">
        <v>48727</v>
      </c>
    </row>
    <row r="2243" spans="23:23" x14ac:dyDescent="0.3">
      <c r="W2243" s="85">
        <v>48728</v>
      </c>
    </row>
    <row r="2244" spans="23:23" x14ac:dyDescent="0.3">
      <c r="W2244" s="85">
        <v>48734</v>
      </c>
    </row>
    <row r="2245" spans="23:23" x14ac:dyDescent="0.3">
      <c r="W2245" s="85">
        <v>48735</v>
      </c>
    </row>
    <row r="2246" spans="23:23" x14ac:dyDescent="0.3">
      <c r="W2246" s="85">
        <v>48741</v>
      </c>
    </row>
    <row r="2247" spans="23:23" x14ac:dyDescent="0.3">
      <c r="W2247" s="85">
        <v>48742</v>
      </c>
    </row>
    <row r="2248" spans="23:23" x14ac:dyDescent="0.3">
      <c r="W2248" s="85">
        <v>48748</v>
      </c>
    </row>
    <row r="2249" spans="23:23" x14ac:dyDescent="0.3">
      <c r="W2249" s="85">
        <v>48749</v>
      </c>
    </row>
    <row r="2250" spans="23:23" x14ac:dyDescent="0.3">
      <c r="W2250" s="85">
        <v>48755</v>
      </c>
    </row>
    <row r="2251" spans="23:23" x14ac:dyDescent="0.3">
      <c r="W2251" s="85">
        <v>48756</v>
      </c>
    </row>
    <row r="2252" spans="23:23" x14ac:dyDescent="0.3">
      <c r="W2252" s="85">
        <v>48762</v>
      </c>
    </row>
    <row r="2253" spans="23:23" x14ac:dyDescent="0.3">
      <c r="W2253" s="85">
        <v>48763</v>
      </c>
    </row>
    <row r="2254" spans="23:23" x14ac:dyDescent="0.3">
      <c r="W2254" s="85">
        <v>48769</v>
      </c>
    </row>
    <row r="2255" spans="23:23" x14ac:dyDescent="0.3">
      <c r="W2255" s="85">
        <v>48770</v>
      </c>
    </row>
    <row r="2256" spans="23:23" x14ac:dyDescent="0.3">
      <c r="W2256" s="85">
        <v>48776</v>
      </c>
    </row>
    <row r="2257" spans="23:23" x14ac:dyDescent="0.3">
      <c r="W2257" s="85">
        <v>48777</v>
      </c>
    </row>
    <row r="2258" spans="23:23" x14ac:dyDescent="0.3">
      <c r="W2258" s="85">
        <v>48783</v>
      </c>
    </row>
    <row r="2259" spans="23:23" x14ac:dyDescent="0.3">
      <c r="W2259" s="85">
        <v>48784</v>
      </c>
    </row>
    <row r="2260" spans="23:23" x14ac:dyDescent="0.3">
      <c r="W2260" s="85">
        <v>48790</v>
      </c>
    </row>
    <row r="2261" spans="23:23" x14ac:dyDescent="0.3">
      <c r="W2261" s="85">
        <v>48791</v>
      </c>
    </row>
    <row r="2262" spans="23:23" x14ac:dyDescent="0.3">
      <c r="W2262" s="85">
        <v>48797</v>
      </c>
    </row>
    <row r="2263" spans="23:23" x14ac:dyDescent="0.3">
      <c r="W2263" s="85">
        <v>48798</v>
      </c>
    </row>
    <row r="2264" spans="23:23" x14ac:dyDescent="0.3">
      <c r="W2264" s="85">
        <v>48804</v>
      </c>
    </row>
    <row r="2265" spans="23:23" x14ac:dyDescent="0.3">
      <c r="W2265" s="85">
        <v>48805</v>
      </c>
    </row>
    <row r="2266" spans="23:23" x14ac:dyDescent="0.3">
      <c r="W2266" s="85">
        <v>48811</v>
      </c>
    </row>
    <row r="2267" spans="23:23" x14ac:dyDescent="0.3">
      <c r="W2267" s="85">
        <v>48812</v>
      </c>
    </row>
    <row r="2268" spans="23:23" x14ac:dyDescent="0.3">
      <c r="W2268" s="85">
        <v>48818</v>
      </c>
    </row>
    <row r="2269" spans="23:23" x14ac:dyDescent="0.3">
      <c r="W2269" s="85">
        <v>48819</v>
      </c>
    </row>
    <row r="2270" spans="23:23" x14ac:dyDescent="0.3">
      <c r="W2270" s="85">
        <v>48825</v>
      </c>
    </row>
    <row r="2271" spans="23:23" x14ac:dyDescent="0.3">
      <c r="W2271" s="85">
        <v>48826</v>
      </c>
    </row>
    <row r="2272" spans="23:23" x14ac:dyDescent="0.3">
      <c r="W2272" s="85">
        <v>48832</v>
      </c>
    </row>
    <row r="2273" spans="23:23" x14ac:dyDescent="0.3">
      <c r="W2273" s="85">
        <v>48833</v>
      </c>
    </row>
    <row r="2274" spans="23:23" x14ac:dyDescent="0.3">
      <c r="W2274" s="85">
        <v>48839</v>
      </c>
    </row>
    <row r="2275" spans="23:23" x14ac:dyDescent="0.3">
      <c r="W2275" s="85">
        <v>48840</v>
      </c>
    </row>
    <row r="2276" spans="23:23" x14ac:dyDescent="0.3">
      <c r="W2276" s="85">
        <v>48846</v>
      </c>
    </row>
    <row r="2277" spans="23:23" x14ac:dyDescent="0.3">
      <c r="W2277" s="85">
        <v>48847</v>
      </c>
    </row>
    <row r="2278" spans="23:23" x14ac:dyDescent="0.3">
      <c r="W2278" s="85">
        <v>48853</v>
      </c>
    </row>
    <row r="2279" spans="23:23" x14ac:dyDescent="0.3">
      <c r="W2279" s="85">
        <v>48854</v>
      </c>
    </row>
    <row r="2280" spans="23:23" x14ac:dyDescent="0.3">
      <c r="W2280" s="85">
        <v>48860</v>
      </c>
    </row>
    <row r="2281" spans="23:23" x14ac:dyDescent="0.3">
      <c r="W2281" s="85">
        <v>48861</v>
      </c>
    </row>
    <row r="2282" spans="23:23" x14ac:dyDescent="0.3">
      <c r="W2282" s="85">
        <v>48867</v>
      </c>
    </row>
    <row r="2283" spans="23:23" x14ac:dyDescent="0.3">
      <c r="W2283" s="85">
        <v>48868</v>
      </c>
    </row>
    <row r="2284" spans="23:23" x14ac:dyDescent="0.3">
      <c r="W2284" s="85">
        <v>48874</v>
      </c>
    </row>
    <row r="2285" spans="23:23" x14ac:dyDescent="0.3">
      <c r="W2285" s="85">
        <v>48875</v>
      </c>
    </row>
    <row r="2286" spans="23:23" x14ac:dyDescent="0.3">
      <c r="W2286" s="85">
        <v>48881</v>
      </c>
    </row>
    <row r="2287" spans="23:23" x14ac:dyDescent="0.3">
      <c r="W2287" s="85">
        <v>48882</v>
      </c>
    </row>
    <row r="2288" spans="23:23" x14ac:dyDescent="0.3">
      <c r="W2288" s="85">
        <v>48888</v>
      </c>
    </row>
    <row r="2289" spans="23:23" x14ac:dyDescent="0.3">
      <c r="W2289" s="85">
        <v>48889</v>
      </c>
    </row>
    <row r="2290" spans="23:23" x14ac:dyDescent="0.3">
      <c r="W2290" s="85">
        <v>48895</v>
      </c>
    </row>
    <row r="2291" spans="23:23" x14ac:dyDescent="0.3">
      <c r="W2291" s="85">
        <v>48896</v>
      </c>
    </row>
    <row r="2292" spans="23:23" x14ac:dyDescent="0.3">
      <c r="W2292" s="85">
        <v>48902</v>
      </c>
    </row>
    <row r="2293" spans="23:23" x14ac:dyDescent="0.3">
      <c r="W2293" s="85">
        <v>48903</v>
      </c>
    </row>
    <row r="2294" spans="23:23" x14ac:dyDescent="0.3">
      <c r="W2294" s="85">
        <v>48909</v>
      </c>
    </row>
    <row r="2295" spans="23:23" x14ac:dyDescent="0.3">
      <c r="W2295" s="85">
        <v>48910</v>
      </c>
    </row>
    <row r="2296" spans="23:23" x14ac:dyDescent="0.3">
      <c r="W2296" s="85">
        <v>48916</v>
      </c>
    </row>
    <row r="2297" spans="23:23" x14ac:dyDescent="0.3">
      <c r="W2297" s="85">
        <v>48917</v>
      </c>
    </row>
    <row r="2298" spans="23:23" x14ac:dyDescent="0.3">
      <c r="W2298" s="85">
        <v>48923</v>
      </c>
    </row>
    <row r="2299" spans="23:23" x14ac:dyDescent="0.3">
      <c r="W2299" s="85">
        <v>48924</v>
      </c>
    </row>
    <row r="2300" spans="23:23" x14ac:dyDescent="0.3">
      <c r="W2300" s="85">
        <v>48930</v>
      </c>
    </row>
    <row r="2301" spans="23:23" x14ac:dyDescent="0.3">
      <c r="W2301" s="85">
        <v>48931</v>
      </c>
    </row>
    <row r="2302" spans="23:23" x14ac:dyDescent="0.3">
      <c r="W2302" s="85">
        <v>48937</v>
      </c>
    </row>
    <row r="2303" spans="23:23" x14ac:dyDescent="0.3">
      <c r="W2303" s="85">
        <v>48938</v>
      </c>
    </row>
    <row r="2304" spans="23:23" x14ac:dyDescent="0.3">
      <c r="W2304" s="85">
        <v>48939</v>
      </c>
    </row>
    <row r="2305" spans="23:23" x14ac:dyDescent="0.3">
      <c r="W2305" s="85">
        <v>48944</v>
      </c>
    </row>
    <row r="2306" spans="23:23" x14ac:dyDescent="0.3">
      <c r="W2306" s="85">
        <v>48945</v>
      </c>
    </row>
    <row r="2307" spans="23:23" x14ac:dyDescent="0.3">
      <c r="W2307" s="85">
        <v>48951</v>
      </c>
    </row>
    <row r="2308" spans="23:23" x14ac:dyDescent="0.3">
      <c r="W2308" s="85">
        <v>48952</v>
      </c>
    </row>
    <row r="2309" spans="23:23" x14ac:dyDescent="0.3">
      <c r="W2309" s="85">
        <v>48958</v>
      </c>
    </row>
    <row r="2310" spans="23:23" x14ac:dyDescent="0.3">
      <c r="W2310" s="85">
        <v>48959</v>
      </c>
    </row>
    <row r="2311" spans="23:23" x14ac:dyDescent="0.3">
      <c r="W2311" s="85">
        <v>48965</v>
      </c>
    </row>
    <row r="2312" spans="23:23" x14ac:dyDescent="0.3">
      <c r="W2312" s="85">
        <v>48966</v>
      </c>
    </row>
    <row r="2313" spans="23:23" x14ac:dyDescent="0.3">
      <c r="W2313" s="85">
        <v>48972</v>
      </c>
    </row>
    <row r="2314" spans="23:23" x14ac:dyDescent="0.3">
      <c r="W2314" s="85">
        <v>48973</v>
      </c>
    </row>
    <row r="2315" spans="23:23" x14ac:dyDescent="0.3">
      <c r="W2315" s="85">
        <v>48979</v>
      </c>
    </row>
    <row r="2316" spans="23:23" x14ac:dyDescent="0.3">
      <c r="W2316" s="85">
        <v>48980</v>
      </c>
    </row>
    <row r="2317" spans="23:23" x14ac:dyDescent="0.3">
      <c r="W2317" s="85">
        <v>48986</v>
      </c>
    </row>
    <row r="2318" spans="23:23" x14ac:dyDescent="0.3">
      <c r="W2318" s="85">
        <v>48987</v>
      </c>
    </row>
    <row r="2319" spans="23:23" x14ac:dyDescent="0.3">
      <c r="W2319" s="85">
        <v>48993</v>
      </c>
    </row>
    <row r="2320" spans="23:23" x14ac:dyDescent="0.3">
      <c r="W2320" s="85">
        <v>48994</v>
      </c>
    </row>
    <row r="2321" spans="23:23" x14ac:dyDescent="0.3">
      <c r="W2321" s="85">
        <v>49000</v>
      </c>
    </row>
    <row r="2322" spans="23:23" x14ac:dyDescent="0.3">
      <c r="W2322" s="85">
        <v>49001</v>
      </c>
    </row>
    <row r="2323" spans="23:23" x14ac:dyDescent="0.3">
      <c r="W2323" s="85">
        <v>49007</v>
      </c>
    </row>
    <row r="2324" spans="23:23" x14ac:dyDescent="0.3">
      <c r="W2324" s="85">
        <v>49008</v>
      </c>
    </row>
    <row r="2325" spans="23:23" x14ac:dyDescent="0.3">
      <c r="W2325" s="85">
        <v>49014</v>
      </c>
    </row>
    <row r="2326" spans="23:23" x14ac:dyDescent="0.3">
      <c r="W2326" s="85">
        <v>49015</v>
      </c>
    </row>
    <row r="2327" spans="23:23" x14ac:dyDescent="0.3">
      <c r="W2327" s="85">
        <v>49021</v>
      </c>
    </row>
    <row r="2328" spans="23:23" x14ac:dyDescent="0.3">
      <c r="W2328" s="85">
        <v>49022</v>
      </c>
    </row>
    <row r="2329" spans="23:23" x14ac:dyDescent="0.3">
      <c r="W2329" s="85">
        <v>49028</v>
      </c>
    </row>
    <row r="2330" spans="23:23" x14ac:dyDescent="0.3">
      <c r="W2330" s="85">
        <v>49029</v>
      </c>
    </row>
    <row r="2331" spans="23:23" x14ac:dyDescent="0.3">
      <c r="W2331" s="85">
        <v>49035</v>
      </c>
    </row>
    <row r="2332" spans="23:23" x14ac:dyDescent="0.3">
      <c r="W2332" s="85">
        <v>49036</v>
      </c>
    </row>
    <row r="2333" spans="23:23" x14ac:dyDescent="0.3">
      <c r="W2333" s="85">
        <v>49041</v>
      </c>
    </row>
    <row r="2334" spans="23:23" x14ac:dyDescent="0.3">
      <c r="W2334" s="85">
        <v>49042</v>
      </c>
    </row>
    <row r="2335" spans="23:23" x14ac:dyDescent="0.3">
      <c r="W2335" s="85">
        <v>49043</v>
      </c>
    </row>
    <row r="2336" spans="23:23" x14ac:dyDescent="0.3">
      <c r="W2336" s="85">
        <v>49044</v>
      </c>
    </row>
    <row r="2337" spans="23:23" x14ac:dyDescent="0.3">
      <c r="W2337" s="85">
        <v>49049</v>
      </c>
    </row>
    <row r="2338" spans="23:23" x14ac:dyDescent="0.3">
      <c r="W2338" s="85">
        <v>49050</v>
      </c>
    </row>
    <row r="2339" spans="23:23" x14ac:dyDescent="0.3">
      <c r="W2339" s="85">
        <v>49056</v>
      </c>
    </row>
    <row r="2340" spans="23:23" x14ac:dyDescent="0.3">
      <c r="W2340" s="85">
        <v>49057</v>
      </c>
    </row>
    <row r="2341" spans="23:23" x14ac:dyDescent="0.3">
      <c r="W2341" s="85">
        <v>49063</v>
      </c>
    </row>
    <row r="2342" spans="23:23" x14ac:dyDescent="0.3">
      <c r="W2342" s="85">
        <v>49064</v>
      </c>
    </row>
    <row r="2343" spans="23:23" x14ac:dyDescent="0.3">
      <c r="W2343" s="85">
        <v>49065</v>
      </c>
    </row>
    <row r="2344" spans="23:23" x14ac:dyDescent="0.3">
      <c r="W2344" s="85">
        <v>49070</v>
      </c>
    </row>
    <row r="2345" spans="23:23" x14ac:dyDescent="0.3">
      <c r="W2345" s="85">
        <v>49071</v>
      </c>
    </row>
    <row r="2346" spans="23:23" x14ac:dyDescent="0.3">
      <c r="W2346" s="85">
        <v>49077</v>
      </c>
    </row>
    <row r="2347" spans="23:23" x14ac:dyDescent="0.3">
      <c r="W2347" s="85">
        <v>49078</v>
      </c>
    </row>
    <row r="2348" spans="23:23" x14ac:dyDescent="0.3">
      <c r="W2348" s="85">
        <v>49084</v>
      </c>
    </row>
    <row r="2349" spans="23:23" x14ac:dyDescent="0.3">
      <c r="W2349" s="85">
        <v>49085</v>
      </c>
    </row>
    <row r="2350" spans="23:23" x14ac:dyDescent="0.3">
      <c r="W2350" s="85">
        <v>49091</v>
      </c>
    </row>
    <row r="2351" spans="23:23" x14ac:dyDescent="0.3">
      <c r="W2351" s="85">
        <v>49092</v>
      </c>
    </row>
    <row r="2352" spans="23:23" x14ac:dyDescent="0.3">
      <c r="W2352" s="85">
        <v>49098</v>
      </c>
    </row>
    <row r="2353" spans="23:23" x14ac:dyDescent="0.3">
      <c r="W2353" s="85">
        <v>49099</v>
      </c>
    </row>
    <row r="2354" spans="23:23" x14ac:dyDescent="0.3">
      <c r="W2354" s="85">
        <v>49105</v>
      </c>
    </row>
    <row r="2355" spans="23:23" x14ac:dyDescent="0.3">
      <c r="W2355" s="85">
        <v>49106</v>
      </c>
    </row>
    <row r="2356" spans="23:23" x14ac:dyDescent="0.3">
      <c r="W2356" s="85">
        <v>49112</v>
      </c>
    </row>
    <row r="2357" spans="23:23" x14ac:dyDescent="0.3">
      <c r="W2357" s="85">
        <v>49113</v>
      </c>
    </row>
    <row r="2358" spans="23:23" x14ac:dyDescent="0.3">
      <c r="W2358" s="85">
        <v>49119</v>
      </c>
    </row>
    <row r="2359" spans="23:23" x14ac:dyDescent="0.3">
      <c r="W2359" s="85">
        <v>49120</v>
      </c>
    </row>
    <row r="2360" spans="23:23" x14ac:dyDescent="0.3">
      <c r="W2360" s="85">
        <v>49126</v>
      </c>
    </row>
    <row r="2361" spans="23:23" x14ac:dyDescent="0.3">
      <c r="W2361" s="85">
        <v>49127</v>
      </c>
    </row>
    <row r="2362" spans="23:23" x14ac:dyDescent="0.3">
      <c r="W2362" s="85">
        <v>49133</v>
      </c>
    </row>
    <row r="2363" spans="23:23" x14ac:dyDescent="0.3">
      <c r="W2363" s="85">
        <v>49134</v>
      </c>
    </row>
    <row r="2364" spans="23:23" x14ac:dyDescent="0.3">
      <c r="W2364" s="85">
        <v>49140</v>
      </c>
    </row>
    <row r="2365" spans="23:23" x14ac:dyDescent="0.3">
      <c r="W2365" s="85">
        <v>49141</v>
      </c>
    </row>
    <row r="2366" spans="23:23" x14ac:dyDescent="0.3">
      <c r="W2366" s="85">
        <v>49147</v>
      </c>
    </row>
    <row r="2367" spans="23:23" x14ac:dyDescent="0.3">
      <c r="W2367" s="85">
        <v>49148</v>
      </c>
    </row>
    <row r="2368" spans="23:23" x14ac:dyDescent="0.3">
      <c r="W2368" s="85">
        <v>49154</v>
      </c>
    </row>
    <row r="2369" spans="23:23" x14ac:dyDescent="0.3">
      <c r="W2369" s="85">
        <v>49155</v>
      </c>
    </row>
    <row r="2370" spans="23:23" x14ac:dyDescent="0.3">
      <c r="W2370" s="85">
        <v>49161</v>
      </c>
    </row>
    <row r="2371" spans="23:23" x14ac:dyDescent="0.3">
      <c r="W2371" s="85">
        <v>49162</v>
      </c>
    </row>
    <row r="2372" spans="23:23" x14ac:dyDescent="0.3">
      <c r="W2372" s="85">
        <v>49168</v>
      </c>
    </row>
    <row r="2373" spans="23:23" x14ac:dyDescent="0.3">
      <c r="W2373" s="85">
        <v>49169</v>
      </c>
    </row>
    <row r="2374" spans="23:23" x14ac:dyDescent="0.3">
      <c r="W2374" s="85">
        <v>49175</v>
      </c>
    </row>
    <row r="2375" spans="23:23" x14ac:dyDescent="0.3">
      <c r="W2375" s="85">
        <v>49176</v>
      </c>
    </row>
    <row r="2376" spans="23:23" x14ac:dyDescent="0.3">
      <c r="W2376" s="85">
        <v>49182</v>
      </c>
    </row>
    <row r="2377" spans="23:23" x14ac:dyDescent="0.3">
      <c r="W2377" s="85">
        <v>49183</v>
      </c>
    </row>
    <row r="2378" spans="23:23" x14ac:dyDescent="0.3">
      <c r="W2378" s="85">
        <v>49189</v>
      </c>
    </row>
    <row r="2379" spans="23:23" x14ac:dyDescent="0.3">
      <c r="W2379" s="85">
        <v>49190</v>
      </c>
    </row>
    <row r="2380" spans="23:23" x14ac:dyDescent="0.3">
      <c r="W2380" s="85">
        <v>49196</v>
      </c>
    </row>
    <row r="2381" spans="23:23" x14ac:dyDescent="0.3">
      <c r="W2381" s="85">
        <v>49197</v>
      </c>
    </row>
    <row r="2382" spans="23:23" x14ac:dyDescent="0.3">
      <c r="W2382" s="85">
        <v>49203</v>
      </c>
    </row>
    <row r="2383" spans="23:23" x14ac:dyDescent="0.3">
      <c r="W2383" s="85">
        <v>49204</v>
      </c>
    </row>
    <row r="2384" spans="23:23" x14ac:dyDescent="0.3">
      <c r="W2384" s="85">
        <v>49210</v>
      </c>
    </row>
    <row r="2385" spans="23:23" x14ac:dyDescent="0.3">
      <c r="W2385" s="85">
        <v>49211</v>
      </c>
    </row>
    <row r="2386" spans="23:23" x14ac:dyDescent="0.3">
      <c r="W2386" s="85">
        <v>49217</v>
      </c>
    </row>
    <row r="2387" spans="23:23" x14ac:dyDescent="0.3">
      <c r="W2387" s="85">
        <v>49218</v>
      </c>
    </row>
    <row r="2388" spans="23:23" x14ac:dyDescent="0.3">
      <c r="W2388" s="85">
        <v>49224</v>
      </c>
    </row>
    <row r="2389" spans="23:23" x14ac:dyDescent="0.3">
      <c r="W2389" s="85">
        <v>49225</v>
      </c>
    </row>
    <row r="2390" spans="23:23" x14ac:dyDescent="0.3">
      <c r="W2390" s="85">
        <v>49231</v>
      </c>
    </row>
    <row r="2391" spans="23:23" x14ac:dyDescent="0.3">
      <c r="W2391" s="85">
        <v>49232</v>
      </c>
    </row>
    <row r="2392" spans="23:23" x14ac:dyDescent="0.3">
      <c r="W2392" s="85">
        <v>49238</v>
      </c>
    </row>
    <row r="2393" spans="23:23" x14ac:dyDescent="0.3">
      <c r="W2393" s="85">
        <v>49239</v>
      </c>
    </row>
    <row r="2394" spans="23:23" x14ac:dyDescent="0.3">
      <c r="W2394" s="85">
        <v>49245</v>
      </c>
    </row>
    <row r="2395" spans="23:23" x14ac:dyDescent="0.3">
      <c r="W2395" s="85">
        <v>49246</v>
      </c>
    </row>
    <row r="2396" spans="23:23" x14ac:dyDescent="0.3">
      <c r="W2396" s="85">
        <v>49252</v>
      </c>
    </row>
    <row r="2397" spans="23:23" x14ac:dyDescent="0.3">
      <c r="W2397" s="85">
        <v>49253</v>
      </c>
    </row>
    <row r="2398" spans="23:23" x14ac:dyDescent="0.3">
      <c r="W2398" s="85">
        <v>49259</v>
      </c>
    </row>
    <row r="2399" spans="23:23" x14ac:dyDescent="0.3">
      <c r="W2399" s="85">
        <v>49260</v>
      </c>
    </row>
    <row r="2400" spans="23:23" x14ac:dyDescent="0.3">
      <c r="W2400" s="85">
        <v>49266</v>
      </c>
    </row>
    <row r="2401" spans="23:23" x14ac:dyDescent="0.3">
      <c r="W2401" s="85">
        <v>49267</v>
      </c>
    </row>
    <row r="2402" spans="23:23" x14ac:dyDescent="0.3">
      <c r="W2402" s="85">
        <v>49273</v>
      </c>
    </row>
    <row r="2403" spans="23:23" x14ac:dyDescent="0.3">
      <c r="W2403" s="85">
        <v>49274</v>
      </c>
    </row>
    <row r="2404" spans="23:23" x14ac:dyDescent="0.3">
      <c r="W2404" s="85">
        <v>49280</v>
      </c>
    </row>
    <row r="2405" spans="23:23" x14ac:dyDescent="0.3">
      <c r="W2405" s="85">
        <v>49281</v>
      </c>
    </row>
    <row r="2406" spans="23:23" x14ac:dyDescent="0.3">
      <c r="W2406" s="85">
        <v>49287</v>
      </c>
    </row>
    <row r="2407" spans="23:23" x14ac:dyDescent="0.3">
      <c r="W2407" s="85">
        <v>49288</v>
      </c>
    </row>
    <row r="2408" spans="23:23" x14ac:dyDescent="0.3">
      <c r="W2408" s="85">
        <v>49294</v>
      </c>
    </row>
    <row r="2409" spans="23:23" x14ac:dyDescent="0.3">
      <c r="W2409" s="85">
        <v>49295</v>
      </c>
    </row>
    <row r="2410" spans="23:23" x14ac:dyDescent="0.3">
      <c r="W2410" s="85">
        <v>49301</v>
      </c>
    </row>
    <row r="2411" spans="23:23" x14ac:dyDescent="0.3">
      <c r="W2411" s="85">
        <v>49302</v>
      </c>
    </row>
    <row r="2412" spans="23:23" x14ac:dyDescent="0.3">
      <c r="W2412" s="85">
        <v>49303</v>
      </c>
    </row>
    <row r="2413" spans="23:23" x14ac:dyDescent="0.3">
      <c r="W2413" s="85">
        <v>49304</v>
      </c>
    </row>
    <row r="2414" spans="23:23" x14ac:dyDescent="0.3">
      <c r="W2414" s="85">
        <v>49308</v>
      </c>
    </row>
    <row r="2415" spans="23:23" x14ac:dyDescent="0.3">
      <c r="W2415" s="85">
        <v>49309</v>
      </c>
    </row>
    <row r="2416" spans="23:23" x14ac:dyDescent="0.3">
      <c r="W2416" s="85">
        <v>49310</v>
      </c>
    </row>
    <row r="2417" spans="23:23" x14ac:dyDescent="0.3">
      <c r="W2417" s="85">
        <v>49315</v>
      </c>
    </row>
    <row r="2418" spans="23:23" x14ac:dyDescent="0.3">
      <c r="W2418" s="85">
        <v>49316</v>
      </c>
    </row>
    <row r="2419" spans="23:23" x14ac:dyDescent="0.3">
      <c r="W2419" s="85">
        <v>49322</v>
      </c>
    </row>
    <row r="2420" spans="23:23" x14ac:dyDescent="0.3">
      <c r="W2420" s="85">
        <v>49323</v>
      </c>
    </row>
    <row r="2421" spans="23:23" x14ac:dyDescent="0.3">
      <c r="W2421" s="85">
        <v>49329</v>
      </c>
    </row>
    <row r="2422" spans="23:23" x14ac:dyDescent="0.3">
      <c r="W2422" s="85">
        <v>49330</v>
      </c>
    </row>
    <row r="2423" spans="23:23" x14ac:dyDescent="0.3">
      <c r="W2423" s="85">
        <v>49336</v>
      </c>
    </row>
    <row r="2424" spans="23:23" x14ac:dyDescent="0.3">
      <c r="W2424" s="85">
        <v>49337</v>
      </c>
    </row>
    <row r="2425" spans="23:23" x14ac:dyDescent="0.3">
      <c r="W2425" s="85">
        <v>49343</v>
      </c>
    </row>
    <row r="2426" spans="23:23" x14ac:dyDescent="0.3">
      <c r="W2426" s="85">
        <v>49344</v>
      </c>
    </row>
    <row r="2427" spans="23:23" x14ac:dyDescent="0.3">
      <c r="W2427" s="85">
        <v>49350</v>
      </c>
    </row>
    <row r="2428" spans="23:23" x14ac:dyDescent="0.3">
      <c r="W2428" s="85">
        <v>49351</v>
      </c>
    </row>
    <row r="2429" spans="23:23" x14ac:dyDescent="0.3">
      <c r="W2429" s="85">
        <v>49357</v>
      </c>
    </row>
    <row r="2430" spans="23:23" x14ac:dyDescent="0.3">
      <c r="W2430" s="85">
        <v>49358</v>
      </c>
    </row>
    <row r="2431" spans="23:23" x14ac:dyDescent="0.3">
      <c r="W2431" s="85">
        <v>49364</v>
      </c>
    </row>
    <row r="2432" spans="23:23" x14ac:dyDescent="0.3">
      <c r="W2432" s="85">
        <v>49365</v>
      </c>
    </row>
    <row r="2433" spans="23:23" x14ac:dyDescent="0.3">
      <c r="W2433" s="85">
        <v>49371</v>
      </c>
    </row>
    <row r="2434" spans="23:23" x14ac:dyDescent="0.3">
      <c r="W2434" s="85">
        <v>49372</v>
      </c>
    </row>
    <row r="2435" spans="23:23" x14ac:dyDescent="0.3">
      <c r="W2435" s="85">
        <v>49378</v>
      </c>
    </row>
    <row r="2436" spans="23:23" x14ac:dyDescent="0.3">
      <c r="W2436" s="85">
        <v>49379</v>
      </c>
    </row>
    <row r="2437" spans="23:23" x14ac:dyDescent="0.3">
      <c r="W2437" s="85">
        <v>49385</v>
      </c>
    </row>
    <row r="2438" spans="23:23" x14ac:dyDescent="0.3">
      <c r="W2438" s="85">
        <v>49386</v>
      </c>
    </row>
    <row r="2439" spans="23:23" x14ac:dyDescent="0.3">
      <c r="W2439" s="85">
        <v>49391</v>
      </c>
    </row>
    <row r="2440" spans="23:23" x14ac:dyDescent="0.3">
      <c r="W2440" s="85">
        <v>49392</v>
      </c>
    </row>
    <row r="2441" spans="23:23" x14ac:dyDescent="0.3">
      <c r="W2441" s="85">
        <v>49393</v>
      </c>
    </row>
    <row r="2442" spans="23:23" x14ac:dyDescent="0.3">
      <c r="W2442" s="85">
        <v>49394</v>
      </c>
    </row>
    <row r="2443" spans="23:23" x14ac:dyDescent="0.3">
      <c r="W2443" s="85">
        <v>49399</v>
      </c>
    </row>
    <row r="2444" spans="23:23" x14ac:dyDescent="0.3">
      <c r="W2444" s="85">
        <v>49400</v>
      </c>
    </row>
    <row r="2445" spans="23:23" x14ac:dyDescent="0.3">
      <c r="W2445" s="85">
        <v>49406</v>
      </c>
    </row>
    <row r="2446" spans="23:23" x14ac:dyDescent="0.3">
      <c r="W2446" s="85">
        <v>49407</v>
      </c>
    </row>
    <row r="2447" spans="23:23" x14ac:dyDescent="0.3">
      <c r="W2447" s="85">
        <v>49413</v>
      </c>
    </row>
    <row r="2448" spans="23:23" x14ac:dyDescent="0.3">
      <c r="W2448" s="85">
        <v>49414</v>
      </c>
    </row>
    <row r="2449" spans="23:23" x14ac:dyDescent="0.3">
      <c r="W2449" s="85">
        <v>49420</v>
      </c>
    </row>
    <row r="2450" spans="23:23" x14ac:dyDescent="0.3">
      <c r="W2450" s="85">
        <v>49421</v>
      </c>
    </row>
    <row r="2451" spans="23:23" x14ac:dyDescent="0.3">
      <c r="W2451" s="85">
        <v>49427</v>
      </c>
    </row>
    <row r="2452" spans="23:23" x14ac:dyDescent="0.3">
      <c r="W2452" s="85">
        <v>49428</v>
      </c>
    </row>
    <row r="2453" spans="23:23" x14ac:dyDescent="0.3">
      <c r="W2453" s="85">
        <v>49430</v>
      </c>
    </row>
    <row r="2454" spans="23:23" x14ac:dyDescent="0.3">
      <c r="W2454" s="85">
        <v>49434</v>
      </c>
    </row>
    <row r="2455" spans="23:23" x14ac:dyDescent="0.3">
      <c r="W2455" s="85">
        <v>49435</v>
      </c>
    </row>
    <row r="2456" spans="23:23" x14ac:dyDescent="0.3">
      <c r="W2456" s="85">
        <v>49441</v>
      </c>
    </row>
    <row r="2457" spans="23:23" x14ac:dyDescent="0.3">
      <c r="W2457" s="85">
        <v>49442</v>
      </c>
    </row>
    <row r="2458" spans="23:23" x14ac:dyDescent="0.3">
      <c r="W2458" s="85">
        <v>49448</v>
      </c>
    </row>
    <row r="2459" spans="23:23" x14ac:dyDescent="0.3">
      <c r="W2459" s="85">
        <v>49449</v>
      </c>
    </row>
    <row r="2460" spans="23:23" x14ac:dyDescent="0.3">
      <c r="W2460" s="85">
        <v>49455</v>
      </c>
    </row>
    <row r="2461" spans="23:23" x14ac:dyDescent="0.3">
      <c r="W2461" s="85">
        <v>49456</v>
      </c>
    </row>
    <row r="2462" spans="23:23" x14ac:dyDescent="0.3">
      <c r="W2462" s="85">
        <v>49462</v>
      </c>
    </row>
    <row r="2463" spans="23:23" x14ac:dyDescent="0.3">
      <c r="W2463" s="85">
        <v>49463</v>
      </c>
    </row>
    <row r="2464" spans="23:23" x14ac:dyDescent="0.3">
      <c r="W2464" s="85">
        <v>49469</v>
      </c>
    </row>
    <row r="2465" spans="23:23" x14ac:dyDescent="0.3">
      <c r="W2465" s="85">
        <v>49470</v>
      </c>
    </row>
    <row r="2466" spans="23:23" x14ac:dyDescent="0.3">
      <c r="W2466" s="85">
        <v>49476</v>
      </c>
    </row>
    <row r="2467" spans="23:23" x14ac:dyDescent="0.3">
      <c r="W2467" s="85">
        <v>49477</v>
      </c>
    </row>
    <row r="2468" spans="23:23" x14ac:dyDescent="0.3">
      <c r="W2468" s="85">
        <v>49483</v>
      </c>
    </row>
    <row r="2469" spans="23:23" x14ac:dyDescent="0.3">
      <c r="W2469" s="85">
        <v>49484</v>
      </c>
    </row>
    <row r="2470" spans="23:23" x14ac:dyDescent="0.3">
      <c r="W2470" s="85">
        <v>49490</v>
      </c>
    </row>
    <row r="2471" spans="23:23" x14ac:dyDescent="0.3">
      <c r="W2471" s="85">
        <v>49491</v>
      </c>
    </row>
    <row r="2472" spans="23:23" x14ac:dyDescent="0.3">
      <c r="W2472" s="85">
        <v>49497</v>
      </c>
    </row>
    <row r="2473" spans="23:23" x14ac:dyDescent="0.3">
      <c r="W2473" s="85">
        <v>49498</v>
      </c>
    </row>
    <row r="2474" spans="23:23" x14ac:dyDescent="0.3">
      <c r="W2474" s="85">
        <v>49504</v>
      </c>
    </row>
    <row r="2475" spans="23:23" x14ac:dyDescent="0.3">
      <c r="W2475" s="85">
        <v>49505</v>
      </c>
    </row>
    <row r="2476" spans="23:23" x14ac:dyDescent="0.3">
      <c r="W2476" s="85">
        <v>49511</v>
      </c>
    </row>
    <row r="2477" spans="23:23" x14ac:dyDescent="0.3">
      <c r="W2477" s="85">
        <v>49512</v>
      </c>
    </row>
    <row r="2478" spans="23:23" x14ac:dyDescent="0.3">
      <c r="W2478" s="85">
        <v>49518</v>
      </c>
    </row>
    <row r="2479" spans="23:23" x14ac:dyDescent="0.3">
      <c r="W2479" s="85">
        <v>49519</v>
      </c>
    </row>
    <row r="2480" spans="23:23" x14ac:dyDescent="0.3">
      <c r="W2480" s="85">
        <v>49525</v>
      </c>
    </row>
    <row r="2481" spans="23:23" x14ac:dyDescent="0.3">
      <c r="W2481" s="85">
        <v>49526</v>
      </c>
    </row>
    <row r="2482" spans="23:23" x14ac:dyDescent="0.3">
      <c r="W2482" s="85">
        <v>49532</v>
      </c>
    </row>
    <row r="2483" spans="23:23" x14ac:dyDescent="0.3">
      <c r="W2483" s="85">
        <v>49533</v>
      </c>
    </row>
    <row r="2484" spans="23:23" x14ac:dyDescent="0.3">
      <c r="W2484" s="85">
        <v>49539</v>
      </c>
    </row>
    <row r="2485" spans="23:23" x14ac:dyDescent="0.3">
      <c r="W2485" s="85">
        <v>49540</v>
      </c>
    </row>
    <row r="2486" spans="23:23" x14ac:dyDescent="0.3">
      <c r="W2486" s="85">
        <v>49546</v>
      </c>
    </row>
    <row r="2487" spans="23:23" x14ac:dyDescent="0.3">
      <c r="W2487" s="85">
        <v>49547</v>
      </c>
    </row>
    <row r="2488" spans="23:23" x14ac:dyDescent="0.3">
      <c r="W2488" s="85">
        <v>49553</v>
      </c>
    </row>
    <row r="2489" spans="23:23" x14ac:dyDescent="0.3">
      <c r="W2489" s="85">
        <v>49554</v>
      </c>
    </row>
    <row r="2490" spans="23:23" x14ac:dyDescent="0.3">
      <c r="W2490" s="85">
        <v>49560</v>
      </c>
    </row>
    <row r="2491" spans="23:23" x14ac:dyDescent="0.3">
      <c r="W2491" s="85">
        <v>49561</v>
      </c>
    </row>
    <row r="2492" spans="23:23" x14ac:dyDescent="0.3">
      <c r="W2492" s="85">
        <v>49567</v>
      </c>
    </row>
    <row r="2493" spans="23:23" x14ac:dyDescent="0.3">
      <c r="W2493" s="85">
        <v>49568</v>
      </c>
    </row>
    <row r="2494" spans="23:23" x14ac:dyDescent="0.3">
      <c r="W2494" s="85">
        <v>49574</v>
      </c>
    </row>
    <row r="2495" spans="23:23" x14ac:dyDescent="0.3">
      <c r="W2495" s="85">
        <v>49575</v>
      </c>
    </row>
    <row r="2496" spans="23:23" x14ac:dyDescent="0.3">
      <c r="W2496" s="85">
        <v>49581</v>
      </c>
    </row>
    <row r="2497" spans="23:23" x14ac:dyDescent="0.3">
      <c r="W2497" s="85">
        <v>49582</v>
      </c>
    </row>
    <row r="2498" spans="23:23" x14ac:dyDescent="0.3">
      <c r="W2498" s="85">
        <v>49588</v>
      </c>
    </row>
    <row r="2499" spans="23:23" x14ac:dyDescent="0.3">
      <c r="W2499" s="85">
        <v>49589</v>
      </c>
    </row>
    <row r="2500" spans="23:23" x14ac:dyDescent="0.3">
      <c r="W2500" s="85">
        <v>49595</v>
      </c>
    </row>
    <row r="2501" spans="23:23" x14ac:dyDescent="0.3">
      <c r="W2501" s="85">
        <v>49596</v>
      </c>
    </row>
    <row r="2502" spans="23:23" x14ac:dyDescent="0.3">
      <c r="W2502" s="85">
        <v>49602</v>
      </c>
    </row>
    <row r="2503" spans="23:23" x14ac:dyDescent="0.3">
      <c r="W2503" s="85">
        <v>49603</v>
      </c>
    </row>
    <row r="2504" spans="23:23" x14ac:dyDescent="0.3">
      <c r="W2504" s="85">
        <v>49609</v>
      </c>
    </row>
    <row r="2505" spans="23:23" x14ac:dyDescent="0.3">
      <c r="W2505" s="85">
        <v>49610</v>
      </c>
    </row>
    <row r="2506" spans="23:23" x14ac:dyDescent="0.3">
      <c r="W2506" s="85">
        <v>49616</v>
      </c>
    </row>
    <row r="2507" spans="23:23" x14ac:dyDescent="0.3">
      <c r="W2507" s="85">
        <v>49617</v>
      </c>
    </row>
    <row r="2508" spans="23:23" x14ac:dyDescent="0.3">
      <c r="W2508" s="85">
        <v>49623</v>
      </c>
    </row>
    <row r="2509" spans="23:23" x14ac:dyDescent="0.3">
      <c r="W2509" s="85">
        <v>49624</v>
      </c>
    </row>
    <row r="2510" spans="23:23" x14ac:dyDescent="0.3">
      <c r="W2510" s="85">
        <v>49630</v>
      </c>
    </row>
    <row r="2511" spans="23:23" x14ac:dyDescent="0.3">
      <c r="W2511" s="85">
        <v>49631</v>
      </c>
    </row>
    <row r="2512" spans="23:23" x14ac:dyDescent="0.3">
      <c r="W2512" s="85">
        <v>49637</v>
      </c>
    </row>
    <row r="2513" spans="23:23" x14ac:dyDescent="0.3">
      <c r="W2513" s="85">
        <v>49638</v>
      </c>
    </row>
    <row r="2514" spans="23:23" x14ac:dyDescent="0.3">
      <c r="W2514" s="85">
        <v>49644</v>
      </c>
    </row>
    <row r="2515" spans="23:23" x14ac:dyDescent="0.3">
      <c r="W2515" s="85">
        <v>49645</v>
      </c>
    </row>
    <row r="2516" spans="23:23" x14ac:dyDescent="0.3">
      <c r="W2516" s="85">
        <v>49651</v>
      </c>
    </row>
    <row r="2517" spans="23:23" x14ac:dyDescent="0.3">
      <c r="W2517" s="85">
        <v>49652</v>
      </c>
    </row>
    <row r="2518" spans="23:23" x14ac:dyDescent="0.3">
      <c r="W2518" s="85">
        <v>49658</v>
      </c>
    </row>
    <row r="2519" spans="23:23" x14ac:dyDescent="0.3">
      <c r="W2519" s="85">
        <v>49659</v>
      </c>
    </row>
    <row r="2520" spans="23:23" x14ac:dyDescent="0.3">
      <c r="W2520" s="85">
        <v>49665</v>
      </c>
    </row>
    <row r="2521" spans="23:23" x14ac:dyDescent="0.3">
      <c r="W2521" s="85">
        <v>49666</v>
      </c>
    </row>
    <row r="2522" spans="23:23" x14ac:dyDescent="0.3">
      <c r="W2522" s="85">
        <v>49668</v>
      </c>
    </row>
    <row r="2523" spans="23:23" x14ac:dyDescent="0.3">
      <c r="W2523" s="85">
        <v>49669</v>
      </c>
    </row>
    <row r="2524" spans="23:23" x14ac:dyDescent="0.3">
      <c r="W2524" s="85">
        <v>49672</v>
      </c>
    </row>
    <row r="2525" spans="23:23" x14ac:dyDescent="0.3">
      <c r="W2525" s="85">
        <v>49673</v>
      </c>
    </row>
    <row r="2526" spans="23:23" x14ac:dyDescent="0.3">
      <c r="W2526" s="85">
        <v>49675</v>
      </c>
    </row>
    <row r="2527" spans="23:23" x14ac:dyDescent="0.3">
      <c r="W2527" s="85">
        <v>49679</v>
      </c>
    </row>
    <row r="2528" spans="23:23" x14ac:dyDescent="0.3">
      <c r="W2528" s="85">
        <v>49680</v>
      </c>
    </row>
    <row r="2529" spans="23:23" x14ac:dyDescent="0.3">
      <c r="W2529" s="85">
        <v>49686</v>
      </c>
    </row>
    <row r="2530" spans="23:23" x14ac:dyDescent="0.3">
      <c r="W2530" s="85">
        <v>49687</v>
      </c>
    </row>
    <row r="2531" spans="23:23" x14ac:dyDescent="0.3">
      <c r="W2531" s="85">
        <v>49693</v>
      </c>
    </row>
    <row r="2532" spans="23:23" x14ac:dyDescent="0.3">
      <c r="W2532" s="85">
        <v>49694</v>
      </c>
    </row>
    <row r="2533" spans="23:23" x14ac:dyDescent="0.3">
      <c r="W2533" s="85">
        <v>49700</v>
      </c>
    </row>
    <row r="2534" spans="23:23" x14ac:dyDescent="0.3">
      <c r="W2534" s="85">
        <v>49701</v>
      </c>
    </row>
    <row r="2535" spans="23:23" x14ac:dyDescent="0.3">
      <c r="W2535" s="85">
        <v>49707</v>
      </c>
    </row>
    <row r="2536" spans="23:23" x14ac:dyDescent="0.3">
      <c r="W2536" s="85">
        <v>49708</v>
      </c>
    </row>
    <row r="2537" spans="23:23" x14ac:dyDescent="0.3">
      <c r="W2537" s="85">
        <v>49714</v>
      </c>
    </row>
    <row r="2538" spans="23:23" x14ac:dyDescent="0.3">
      <c r="W2538" s="85">
        <v>49715</v>
      </c>
    </row>
    <row r="2539" spans="23:23" x14ac:dyDescent="0.3">
      <c r="W2539" s="85">
        <v>49721</v>
      </c>
    </row>
    <row r="2540" spans="23:23" x14ac:dyDescent="0.3">
      <c r="W2540" s="85">
        <v>49722</v>
      </c>
    </row>
    <row r="2541" spans="23:23" x14ac:dyDescent="0.3">
      <c r="W2541" s="85">
        <v>49728</v>
      </c>
    </row>
    <row r="2542" spans="23:23" x14ac:dyDescent="0.3">
      <c r="W2542" s="85">
        <v>49729</v>
      </c>
    </row>
    <row r="2543" spans="23:23" x14ac:dyDescent="0.3">
      <c r="W2543" s="85">
        <v>49735</v>
      </c>
    </row>
    <row r="2544" spans="23:23" x14ac:dyDescent="0.3">
      <c r="W2544" s="85">
        <v>49736</v>
      </c>
    </row>
    <row r="2545" spans="23:23" x14ac:dyDescent="0.3">
      <c r="W2545" s="85">
        <v>49742</v>
      </c>
    </row>
    <row r="2546" spans="23:23" x14ac:dyDescent="0.3">
      <c r="W2546" s="85">
        <v>49743</v>
      </c>
    </row>
    <row r="2547" spans="23:23" x14ac:dyDescent="0.3">
      <c r="W2547" s="85">
        <v>49749</v>
      </c>
    </row>
    <row r="2548" spans="23:23" x14ac:dyDescent="0.3">
      <c r="W2548" s="85">
        <v>49750</v>
      </c>
    </row>
    <row r="2549" spans="23:23" x14ac:dyDescent="0.3">
      <c r="W2549" s="85">
        <v>49756</v>
      </c>
    </row>
    <row r="2550" spans="23:23" x14ac:dyDescent="0.3">
      <c r="W2550" s="85">
        <v>49757</v>
      </c>
    </row>
    <row r="2551" spans="23:23" x14ac:dyDescent="0.3">
      <c r="W2551" s="85">
        <v>49763</v>
      </c>
    </row>
    <row r="2552" spans="23:23" x14ac:dyDescent="0.3">
      <c r="W2552" s="85">
        <v>49764</v>
      </c>
    </row>
    <row r="2553" spans="23:23" x14ac:dyDescent="0.3">
      <c r="W2553" s="85">
        <v>49770</v>
      </c>
    </row>
    <row r="2554" spans="23:23" x14ac:dyDescent="0.3">
      <c r="W2554" s="85">
        <v>49771</v>
      </c>
    </row>
    <row r="2555" spans="23:23" x14ac:dyDescent="0.3">
      <c r="W2555" s="85">
        <v>49776</v>
      </c>
    </row>
    <row r="2556" spans="23:23" x14ac:dyDescent="0.3">
      <c r="W2556" s="85">
        <v>49777</v>
      </c>
    </row>
    <row r="2557" spans="23:23" x14ac:dyDescent="0.3">
      <c r="W2557" s="85">
        <v>49778</v>
      </c>
    </row>
    <row r="2558" spans="23:23" x14ac:dyDescent="0.3">
      <c r="W2558" s="85">
        <v>49779</v>
      </c>
    </row>
    <row r="2559" spans="23:23" x14ac:dyDescent="0.3">
      <c r="W2559" s="85">
        <v>49784</v>
      </c>
    </row>
    <row r="2560" spans="23:23" x14ac:dyDescent="0.3">
      <c r="W2560" s="85">
        <v>49785</v>
      </c>
    </row>
    <row r="2561" spans="23:23" x14ac:dyDescent="0.3">
      <c r="W2561" s="85">
        <v>49791</v>
      </c>
    </row>
    <row r="2562" spans="23:23" x14ac:dyDescent="0.3">
      <c r="W2562" s="85">
        <v>49792</v>
      </c>
    </row>
    <row r="2563" spans="23:23" x14ac:dyDescent="0.3">
      <c r="W2563" s="85">
        <v>49796</v>
      </c>
    </row>
    <row r="2564" spans="23:23" x14ac:dyDescent="0.3">
      <c r="W2564" s="85">
        <v>49798</v>
      </c>
    </row>
    <row r="2565" spans="23:23" x14ac:dyDescent="0.3">
      <c r="W2565" s="85">
        <v>49799</v>
      </c>
    </row>
    <row r="2566" spans="23:23" x14ac:dyDescent="0.3">
      <c r="W2566" s="85">
        <v>49805</v>
      </c>
    </row>
    <row r="2567" spans="23:23" x14ac:dyDescent="0.3">
      <c r="W2567" s="85">
        <v>49806</v>
      </c>
    </row>
    <row r="2568" spans="23:23" x14ac:dyDescent="0.3">
      <c r="W2568" s="85">
        <v>49812</v>
      </c>
    </row>
    <row r="2569" spans="23:23" x14ac:dyDescent="0.3">
      <c r="W2569" s="85">
        <v>49813</v>
      </c>
    </row>
    <row r="2570" spans="23:23" x14ac:dyDescent="0.3">
      <c r="W2570" s="85">
        <v>49819</v>
      </c>
    </row>
    <row r="2571" spans="23:23" x14ac:dyDescent="0.3">
      <c r="W2571" s="85">
        <v>49820</v>
      </c>
    </row>
    <row r="2572" spans="23:23" x14ac:dyDescent="0.3">
      <c r="W2572" s="85">
        <v>49826</v>
      </c>
    </row>
    <row r="2573" spans="23:23" x14ac:dyDescent="0.3">
      <c r="W2573" s="85">
        <v>49827</v>
      </c>
    </row>
    <row r="2574" spans="23:23" x14ac:dyDescent="0.3">
      <c r="W2574" s="85">
        <v>49833</v>
      </c>
    </row>
    <row r="2575" spans="23:23" x14ac:dyDescent="0.3">
      <c r="W2575" s="85">
        <v>49834</v>
      </c>
    </row>
    <row r="2576" spans="23:23" x14ac:dyDescent="0.3">
      <c r="W2576" s="85">
        <v>49840</v>
      </c>
    </row>
    <row r="2577" spans="23:23" x14ac:dyDescent="0.3">
      <c r="W2577" s="85">
        <v>49841</v>
      </c>
    </row>
    <row r="2578" spans="23:23" x14ac:dyDescent="0.3">
      <c r="W2578" s="85">
        <v>49847</v>
      </c>
    </row>
    <row r="2579" spans="23:23" x14ac:dyDescent="0.3">
      <c r="W2579" s="85">
        <v>49848</v>
      </c>
    </row>
    <row r="2580" spans="23:23" x14ac:dyDescent="0.3">
      <c r="W2580" s="85">
        <v>49854</v>
      </c>
    </row>
    <row r="2581" spans="23:23" x14ac:dyDescent="0.3">
      <c r="W2581" s="85">
        <v>49855</v>
      </c>
    </row>
    <row r="2582" spans="23:23" x14ac:dyDescent="0.3">
      <c r="W2582" s="85">
        <v>49861</v>
      </c>
    </row>
    <row r="2583" spans="23:23" x14ac:dyDescent="0.3">
      <c r="W2583" s="85">
        <v>49862</v>
      </c>
    </row>
    <row r="2584" spans="23:23" x14ac:dyDescent="0.3">
      <c r="W2584" s="85">
        <v>49868</v>
      </c>
    </row>
    <row r="2585" spans="23:23" x14ac:dyDescent="0.3">
      <c r="W2585" s="85">
        <v>49869</v>
      </c>
    </row>
    <row r="2586" spans="23:23" x14ac:dyDescent="0.3">
      <c r="W2586" s="85">
        <v>49875</v>
      </c>
    </row>
    <row r="2587" spans="23:23" x14ac:dyDescent="0.3">
      <c r="W2587" s="85">
        <v>49876</v>
      </c>
    </row>
    <row r="2588" spans="23:23" x14ac:dyDescent="0.3">
      <c r="W2588" s="85">
        <v>49882</v>
      </c>
    </row>
    <row r="2589" spans="23:23" x14ac:dyDescent="0.3">
      <c r="W2589" s="85">
        <v>49883</v>
      </c>
    </row>
    <row r="2590" spans="23:23" x14ac:dyDescent="0.3">
      <c r="W2590" s="85">
        <v>49889</v>
      </c>
    </row>
    <row r="2591" spans="23:23" x14ac:dyDescent="0.3">
      <c r="W2591" s="85">
        <v>49890</v>
      </c>
    </row>
    <row r="2592" spans="23:23" x14ac:dyDescent="0.3">
      <c r="W2592" s="85">
        <v>49896</v>
      </c>
    </row>
    <row r="2593" spans="23:23" x14ac:dyDescent="0.3">
      <c r="W2593" s="85">
        <v>49897</v>
      </c>
    </row>
    <row r="2594" spans="23:23" x14ac:dyDescent="0.3">
      <c r="W2594" s="85">
        <v>49903</v>
      </c>
    </row>
    <row r="2595" spans="23:23" x14ac:dyDescent="0.3">
      <c r="W2595" s="85">
        <v>49904</v>
      </c>
    </row>
    <row r="2596" spans="23:23" x14ac:dyDescent="0.3">
      <c r="W2596" s="85">
        <v>49910</v>
      </c>
    </row>
    <row r="2597" spans="23:23" x14ac:dyDescent="0.3">
      <c r="W2597" s="85">
        <v>49911</v>
      </c>
    </row>
    <row r="2598" spans="23:23" x14ac:dyDescent="0.3">
      <c r="W2598" s="85">
        <v>49917</v>
      </c>
    </row>
    <row r="2599" spans="23:23" x14ac:dyDescent="0.3">
      <c r="W2599" s="85">
        <v>49918</v>
      </c>
    </row>
    <row r="2600" spans="23:23" x14ac:dyDescent="0.3">
      <c r="W2600" s="85">
        <v>49924</v>
      </c>
    </row>
    <row r="2601" spans="23:23" x14ac:dyDescent="0.3">
      <c r="W2601" s="85">
        <v>49925</v>
      </c>
    </row>
    <row r="2602" spans="23:23" x14ac:dyDescent="0.3">
      <c r="W2602" s="85">
        <v>49931</v>
      </c>
    </row>
    <row r="2603" spans="23:23" x14ac:dyDescent="0.3">
      <c r="W2603" s="85">
        <v>49932</v>
      </c>
    </row>
    <row r="2604" spans="23:23" x14ac:dyDescent="0.3">
      <c r="W2604" s="85">
        <v>49938</v>
      </c>
    </row>
    <row r="2605" spans="23:23" x14ac:dyDescent="0.3">
      <c r="W2605" s="85">
        <v>49939</v>
      </c>
    </row>
    <row r="2606" spans="23:23" x14ac:dyDescent="0.3">
      <c r="W2606" s="85">
        <v>49945</v>
      </c>
    </row>
    <row r="2607" spans="23:23" x14ac:dyDescent="0.3">
      <c r="W2607" s="85">
        <v>49946</v>
      </c>
    </row>
    <row r="2608" spans="23:23" x14ac:dyDescent="0.3">
      <c r="W2608" s="85">
        <v>49952</v>
      </c>
    </row>
    <row r="2609" spans="23:23" x14ac:dyDescent="0.3">
      <c r="W2609" s="85">
        <v>49953</v>
      </c>
    </row>
    <row r="2610" spans="23:23" x14ac:dyDescent="0.3">
      <c r="W2610" s="85">
        <v>49959</v>
      </c>
    </row>
    <row r="2611" spans="23:23" x14ac:dyDescent="0.3">
      <c r="W2611" s="85">
        <v>49960</v>
      </c>
    </row>
    <row r="2612" spans="23:23" x14ac:dyDescent="0.3">
      <c r="W2612" s="85">
        <v>49966</v>
      </c>
    </row>
    <row r="2613" spans="23:23" x14ac:dyDescent="0.3">
      <c r="W2613" s="85">
        <v>49967</v>
      </c>
    </row>
    <row r="2614" spans="23:23" x14ac:dyDescent="0.3">
      <c r="W2614" s="85">
        <v>49973</v>
      </c>
    </row>
    <row r="2615" spans="23:23" x14ac:dyDescent="0.3">
      <c r="W2615" s="85">
        <v>49974</v>
      </c>
    </row>
    <row r="2616" spans="23:23" x14ac:dyDescent="0.3">
      <c r="W2616" s="85">
        <v>49980</v>
      </c>
    </row>
    <row r="2617" spans="23:23" x14ac:dyDescent="0.3">
      <c r="W2617" s="85">
        <v>49981</v>
      </c>
    </row>
    <row r="2618" spans="23:23" x14ac:dyDescent="0.3">
      <c r="W2618" s="85">
        <v>49987</v>
      </c>
    </row>
    <row r="2619" spans="23:23" x14ac:dyDescent="0.3">
      <c r="W2619" s="85">
        <v>49988</v>
      </c>
    </row>
    <row r="2620" spans="23:23" x14ac:dyDescent="0.3">
      <c r="W2620" s="85">
        <v>49994</v>
      </c>
    </row>
    <row r="2621" spans="23:23" x14ac:dyDescent="0.3">
      <c r="W2621" s="85">
        <v>49995</v>
      </c>
    </row>
    <row r="2622" spans="23:23" x14ac:dyDescent="0.3">
      <c r="W2622" s="85">
        <v>50001</v>
      </c>
    </row>
    <row r="2623" spans="23:23" x14ac:dyDescent="0.3">
      <c r="W2623" s="85">
        <v>50002</v>
      </c>
    </row>
    <row r="2624" spans="23:23" x14ac:dyDescent="0.3">
      <c r="W2624" s="85">
        <v>50008</v>
      </c>
    </row>
    <row r="2625" spans="23:23" x14ac:dyDescent="0.3">
      <c r="W2625" s="85">
        <v>50009</v>
      </c>
    </row>
    <row r="2626" spans="23:23" x14ac:dyDescent="0.3">
      <c r="W2626" s="85">
        <v>50015</v>
      </c>
    </row>
    <row r="2627" spans="23:23" x14ac:dyDescent="0.3">
      <c r="W2627" s="85">
        <v>50016</v>
      </c>
    </row>
    <row r="2628" spans="23:23" x14ac:dyDescent="0.3">
      <c r="W2628" s="85">
        <v>50022</v>
      </c>
    </row>
    <row r="2629" spans="23:23" x14ac:dyDescent="0.3">
      <c r="W2629" s="85">
        <v>50023</v>
      </c>
    </row>
    <row r="2630" spans="23:23" x14ac:dyDescent="0.3">
      <c r="W2630" s="85">
        <v>50029</v>
      </c>
    </row>
    <row r="2631" spans="23:23" x14ac:dyDescent="0.3">
      <c r="W2631" s="85">
        <v>50030</v>
      </c>
    </row>
    <row r="2632" spans="23:23" x14ac:dyDescent="0.3">
      <c r="W2632" s="85">
        <v>50034</v>
      </c>
    </row>
    <row r="2633" spans="23:23" x14ac:dyDescent="0.3">
      <c r="W2633" s="85">
        <v>50035</v>
      </c>
    </row>
    <row r="2634" spans="23:23" x14ac:dyDescent="0.3">
      <c r="W2634" s="85">
        <v>50036</v>
      </c>
    </row>
    <row r="2635" spans="23:23" x14ac:dyDescent="0.3">
      <c r="W2635" s="85">
        <v>50037</v>
      </c>
    </row>
    <row r="2636" spans="23:23" x14ac:dyDescent="0.3">
      <c r="W2636" s="85">
        <v>50041</v>
      </c>
    </row>
    <row r="2637" spans="23:23" x14ac:dyDescent="0.3">
      <c r="W2637" s="85">
        <v>50043</v>
      </c>
    </row>
    <row r="2638" spans="23:23" x14ac:dyDescent="0.3">
      <c r="W2638" s="85">
        <v>50044</v>
      </c>
    </row>
    <row r="2639" spans="23:23" x14ac:dyDescent="0.3">
      <c r="W2639" s="85">
        <v>50050</v>
      </c>
    </row>
    <row r="2640" spans="23:23" x14ac:dyDescent="0.3">
      <c r="W2640" s="85">
        <v>50051</v>
      </c>
    </row>
    <row r="2641" spans="23:23" x14ac:dyDescent="0.3">
      <c r="W2641" s="85">
        <v>50057</v>
      </c>
    </row>
    <row r="2642" spans="23:23" x14ac:dyDescent="0.3">
      <c r="W2642" s="85">
        <v>50058</v>
      </c>
    </row>
    <row r="2643" spans="23:23" x14ac:dyDescent="0.3">
      <c r="W2643" s="85">
        <v>50064</v>
      </c>
    </row>
    <row r="2644" spans="23:23" x14ac:dyDescent="0.3">
      <c r="W2644" s="85">
        <v>50065</v>
      </c>
    </row>
    <row r="2645" spans="23:23" x14ac:dyDescent="0.3">
      <c r="W2645" s="85">
        <v>50071</v>
      </c>
    </row>
    <row r="2646" spans="23:23" x14ac:dyDescent="0.3">
      <c r="W2646" s="85">
        <v>50072</v>
      </c>
    </row>
    <row r="2647" spans="23:23" x14ac:dyDescent="0.3">
      <c r="W2647" s="85">
        <v>50078</v>
      </c>
    </row>
    <row r="2648" spans="23:23" x14ac:dyDescent="0.3">
      <c r="W2648" s="85">
        <v>50079</v>
      </c>
    </row>
    <row r="2649" spans="23:23" x14ac:dyDescent="0.3">
      <c r="W2649" s="85">
        <v>50085</v>
      </c>
    </row>
    <row r="2650" spans="23:23" x14ac:dyDescent="0.3">
      <c r="W2650" s="85">
        <v>50086</v>
      </c>
    </row>
    <row r="2651" spans="23:23" x14ac:dyDescent="0.3">
      <c r="W2651" s="85">
        <v>50092</v>
      </c>
    </row>
    <row r="2652" spans="23:23" x14ac:dyDescent="0.3">
      <c r="W2652" s="85">
        <v>50093</v>
      </c>
    </row>
    <row r="2653" spans="23:23" x14ac:dyDescent="0.3">
      <c r="W2653" s="85">
        <v>50099</v>
      </c>
    </row>
    <row r="2654" spans="23:23" x14ac:dyDescent="0.3">
      <c r="W2654" s="85">
        <v>50100</v>
      </c>
    </row>
    <row r="2655" spans="23:23" x14ac:dyDescent="0.3">
      <c r="W2655" s="85">
        <v>50106</v>
      </c>
    </row>
    <row r="2656" spans="23:23" x14ac:dyDescent="0.3">
      <c r="W2656" s="85">
        <v>50107</v>
      </c>
    </row>
    <row r="2657" spans="23:23" x14ac:dyDescent="0.3">
      <c r="W2657" s="85">
        <v>50113</v>
      </c>
    </row>
    <row r="2658" spans="23:23" x14ac:dyDescent="0.3">
      <c r="W2658" s="85">
        <v>50114</v>
      </c>
    </row>
    <row r="2659" spans="23:23" x14ac:dyDescent="0.3">
      <c r="W2659" s="85">
        <v>50120</v>
      </c>
    </row>
    <row r="2660" spans="23:23" x14ac:dyDescent="0.3">
      <c r="W2660" s="85">
        <v>50121</v>
      </c>
    </row>
    <row r="2661" spans="23:23" x14ac:dyDescent="0.3">
      <c r="W2661" s="85">
        <v>50127</v>
      </c>
    </row>
    <row r="2662" spans="23:23" x14ac:dyDescent="0.3">
      <c r="W2662" s="85">
        <v>50128</v>
      </c>
    </row>
    <row r="2663" spans="23:23" x14ac:dyDescent="0.3">
      <c r="W2663" s="85">
        <v>50133</v>
      </c>
    </row>
    <row r="2664" spans="23:23" x14ac:dyDescent="0.3">
      <c r="W2664" s="85">
        <v>50134</v>
      </c>
    </row>
    <row r="2665" spans="23:23" x14ac:dyDescent="0.3">
      <c r="W2665" s="85">
        <v>50135</v>
      </c>
    </row>
    <row r="2666" spans="23:23" x14ac:dyDescent="0.3">
      <c r="W2666" s="85">
        <v>50136</v>
      </c>
    </row>
    <row r="2667" spans="23:23" x14ac:dyDescent="0.3">
      <c r="W2667" s="85">
        <v>50141</v>
      </c>
    </row>
    <row r="2668" spans="23:23" x14ac:dyDescent="0.3">
      <c r="W2668" s="85">
        <v>50142</v>
      </c>
    </row>
    <row r="2669" spans="23:23" x14ac:dyDescent="0.3">
      <c r="W2669" s="85">
        <v>50148</v>
      </c>
    </row>
    <row r="2670" spans="23:23" x14ac:dyDescent="0.3">
      <c r="W2670" s="85">
        <v>50149</v>
      </c>
    </row>
    <row r="2671" spans="23:23" x14ac:dyDescent="0.3">
      <c r="W2671" s="85">
        <v>50155</v>
      </c>
    </row>
    <row r="2672" spans="23:23" x14ac:dyDescent="0.3">
      <c r="W2672" s="85">
        <v>50156</v>
      </c>
    </row>
    <row r="2673" spans="23:23" x14ac:dyDescent="0.3">
      <c r="W2673" s="85">
        <v>50161</v>
      </c>
    </row>
    <row r="2674" spans="23:23" x14ac:dyDescent="0.3">
      <c r="W2674" s="85">
        <v>50162</v>
      </c>
    </row>
    <row r="2675" spans="23:23" x14ac:dyDescent="0.3">
      <c r="W2675" s="85">
        <v>50163</v>
      </c>
    </row>
    <row r="2676" spans="23:23" x14ac:dyDescent="0.3">
      <c r="W2676" s="85">
        <v>50169</v>
      </c>
    </row>
    <row r="2677" spans="23:23" x14ac:dyDescent="0.3">
      <c r="W2677" s="85">
        <v>50170</v>
      </c>
    </row>
    <row r="2678" spans="23:23" x14ac:dyDescent="0.3">
      <c r="W2678" s="85">
        <v>50176</v>
      </c>
    </row>
    <row r="2679" spans="23:23" x14ac:dyDescent="0.3">
      <c r="W2679" s="85">
        <v>50177</v>
      </c>
    </row>
    <row r="2680" spans="23:23" x14ac:dyDescent="0.3">
      <c r="W2680" s="85">
        <v>50183</v>
      </c>
    </row>
    <row r="2681" spans="23:23" x14ac:dyDescent="0.3">
      <c r="W2681" s="85">
        <v>50184</v>
      </c>
    </row>
    <row r="2682" spans="23:23" x14ac:dyDescent="0.3">
      <c r="W2682" s="85">
        <v>50190</v>
      </c>
    </row>
    <row r="2683" spans="23:23" x14ac:dyDescent="0.3">
      <c r="W2683" s="85">
        <v>50191</v>
      </c>
    </row>
    <row r="2684" spans="23:23" x14ac:dyDescent="0.3">
      <c r="W2684" s="85">
        <v>50197</v>
      </c>
    </row>
    <row r="2685" spans="23:23" x14ac:dyDescent="0.3">
      <c r="W2685" s="85">
        <v>50198</v>
      </c>
    </row>
    <row r="2686" spans="23:23" x14ac:dyDescent="0.3">
      <c r="W2686" s="85">
        <v>50204</v>
      </c>
    </row>
    <row r="2687" spans="23:23" x14ac:dyDescent="0.3">
      <c r="W2687" s="85">
        <v>50205</v>
      </c>
    </row>
    <row r="2688" spans="23:23" x14ac:dyDescent="0.3">
      <c r="W2688" s="85">
        <v>50211</v>
      </c>
    </row>
    <row r="2689" spans="23:23" x14ac:dyDescent="0.3">
      <c r="W2689" s="85">
        <v>50212</v>
      </c>
    </row>
    <row r="2690" spans="23:23" x14ac:dyDescent="0.3">
      <c r="W2690" s="85">
        <v>50218</v>
      </c>
    </row>
    <row r="2691" spans="23:23" x14ac:dyDescent="0.3">
      <c r="W2691" s="85">
        <v>50219</v>
      </c>
    </row>
    <row r="2692" spans="23:23" x14ac:dyDescent="0.3">
      <c r="W2692" s="85">
        <v>50225</v>
      </c>
    </row>
    <row r="2693" spans="23:23" x14ac:dyDescent="0.3">
      <c r="W2693" s="85">
        <v>50226</v>
      </c>
    </row>
    <row r="2694" spans="23:23" x14ac:dyDescent="0.3">
      <c r="W2694" s="85">
        <v>50232</v>
      </c>
    </row>
    <row r="2695" spans="23:23" x14ac:dyDescent="0.3">
      <c r="W2695" s="85">
        <v>50233</v>
      </c>
    </row>
    <row r="2696" spans="23:23" x14ac:dyDescent="0.3">
      <c r="W2696" s="85">
        <v>50239</v>
      </c>
    </row>
    <row r="2697" spans="23:23" x14ac:dyDescent="0.3">
      <c r="W2697" s="85">
        <v>50240</v>
      </c>
    </row>
    <row r="2698" spans="23:23" x14ac:dyDescent="0.3">
      <c r="W2698" s="85">
        <v>50246</v>
      </c>
    </row>
    <row r="2699" spans="23:23" x14ac:dyDescent="0.3">
      <c r="W2699" s="85">
        <v>50247</v>
      </c>
    </row>
    <row r="2700" spans="23:23" x14ac:dyDescent="0.3">
      <c r="W2700" s="85">
        <v>50253</v>
      </c>
    </row>
    <row r="2701" spans="23:23" x14ac:dyDescent="0.3">
      <c r="W2701" s="85">
        <v>50254</v>
      </c>
    </row>
    <row r="2702" spans="23:23" x14ac:dyDescent="0.3">
      <c r="W2702" s="85">
        <v>50260</v>
      </c>
    </row>
    <row r="2703" spans="23:23" x14ac:dyDescent="0.3">
      <c r="W2703" s="85">
        <v>50261</v>
      </c>
    </row>
    <row r="2704" spans="23:23" x14ac:dyDescent="0.3">
      <c r="W2704" s="85">
        <v>50267</v>
      </c>
    </row>
    <row r="2705" spans="23:23" x14ac:dyDescent="0.3">
      <c r="W2705" s="85">
        <v>50268</v>
      </c>
    </row>
    <row r="2706" spans="23:23" x14ac:dyDescent="0.3">
      <c r="W2706" s="85">
        <v>50274</v>
      </c>
    </row>
    <row r="2707" spans="23:23" x14ac:dyDescent="0.3">
      <c r="W2707" s="85">
        <v>50275</v>
      </c>
    </row>
    <row r="2708" spans="23:23" x14ac:dyDescent="0.3">
      <c r="W2708" s="85">
        <v>50281</v>
      </c>
    </row>
    <row r="2709" spans="23:23" x14ac:dyDescent="0.3">
      <c r="W2709" s="85">
        <v>50282</v>
      </c>
    </row>
    <row r="2710" spans="23:23" x14ac:dyDescent="0.3">
      <c r="W2710" s="85">
        <v>50288</v>
      </c>
    </row>
    <row r="2711" spans="23:23" x14ac:dyDescent="0.3">
      <c r="W2711" s="85">
        <v>50289</v>
      </c>
    </row>
    <row r="2712" spans="23:23" x14ac:dyDescent="0.3">
      <c r="W2712" s="85">
        <v>50295</v>
      </c>
    </row>
    <row r="2713" spans="23:23" x14ac:dyDescent="0.3">
      <c r="W2713" s="85">
        <v>50296</v>
      </c>
    </row>
    <row r="2714" spans="23:23" x14ac:dyDescent="0.3">
      <c r="W2714" s="85">
        <v>50302</v>
      </c>
    </row>
    <row r="2715" spans="23:23" x14ac:dyDescent="0.3">
      <c r="W2715" s="85">
        <v>50303</v>
      </c>
    </row>
    <row r="2716" spans="23:23" x14ac:dyDescent="0.3">
      <c r="W2716" s="85">
        <v>50309</v>
      </c>
    </row>
    <row r="2717" spans="23:23" x14ac:dyDescent="0.3">
      <c r="W2717" s="85">
        <v>50310</v>
      </c>
    </row>
    <row r="2718" spans="23:23" x14ac:dyDescent="0.3">
      <c r="W2718" s="85">
        <v>50316</v>
      </c>
    </row>
    <row r="2719" spans="23:23" x14ac:dyDescent="0.3">
      <c r="W2719" s="85">
        <v>50317</v>
      </c>
    </row>
    <row r="2720" spans="23:23" x14ac:dyDescent="0.3">
      <c r="W2720" s="85">
        <v>50323</v>
      </c>
    </row>
    <row r="2721" spans="23:23" x14ac:dyDescent="0.3">
      <c r="W2721" s="85">
        <v>50324</v>
      </c>
    </row>
    <row r="2722" spans="23:23" x14ac:dyDescent="0.3">
      <c r="W2722" s="85">
        <v>50330</v>
      </c>
    </row>
    <row r="2723" spans="23:23" x14ac:dyDescent="0.3">
      <c r="W2723" s="85">
        <v>50331</v>
      </c>
    </row>
    <row r="2724" spans="23:23" x14ac:dyDescent="0.3">
      <c r="W2724" s="85">
        <v>50337</v>
      </c>
    </row>
    <row r="2725" spans="23:23" x14ac:dyDescent="0.3">
      <c r="W2725" s="85">
        <v>50338</v>
      </c>
    </row>
    <row r="2726" spans="23:23" x14ac:dyDescent="0.3">
      <c r="W2726" s="85">
        <v>50344</v>
      </c>
    </row>
    <row r="2727" spans="23:23" x14ac:dyDescent="0.3">
      <c r="W2727" s="85">
        <v>50345</v>
      </c>
    </row>
    <row r="2728" spans="23:23" x14ac:dyDescent="0.3">
      <c r="W2728" s="85">
        <v>50351</v>
      </c>
    </row>
    <row r="2729" spans="23:23" x14ac:dyDescent="0.3">
      <c r="W2729" s="85">
        <v>50352</v>
      </c>
    </row>
    <row r="2730" spans="23:23" x14ac:dyDescent="0.3">
      <c r="W2730" s="85">
        <v>50358</v>
      </c>
    </row>
    <row r="2731" spans="23:23" x14ac:dyDescent="0.3">
      <c r="W2731" s="85">
        <v>50359</v>
      </c>
    </row>
    <row r="2732" spans="23:23" x14ac:dyDescent="0.3">
      <c r="W2732" s="85">
        <v>50365</v>
      </c>
    </row>
    <row r="2733" spans="23:23" x14ac:dyDescent="0.3">
      <c r="W2733" s="85">
        <v>50366</v>
      </c>
    </row>
    <row r="2734" spans="23:23" x14ac:dyDescent="0.3">
      <c r="W2734" s="85">
        <v>50372</v>
      </c>
    </row>
    <row r="2735" spans="23:23" x14ac:dyDescent="0.3">
      <c r="W2735" s="85">
        <v>50373</v>
      </c>
    </row>
    <row r="2736" spans="23:23" x14ac:dyDescent="0.3">
      <c r="W2736" s="85">
        <v>50379</v>
      </c>
    </row>
    <row r="2737" spans="23:23" x14ac:dyDescent="0.3">
      <c r="W2737" s="85">
        <v>50380</v>
      </c>
    </row>
    <row r="2738" spans="23:23" x14ac:dyDescent="0.3">
      <c r="W2738" s="85">
        <v>50386</v>
      </c>
    </row>
    <row r="2739" spans="23:23" x14ac:dyDescent="0.3">
      <c r="W2739" s="85">
        <v>50387</v>
      </c>
    </row>
    <row r="2740" spans="23:23" x14ac:dyDescent="0.3">
      <c r="W2740" s="85">
        <v>50393</v>
      </c>
    </row>
    <row r="2741" spans="23:23" x14ac:dyDescent="0.3">
      <c r="W2741" s="85">
        <v>50394</v>
      </c>
    </row>
    <row r="2742" spans="23:23" x14ac:dyDescent="0.3">
      <c r="W2742" s="85">
        <v>50399</v>
      </c>
    </row>
    <row r="2743" spans="23:23" x14ac:dyDescent="0.3">
      <c r="W2743" s="85">
        <v>50400</v>
      </c>
    </row>
    <row r="2744" spans="23:23" x14ac:dyDescent="0.3">
      <c r="W2744" s="85">
        <v>50401</v>
      </c>
    </row>
    <row r="2745" spans="23:23" x14ac:dyDescent="0.3">
      <c r="W2745" s="85">
        <v>50406</v>
      </c>
    </row>
    <row r="2746" spans="23:23" x14ac:dyDescent="0.3">
      <c r="W2746" s="85">
        <v>50407</v>
      </c>
    </row>
    <row r="2747" spans="23:23" x14ac:dyDescent="0.3">
      <c r="W2747" s="85">
        <v>50408</v>
      </c>
    </row>
    <row r="2748" spans="23:23" x14ac:dyDescent="0.3">
      <c r="W2748" s="85">
        <v>50414</v>
      </c>
    </row>
    <row r="2749" spans="23:23" x14ac:dyDescent="0.3">
      <c r="W2749" s="85">
        <v>50415</v>
      </c>
    </row>
    <row r="2750" spans="23:23" x14ac:dyDescent="0.3">
      <c r="W2750" s="85">
        <v>50421</v>
      </c>
    </row>
    <row r="2751" spans="23:23" x14ac:dyDescent="0.3">
      <c r="W2751" s="85">
        <v>50422</v>
      </c>
    </row>
    <row r="2752" spans="23:23" x14ac:dyDescent="0.3">
      <c r="W2752" s="85">
        <v>50428</v>
      </c>
    </row>
    <row r="2753" spans="23:23" x14ac:dyDescent="0.3">
      <c r="W2753" s="85">
        <v>50429</v>
      </c>
    </row>
    <row r="2754" spans="23:23" x14ac:dyDescent="0.3">
      <c r="W2754" s="85">
        <v>50435</v>
      </c>
    </row>
    <row r="2755" spans="23:23" x14ac:dyDescent="0.3">
      <c r="W2755" s="85">
        <v>50436</v>
      </c>
    </row>
    <row r="2756" spans="23:23" x14ac:dyDescent="0.3">
      <c r="W2756" s="85">
        <v>50442</v>
      </c>
    </row>
    <row r="2757" spans="23:23" x14ac:dyDescent="0.3">
      <c r="W2757" s="85">
        <v>50443</v>
      </c>
    </row>
    <row r="2758" spans="23:23" x14ac:dyDescent="0.3">
      <c r="W2758" s="85">
        <v>50449</v>
      </c>
    </row>
    <row r="2759" spans="23:23" x14ac:dyDescent="0.3">
      <c r="W2759" s="85">
        <v>50450</v>
      </c>
    </row>
    <row r="2760" spans="23:23" x14ac:dyDescent="0.3">
      <c r="W2760" s="85">
        <v>50456</v>
      </c>
    </row>
    <row r="2761" spans="23:23" x14ac:dyDescent="0.3">
      <c r="W2761" s="85">
        <v>50457</v>
      </c>
    </row>
    <row r="2762" spans="23:23" x14ac:dyDescent="0.3">
      <c r="W2762" s="85">
        <v>50463</v>
      </c>
    </row>
    <row r="2763" spans="23:23" x14ac:dyDescent="0.3">
      <c r="W2763" s="85">
        <v>50464</v>
      </c>
    </row>
    <row r="2764" spans="23:23" x14ac:dyDescent="0.3">
      <c r="W2764" s="85">
        <v>50470</v>
      </c>
    </row>
    <row r="2765" spans="23:23" x14ac:dyDescent="0.3">
      <c r="W2765" s="85">
        <v>50471</v>
      </c>
    </row>
    <row r="2766" spans="23:23" x14ac:dyDescent="0.3">
      <c r="W2766" s="85">
        <v>50477</v>
      </c>
    </row>
    <row r="2767" spans="23:23" x14ac:dyDescent="0.3">
      <c r="W2767" s="85">
        <v>50478</v>
      </c>
    </row>
    <row r="2768" spans="23:23" x14ac:dyDescent="0.3">
      <c r="W2768" s="85">
        <v>50484</v>
      </c>
    </row>
    <row r="2769" spans="23:23" x14ac:dyDescent="0.3">
      <c r="W2769" s="85">
        <v>50485</v>
      </c>
    </row>
    <row r="2770" spans="23:23" x14ac:dyDescent="0.3">
      <c r="W2770" s="85">
        <v>50491</v>
      </c>
    </row>
    <row r="2771" spans="23:23" x14ac:dyDescent="0.3">
      <c r="W2771" s="85">
        <v>50492</v>
      </c>
    </row>
    <row r="2772" spans="23:23" x14ac:dyDescent="0.3">
      <c r="W2772" s="85">
        <v>50498</v>
      </c>
    </row>
    <row r="2773" spans="23:23" x14ac:dyDescent="0.3">
      <c r="W2773" s="85">
        <v>50499</v>
      </c>
    </row>
    <row r="2774" spans="23:23" x14ac:dyDescent="0.3">
      <c r="W2774" s="85">
        <v>50505</v>
      </c>
    </row>
    <row r="2775" spans="23:23" x14ac:dyDescent="0.3">
      <c r="W2775" s="85">
        <v>50506</v>
      </c>
    </row>
    <row r="2776" spans="23:23" x14ac:dyDescent="0.3">
      <c r="W2776" s="85">
        <v>50512</v>
      </c>
    </row>
    <row r="2777" spans="23:23" x14ac:dyDescent="0.3">
      <c r="W2777" s="85">
        <v>50513</v>
      </c>
    </row>
    <row r="2778" spans="23:23" x14ac:dyDescent="0.3">
      <c r="W2778" s="85">
        <v>50518</v>
      </c>
    </row>
    <row r="2779" spans="23:23" x14ac:dyDescent="0.3">
      <c r="W2779" s="85">
        <v>50519</v>
      </c>
    </row>
    <row r="2780" spans="23:23" x14ac:dyDescent="0.3">
      <c r="W2780" s="85">
        <v>50520</v>
      </c>
    </row>
    <row r="2781" spans="23:23" x14ac:dyDescent="0.3">
      <c r="W2781" s="85">
        <v>50521</v>
      </c>
    </row>
    <row r="2782" spans="23:23" x14ac:dyDescent="0.3">
      <c r="W2782" s="85">
        <v>50526</v>
      </c>
    </row>
    <row r="2783" spans="23:23" x14ac:dyDescent="0.3">
      <c r="W2783" s="85">
        <v>50527</v>
      </c>
    </row>
    <row r="2784" spans="23:23" x14ac:dyDescent="0.3">
      <c r="W2784" s="85">
        <v>50533</v>
      </c>
    </row>
    <row r="2785" spans="23:23" x14ac:dyDescent="0.3">
      <c r="W2785" s="85">
        <v>50534</v>
      </c>
    </row>
    <row r="2786" spans="23:23" x14ac:dyDescent="0.3">
      <c r="W2786" s="85">
        <v>50540</v>
      </c>
    </row>
    <row r="2787" spans="23:23" x14ac:dyDescent="0.3">
      <c r="W2787" s="85">
        <v>50541</v>
      </c>
    </row>
    <row r="2788" spans="23:23" x14ac:dyDescent="0.3">
      <c r="W2788" s="85">
        <v>50547</v>
      </c>
    </row>
    <row r="2789" spans="23:23" x14ac:dyDescent="0.3">
      <c r="W2789" s="85">
        <v>50548</v>
      </c>
    </row>
    <row r="2790" spans="23:23" x14ac:dyDescent="0.3">
      <c r="W2790" s="85">
        <v>50554</v>
      </c>
    </row>
    <row r="2791" spans="23:23" x14ac:dyDescent="0.3">
      <c r="W2791" s="85">
        <v>50555</v>
      </c>
    </row>
    <row r="2792" spans="23:23" x14ac:dyDescent="0.3">
      <c r="W2792" s="85">
        <v>50561</v>
      </c>
    </row>
    <row r="2793" spans="23:23" x14ac:dyDescent="0.3">
      <c r="W2793" s="85">
        <v>50562</v>
      </c>
    </row>
    <row r="2794" spans="23:23" x14ac:dyDescent="0.3">
      <c r="W2794" s="85">
        <v>50568</v>
      </c>
    </row>
    <row r="2795" spans="23:23" x14ac:dyDescent="0.3">
      <c r="W2795" s="85">
        <v>50569</v>
      </c>
    </row>
    <row r="2796" spans="23:23" x14ac:dyDescent="0.3">
      <c r="W2796" s="85">
        <v>50575</v>
      </c>
    </row>
    <row r="2797" spans="23:23" x14ac:dyDescent="0.3">
      <c r="W2797" s="85">
        <v>50576</v>
      </c>
    </row>
    <row r="2798" spans="23:23" x14ac:dyDescent="0.3">
      <c r="W2798" s="85">
        <v>50582</v>
      </c>
    </row>
    <row r="2799" spans="23:23" x14ac:dyDescent="0.3">
      <c r="W2799" s="85">
        <v>50583</v>
      </c>
    </row>
    <row r="2800" spans="23:23" x14ac:dyDescent="0.3">
      <c r="W2800" s="85">
        <v>50589</v>
      </c>
    </row>
    <row r="2801" spans="23:23" x14ac:dyDescent="0.3">
      <c r="W2801" s="85">
        <v>50590</v>
      </c>
    </row>
    <row r="2802" spans="23:23" x14ac:dyDescent="0.3">
      <c r="W2802" s="85">
        <v>50596</v>
      </c>
    </row>
    <row r="2803" spans="23:23" x14ac:dyDescent="0.3">
      <c r="W2803" s="85">
        <v>50597</v>
      </c>
    </row>
    <row r="2804" spans="23:23" x14ac:dyDescent="0.3">
      <c r="W2804" s="85">
        <v>50603</v>
      </c>
    </row>
    <row r="2805" spans="23:23" x14ac:dyDescent="0.3">
      <c r="W2805" s="85">
        <v>50604</v>
      </c>
    </row>
    <row r="2806" spans="23:23" x14ac:dyDescent="0.3">
      <c r="W2806" s="85">
        <v>50610</v>
      </c>
    </row>
    <row r="2807" spans="23:23" x14ac:dyDescent="0.3">
      <c r="W2807" s="85">
        <v>50611</v>
      </c>
    </row>
    <row r="2808" spans="23:23" x14ac:dyDescent="0.3">
      <c r="W2808" s="85">
        <v>50617</v>
      </c>
    </row>
    <row r="2809" spans="23:23" x14ac:dyDescent="0.3">
      <c r="W2809" s="85">
        <v>50618</v>
      </c>
    </row>
    <row r="2810" spans="23:23" x14ac:dyDescent="0.3">
      <c r="W2810" s="85">
        <v>50624</v>
      </c>
    </row>
    <row r="2811" spans="23:23" x14ac:dyDescent="0.3">
      <c r="W2811" s="85">
        <v>50625</v>
      </c>
    </row>
    <row r="2812" spans="23:23" x14ac:dyDescent="0.3">
      <c r="W2812" s="85">
        <v>50631</v>
      </c>
    </row>
    <row r="2813" spans="23:23" x14ac:dyDescent="0.3">
      <c r="W2813" s="85">
        <v>50632</v>
      </c>
    </row>
    <row r="2814" spans="23:23" x14ac:dyDescent="0.3">
      <c r="W2814" s="85">
        <v>50638</v>
      </c>
    </row>
    <row r="2815" spans="23:23" x14ac:dyDescent="0.3">
      <c r="W2815" s="85">
        <v>50639</v>
      </c>
    </row>
    <row r="2816" spans="23:23" x14ac:dyDescent="0.3">
      <c r="W2816" s="85">
        <v>50645</v>
      </c>
    </row>
    <row r="2817" spans="23:23" x14ac:dyDescent="0.3">
      <c r="W2817" s="85">
        <v>50646</v>
      </c>
    </row>
    <row r="2818" spans="23:23" x14ac:dyDescent="0.3">
      <c r="W2818" s="85">
        <v>50652</v>
      </c>
    </row>
    <row r="2819" spans="23:23" x14ac:dyDescent="0.3">
      <c r="W2819" s="85">
        <v>50653</v>
      </c>
    </row>
    <row r="2820" spans="23:23" x14ac:dyDescent="0.3">
      <c r="W2820" s="85">
        <v>50659</v>
      </c>
    </row>
    <row r="2821" spans="23:23" x14ac:dyDescent="0.3">
      <c r="W2821" s="85">
        <v>50660</v>
      </c>
    </row>
    <row r="2822" spans="23:23" x14ac:dyDescent="0.3">
      <c r="W2822" s="85">
        <v>50666</v>
      </c>
    </row>
    <row r="2823" spans="23:23" x14ac:dyDescent="0.3">
      <c r="W2823" s="85">
        <v>50667</v>
      </c>
    </row>
    <row r="2824" spans="23:23" x14ac:dyDescent="0.3">
      <c r="W2824" s="85">
        <v>50673</v>
      </c>
    </row>
    <row r="2825" spans="23:23" x14ac:dyDescent="0.3">
      <c r="W2825" s="85">
        <v>50674</v>
      </c>
    </row>
    <row r="2826" spans="23:23" x14ac:dyDescent="0.3">
      <c r="W2826" s="85">
        <v>50680</v>
      </c>
    </row>
    <row r="2827" spans="23:23" x14ac:dyDescent="0.3">
      <c r="W2827" s="85">
        <v>50681</v>
      </c>
    </row>
    <row r="2828" spans="23:23" x14ac:dyDescent="0.3">
      <c r="W2828" s="85">
        <v>50687</v>
      </c>
    </row>
    <row r="2829" spans="23:23" x14ac:dyDescent="0.3">
      <c r="W2829" s="85">
        <v>50688</v>
      </c>
    </row>
    <row r="2830" spans="23:23" x14ac:dyDescent="0.3">
      <c r="W2830" s="85">
        <v>50694</v>
      </c>
    </row>
    <row r="2831" spans="23:23" x14ac:dyDescent="0.3">
      <c r="W2831" s="85">
        <v>50695</v>
      </c>
    </row>
    <row r="2832" spans="23:23" x14ac:dyDescent="0.3">
      <c r="W2832" s="85">
        <v>50701</v>
      </c>
    </row>
    <row r="2833" spans="23:23" x14ac:dyDescent="0.3">
      <c r="W2833" s="85">
        <v>50702</v>
      </c>
    </row>
    <row r="2834" spans="23:23" x14ac:dyDescent="0.3">
      <c r="W2834" s="85">
        <v>50708</v>
      </c>
    </row>
    <row r="2835" spans="23:23" x14ac:dyDescent="0.3">
      <c r="W2835" s="85">
        <v>50709</v>
      </c>
    </row>
    <row r="2836" spans="23:23" x14ac:dyDescent="0.3">
      <c r="W2836" s="85">
        <v>50715</v>
      </c>
    </row>
    <row r="2837" spans="23:23" x14ac:dyDescent="0.3">
      <c r="W2837" s="85">
        <v>50716</v>
      </c>
    </row>
    <row r="2838" spans="23:23" x14ac:dyDescent="0.3">
      <c r="W2838" s="85">
        <v>50722</v>
      </c>
    </row>
    <row r="2839" spans="23:23" x14ac:dyDescent="0.3">
      <c r="W2839" s="85">
        <v>50723</v>
      </c>
    </row>
    <row r="2840" spans="23:23" x14ac:dyDescent="0.3">
      <c r="W2840" s="85">
        <v>50729</v>
      </c>
    </row>
    <row r="2841" spans="23:23" x14ac:dyDescent="0.3">
      <c r="W2841" s="85">
        <v>50730</v>
      </c>
    </row>
    <row r="2842" spans="23:23" x14ac:dyDescent="0.3">
      <c r="W2842" s="85">
        <v>50736</v>
      </c>
    </row>
    <row r="2843" spans="23:23" x14ac:dyDescent="0.3">
      <c r="W2843" s="85">
        <v>50737</v>
      </c>
    </row>
    <row r="2844" spans="23:23" x14ac:dyDescent="0.3">
      <c r="W2844" s="85">
        <v>50743</v>
      </c>
    </row>
    <row r="2845" spans="23:23" x14ac:dyDescent="0.3">
      <c r="W2845" s="85">
        <v>50744</v>
      </c>
    </row>
    <row r="2846" spans="23:23" x14ac:dyDescent="0.3">
      <c r="W2846" s="85">
        <v>50750</v>
      </c>
    </row>
    <row r="2847" spans="23:23" x14ac:dyDescent="0.3">
      <c r="W2847" s="85">
        <v>50751</v>
      </c>
    </row>
    <row r="2848" spans="23:23" x14ac:dyDescent="0.3">
      <c r="W2848" s="85">
        <v>50757</v>
      </c>
    </row>
    <row r="2849" spans="23:23" x14ac:dyDescent="0.3">
      <c r="W2849" s="85">
        <v>50758</v>
      </c>
    </row>
    <row r="2850" spans="23:23" x14ac:dyDescent="0.3">
      <c r="W2850" s="85">
        <v>50764</v>
      </c>
    </row>
    <row r="2851" spans="23:23" x14ac:dyDescent="0.3">
      <c r="W2851" s="85">
        <v>50765</v>
      </c>
    </row>
    <row r="2852" spans="23:23" x14ac:dyDescent="0.3">
      <c r="W2852" s="85">
        <v>50771</v>
      </c>
    </row>
    <row r="2853" spans="23:23" x14ac:dyDescent="0.3">
      <c r="W2853" s="85">
        <v>50772</v>
      </c>
    </row>
    <row r="2854" spans="23:23" x14ac:dyDescent="0.3">
      <c r="W2854" s="85">
        <v>50778</v>
      </c>
    </row>
    <row r="2855" spans="23:23" x14ac:dyDescent="0.3">
      <c r="W2855" s="85">
        <v>50779</v>
      </c>
    </row>
    <row r="2856" spans="23:23" x14ac:dyDescent="0.3">
      <c r="W2856" s="85">
        <v>50785</v>
      </c>
    </row>
    <row r="2857" spans="23:23" x14ac:dyDescent="0.3">
      <c r="W2857" s="85">
        <v>50786</v>
      </c>
    </row>
    <row r="2858" spans="23:23" x14ac:dyDescent="0.3">
      <c r="W2858" s="85">
        <v>50792</v>
      </c>
    </row>
    <row r="2859" spans="23:23" x14ac:dyDescent="0.3">
      <c r="W2859" s="85">
        <v>50793</v>
      </c>
    </row>
    <row r="2860" spans="23:23" x14ac:dyDescent="0.3">
      <c r="W2860" s="85">
        <v>50799</v>
      </c>
    </row>
    <row r="2861" spans="23:23" x14ac:dyDescent="0.3">
      <c r="W2861" s="85">
        <v>50800</v>
      </c>
    </row>
    <row r="2862" spans="23:23" x14ac:dyDescent="0.3">
      <c r="W2862" s="85">
        <v>50806</v>
      </c>
    </row>
    <row r="2863" spans="23:23" x14ac:dyDescent="0.3">
      <c r="W2863" s="85">
        <v>50807</v>
      </c>
    </row>
    <row r="2864" spans="23:23" x14ac:dyDescent="0.3">
      <c r="W2864" s="85">
        <v>50813</v>
      </c>
    </row>
    <row r="2865" spans="23:23" x14ac:dyDescent="0.3">
      <c r="W2865" s="85">
        <v>50814</v>
      </c>
    </row>
    <row r="2866" spans="23:23" x14ac:dyDescent="0.3">
      <c r="W2866" s="85">
        <v>50820</v>
      </c>
    </row>
    <row r="2867" spans="23:23" x14ac:dyDescent="0.3">
      <c r="W2867" s="85">
        <v>50821</v>
      </c>
    </row>
    <row r="2868" spans="23:23" x14ac:dyDescent="0.3">
      <c r="W2868" s="85">
        <v>50827</v>
      </c>
    </row>
    <row r="2869" spans="23:23" x14ac:dyDescent="0.3">
      <c r="W2869" s="85">
        <v>50828</v>
      </c>
    </row>
    <row r="2870" spans="23:23" x14ac:dyDescent="0.3">
      <c r="W2870" s="85">
        <v>50834</v>
      </c>
    </row>
    <row r="2871" spans="23:23" x14ac:dyDescent="0.3">
      <c r="W2871" s="85">
        <v>50835</v>
      </c>
    </row>
    <row r="2872" spans="23:23" x14ac:dyDescent="0.3">
      <c r="W2872" s="85">
        <v>50841</v>
      </c>
    </row>
    <row r="2873" spans="23:23" x14ac:dyDescent="0.3">
      <c r="W2873" s="85">
        <v>50842</v>
      </c>
    </row>
    <row r="2874" spans="23:23" x14ac:dyDescent="0.3">
      <c r="W2874" s="85">
        <v>50848</v>
      </c>
    </row>
    <row r="2875" spans="23:23" x14ac:dyDescent="0.3">
      <c r="W2875" s="85">
        <v>50849</v>
      </c>
    </row>
    <row r="2876" spans="23:23" x14ac:dyDescent="0.3">
      <c r="W2876" s="85">
        <v>50855</v>
      </c>
    </row>
    <row r="2877" spans="23:23" x14ac:dyDescent="0.3">
      <c r="W2877" s="85">
        <v>50856</v>
      </c>
    </row>
    <row r="2878" spans="23:23" x14ac:dyDescent="0.3">
      <c r="W2878" s="85">
        <v>50862</v>
      </c>
    </row>
    <row r="2879" spans="23:23" x14ac:dyDescent="0.3">
      <c r="W2879" s="85">
        <v>50863</v>
      </c>
    </row>
    <row r="2880" spans="23:23" x14ac:dyDescent="0.3">
      <c r="W2880" s="85">
        <v>50868</v>
      </c>
    </row>
    <row r="2881" spans="23:23" x14ac:dyDescent="0.3">
      <c r="W2881" s="85">
        <v>50869</v>
      </c>
    </row>
    <row r="2882" spans="23:23" x14ac:dyDescent="0.3">
      <c r="W2882" s="85">
        <v>50870</v>
      </c>
    </row>
    <row r="2883" spans="23:23" x14ac:dyDescent="0.3">
      <c r="W2883" s="85">
        <v>50871</v>
      </c>
    </row>
    <row r="2884" spans="23:23" x14ac:dyDescent="0.3">
      <c r="W2884" s="85">
        <v>50876</v>
      </c>
    </row>
    <row r="2885" spans="23:23" x14ac:dyDescent="0.3">
      <c r="W2885" s="85">
        <v>50877</v>
      </c>
    </row>
    <row r="2886" spans="23:23" x14ac:dyDescent="0.3">
      <c r="W2886" s="85">
        <v>50883</v>
      </c>
    </row>
    <row r="2887" spans="23:23" x14ac:dyDescent="0.3">
      <c r="W2887" s="85">
        <v>50884</v>
      </c>
    </row>
    <row r="2888" spans="23:23" x14ac:dyDescent="0.3">
      <c r="W2888" s="85">
        <v>50890</v>
      </c>
    </row>
    <row r="2889" spans="23:23" x14ac:dyDescent="0.3">
      <c r="W2889" s="85">
        <v>50891</v>
      </c>
    </row>
    <row r="2890" spans="23:23" x14ac:dyDescent="0.3">
      <c r="W2890" s="85">
        <v>50897</v>
      </c>
    </row>
    <row r="2891" spans="23:23" x14ac:dyDescent="0.3">
      <c r="W2891" s="85">
        <v>50898</v>
      </c>
    </row>
    <row r="2892" spans="23:23" x14ac:dyDescent="0.3">
      <c r="W2892" s="85">
        <v>50904</v>
      </c>
    </row>
    <row r="2893" spans="23:23" x14ac:dyDescent="0.3">
      <c r="W2893" s="85">
        <v>50905</v>
      </c>
    </row>
    <row r="2894" spans="23:23" x14ac:dyDescent="0.3">
      <c r="W2894" s="85">
        <v>50911</v>
      </c>
    </row>
    <row r="2895" spans="23:23" x14ac:dyDescent="0.3">
      <c r="W2895" s="85">
        <v>50912</v>
      </c>
    </row>
    <row r="2896" spans="23:23" x14ac:dyDescent="0.3">
      <c r="W2896" s="85">
        <v>50918</v>
      </c>
    </row>
    <row r="2897" spans="23:23" x14ac:dyDescent="0.3">
      <c r="W2897" s="85">
        <v>50919</v>
      </c>
    </row>
    <row r="2898" spans="23:23" x14ac:dyDescent="0.3">
      <c r="W2898" s="85">
        <v>50925</v>
      </c>
    </row>
    <row r="2899" spans="23:23" x14ac:dyDescent="0.3">
      <c r="W2899" s="85">
        <v>50926</v>
      </c>
    </row>
    <row r="2900" spans="23:23" x14ac:dyDescent="0.3">
      <c r="W2900" s="85">
        <v>50932</v>
      </c>
    </row>
    <row r="2901" spans="23:23" x14ac:dyDescent="0.3">
      <c r="W2901" s="85">
        <v>50933</v>
      </c>
    </row>
    <row r="2902" spans="23:23" x14ac:dyDescent="0.3">
      <c r="W2902" s="85">
        <v>50939</v>
      </c>
    </row>
    <row r="2903" spans="23:23" x14ac:dyDescent="0.3">
      <c r="W2903" s="85">
        <v>50940</v>
      </c>
    </row>
    <row r="2904" spans="23:23" x14ac:dyDescent="0.3">
      <c r="W2904" s="85">
        <v>50946</v>
      </c>
    </row>
    <row r="2905" spans="23:23" x14ac:dyDescent="0.3">
      <c r="W2905" s="85">
        <v>50947</v>
      </c>
    </row>
    <row r="2906" spans="23:23" x14ac:dyDescent="0.3">
      <c r="W2906" s="85">
        <v>50953</v>
      </c>
    </row>
    <row r="2907" spans="23:23" x14ac:dyDescent="0.3">
      <c r="W2907" s="85">
        <v>50954</v>
      </c>
    </row>
    <row r="2908" spans="23:23" x14ac:dyDescent="0.3">
      <c r="W2908" s="85">
        <v>50960</v>
      </c>
    </row>
    <row r="2909" spans="23:23" x14ac:dyDescent="0.3">
      <c r="W2909" s="85">
        <v>50961</v>
      </c>
    </row>
    <row r="2910" spans="23:23" x14ac:dyDescent="0.3">
      <c r="W2910" s="85">
        <v>50967</v>
      </c>
    </row>
    <row r="2911" spans="23:23" x14ac:dyDescent="0.3">
      <c r="W2911" s="85">
        <v>50968</v>
      </c>
    </row>
    <row r="2912" spans="23:23" x14ac:dyDescent="0.3">
      <c r="W2912" s="85">
        <v>50974</v>
      </c>
    </row>
    <row r="2913" spans="23:23" x14ac:dyDescent="0.3">
      <c r="W2913" s="85">
        <v>50975</v>
      </c>
    </row>
    <row r="2914" spans="23:23" x14ac:dyDescent="0.3">
      <c r="W2914" s="85">
        <v>50981</v>
      </c>
    </row>
    <row r="2915" spans="23:23" x14ac:dyDescent="0.3">
      <c r="W2915" s="85">
        <v>50982</v>
      </c>
    </row>
    <row r="2916" spans="23:23" x14ac:dyDescent="0.3">
      <c r="W2916" s="85">
        <v>50988</v>
      </c>
    </row>
    <row r="2917" spans="23:23" x14ac:dyDescent="0.3">
      <c r="W2917" s="85">
        <v>50989</v>
      </c>
    </row>
    <row r="2918" spans="23:23" x14ac:dyDescent="0.3">
      <c r="W2918" s="85">
        <v>50995</v>
      </c>
    </row>
    <row r="2919" spans="23:23" x14ac:dyDescent="0.3">
      <c r="W2919" s="85">
        <v>50996</v>
      </c>
    </row>
    <row r="2920" spans="23:23" x14ac:dyDescent="0.3">
      <c r="W2920" s="85">
        <v>51002</v>
      </c>
    </row>
    <row r="2921" spans="23:23" x14ac:dyDescent="0.3">
      <c r="W2921" s="85">
        <v>51003</v>
      </c>
    </row>
    <row r="2922" spans="23:23" x14ac:dyDescent="0.3">
      <c r="W2922" s="85">
        <v>51009</v>
      </c>
    </row>
    <row r="2923" spans="23:23" x14ac:dyDescent="0.3">
      <c r="W2923" s="85">
        <v>51010</v>
      </c>
    </row>
    <row r="2924" spans="23:23" x14ac:dyDescent="0.3">
      <c r="W2924" s="85">
        <v>51016</v>
      </c>
    </row>
    <row r="2925" spans="23:23" x14ac:dyDescent="0.3">
      <c r="W2925" s="85">
        <v>51017</v>
      </c>
    </row>
    <row r="2926" spans="23:23" x14ac:dyDescent="0.3">
      <c r="W2926" s="85">
        <v>51023</v>
      </c>
    </row>
    <row r="2927" spans="23:23" x14ac:dyDescent="0.3">
      <c r="W2927" s="85">
        <v>51024</v>
      </c>
    </row>
    <row r="2928" spans="23:23" x14ac:dyDescent="0.3">
      <c r="W2928" s="85">
        <v>51030</v>
      </c>
    </row>
    <row r="2929" spans="23:23" x14ac:dyDescent="0.3">
      <c r="W2929" s="85">
        <v>51031</v>
      </c>
    </row>
    <row r="2930" spans="23:23" x14ac:dyDescent="0.3">
      <c r="W2930" s="85">
        <v>51037</v>
      </c>
    </row>
    <row r="2931" spans="23:23" x14ac:dyDescent="0.3">
      <c r="W2931" s="85">
        <v>51038</v>
      </c>
    </row>
    <row r="2932" spans="23:23" x14ac:dyDescent="0.3">
      <c r="W2932" s="85">
        <v>51044</v>
      </c>
    </row>
    <row r="2933" spans="23:23" x14ac:dyDescent="0.3">
      <c r="W2933" s="85">
        <v>51045</v>
      </c>
    </row>
    <row r="2934" spans="23:23" x14ac:dyDescent="0.3">
      <c r="W2934" s="85">
        <v>51051</v>
      </c>
    </row>
    <row r="2935" spans="23:23" x14ac:dyDescent="0.3">
      <c r="W2935" s="85">
        <v>51052</v>
      </c>
    </row>
    <row r="2936" spans="23:23" x14ac:dyDescent="0.3">
      <c r="W2936" s="85">
        <v>51058</v>
      </c>
    </row>
    <row r="2937" spans="23:23" x14ac:dyDescent="0.3">
      <c r="W2937" s="85">
        <v>51059</v>
      </c>
    </row>
    <row r="2938" spans="23:23" x14ac:dyDescent="0.3">
      <c r="W2938" s="85">
        <v>51065</v>
      </c>
    </row>
    <row r="2939" spans="23:23" x14ac:dyDescent="0.3">
      <c r="W2939" s="85">
        <v>51066</v>
      </c>
    </row>
    <row r="2940" spans="23:23" x14ac:dyDescent="0.3">
      <c r="W2940" s="85">
        <v>51072</v>
      </c>
    </row>
    <row r="2941" spans="23:23" x14ac:dyDescent="0.3">
      <c r="W2941" s="85">
        <v>51073</v>
      </c>
    </row>
    <row r="2942" spans="23:23" x14ac:dyDescent="0.3">
      <c r="W2942" s="85">
        <v>51079</v>
      </c>
    </row>
    <row r="2943" spans="23:23" x14ac:dyDescent="0.3">
      <c r="W2943" s="85">
        <v>51080</v>
      </c>
    </row>
    <row r="2944" spans="23:23" x14ac:dyDescent="0.3">
      <c r="W2944" s="85">
        <v>51086</v>
      </c>
    </row>
    <row r="2945" spans="23:23" x14ac:dyDescent="0.3">
      <c r="W2945" s="85">
        <v>51087</v>
      </c>
    </row>
    <row r="2946" spans="23:23" x14ac:dyDescent="0.3">
      <c r="W2946" s="85">
        <v>51093</v>
      </c>
    </row>
    <row r="2947" spans="23:23" x14ac:dyDescent="0.3">
      <c r="W2947" s="85">
        <v>51094</v>
      </c>
    </row>
    <row r="2948" spans="23:23" x14ac:dyDescent="0.3">
      <c r="W2948" s="85">
        <v>51100</v>
      </c>
    </row>
    <row r="2949" spans="23:23" x14ac:dyDescent="0.3">
      <c r="W2949" s="85">
        <v>51101</v>
      </c>
    </row>
    <row r="2950" spans="23:23" x14ac:dyDescent="0.3">
      <c r="W2950" s="85">
        <v>51107</v>
      </c>
    </row>
    <row r="2951" spans="23:23" x14ac:dyDescent="0.3">
      <c r="W2951" s="85">
        <v>51108</v>
      </c>
    </row>
    <row r="2952" spans="23:23" x14ac:dyDescent="0.3">
      <c r="W2952" s="85">
        <v>51114</v>
      </c>
    </row>
    <row r="2953" spans="23:23" x14ac:dyDescent="0.3">
      <c r="W2953" s="85">
        <v>51115</v>
      </c>
    </row>
    <row r="2954" spans="23:23" x14ac:dyDescent="0.3">
      <c r="W2954" s="85">
        <v>51121</v>
      </c>
    </row>
    <row r="2955" spans="23:23" x14ac:dyDescent="0.3">
      <c r="W2955" s="85">
        <v>51122</v>
      </c>
    </row>
    <row r="2956" spans="23:23" x14ac:dyDescent="0.3">
      <c r="W2956" s="85">
        <v>51128</v>
      </c>
    </row>
    <row r="2957" spans="23:23" x14ac:dyDescent="0.3">
      <c r="W2957" s="85">
        <v>51129</v>
      </c>
    </row>
    <row r="2958" spans="23:23" x14ac:dyDescent="0.3">
      <c r="W2958" s="85">
        <v>51130</v>
      </c>
    </row>
    <row r="2959" spans="23:23" x14ac:dyDescent="0.3">
      <c r="W2959" s="85">
        <v>51135</v>
      </c>
    </row>
    <row r="2960" spans="23:23" x14ac:dyDescent="0.3">
      <c r="W2960" s="85">
        <v>51136</v>
      </c>
    </row>
    <row r="2961" spans="23:23" x14ac:dyDescent="0.3">
      <c r="W2961" s="85">
        <v>51142</v>
      </c>
    </row>
    <row r="2962" spans="23:23" x14ac:dyDescent="0.3">
      <c r="W2962" s="85">
        <v>51143</v>
      </c>
    </row>
    <row r="2963" spans="23:23" x14ac:dyDescent="0.3">
      <c r="W2963" s="85">
        <v>51149</v>
      </c>
    </row>
    <row r="2964" spans="23:23" x14ac:dyDescent="0.3">
      <c r="W2964" s="85">
        <v>51150</v>
      </c>
    </row>
    <row r="2965" spans="23:23" x14ac:dyDescent="0.3">
      <c r="W2965" s="85">
        <v>51156</v>
      </c>
    </row>
    <row r="2966" spans="23:23" x14ac:dyDescent="0.3">
      <c r="W2966" s="85">
        <v>51157</v>
      </c>
    </row>
    <row r="2967" spans="23:23" x14ac:dyDescent="0.3">
      <c r="W2967" s="85">
        <v>51163</v>
      </c>
    </row>
    <row r="2968" spans="23:23" x14ac:dyDescent="0.3">
      <c r="W2968" s="85">
        <v>51164</v>
      </c>
    </row>
    <row r="2969" spans="23:23" x14ac:dyDescent="0.3">
      <c r="W2969" s="85">
        <v>51170</v>
      </c>
    </row>
    <row r="2970" spans="23:23" x14ac:dyDescent="0.3">
      <c r="W2970" s="85">
        <v>51171</v>
      </c>
    </row>
    <row r="2971" spans="23:23" x14ac:dyDescent="0.3">
      <c r="W2971" s="85">
        <v>51177</v>
      </c>
    </row>
    <row r="2972" spans="23:23" x14ac:dyDescent="0.3">
      <c r="W2972" s="85">
        <v>51178</v>
      </c>
    </row>
    <row r="2973" spans="23:23" x14ac:dyDescent="0.3">
      <c r="W2973" s="85">
        <v>51184</v>
      </c>
    </row>
    <row r="2974" spans="23:23" x14ac:dyDescent="0.3">
      <c r="W2974" s="85">
        <v>51185</v>
      </c>
    </row>
    <row r="2975" spans="23:23" x14ac:dyDescent="0.3">
      <c r="W2975" s="85">
        <v>51191</v>
      </c>
    </row>
    <row r="2976" spans="23:23" x14ac:dyDescent="0.3">
      <c r="W2976" s="85">
        <v>51192</v>
      </c>
    </row>
    <row r="2977" spans="23:23" x14ac:dyDescent="0.3">
      <c r="W2977" s="85">
        <v>51198</v>
      </c>
    </row>
    <row r="2978" spans="23:23" x14ac:dyDescent="0.3">
      <c r="W2978" s="85">
        <v>51199</v>
      </c>
    </row>
    <row r="2979" spans="23:23" x14ac:dyDescent="0.3">
      <c r="W2979" s="85">
        <v>51205</v>
      </c>
    </row>
    <row r="2980" spans="23:23" x14ac:dyDescent="0.3">
      <c r="W2980" s="85">
        <v>51206</v>
      </c>
    </row>
    <row r="2981" spans="23:23" x14ac:dyDescent="0.3">
      <c r="W2981" s="85">
        <v>51212</v>
      </c>
    </row>
    <row r="2982" spans="23:23" x14ac:dyDescent="0.3">
      <c r="W2982" s="85">
        <v>51213</v>
      </c>
    </row>
    <row r="2983" spans="23:23" x14ac:dyDescent="0.3">
      <c r="W2983" s="85">
        <v>51219</v>
      </c>
    </row>
    <row r="2984" spans="23:23" x14ac:dyDescent="0.3">
      <c r="W2984" s="85">
        <v>51220</v>
      </c>
    </row>
    <row r="2985" spans="23:23" x14ac:dyDescent="0.3">
      <c r="W2985" s="85">
        <v>51225</v>
      </c>
    </row>
    <row r="2986" spans="23:23" x14ac:dyDescent="0.3">
      <c r="W2986" s="85">
        <v>51226</v>
      </c>
    </row>
    <row r="2987" spans="23:23" x14ac:dyDescent="0.3">
      <c r="W2987" s="85">
        <v>51227</v>
      </c>
    </row>
    <row r="2988" spans="23:23" x14ac:dyDescent="0.3">
      <c r="W2988" s="85">
        <v>51228</v>
      </c>
    </row>
    <row r="2989" spans="23:23" x14ac:dyDescent="0.3">
      <c r="W2989" s="85">
        <v>51233</v>
      </c>
    </row>
    <row r="2990" spans="23:23" x14ac:dyDescent="0.3">
      <c r="W2990" s="85">
        <v>51234</v>
      </c>
    </row>
    <row r="2991" spans="23:23" x14ac:dyDescent="0.3">
      <c r="W2991" s="85">
        <v>51240</v>
      </c>
    </row>
    <row r="2992" spans="23:23" x14ac:dyDescent="0.3">
      <c r="W2992" s="85">
        <v>51241</v>
      </c>
    </row>
    <row r="2993" spans="23:23" x14ac:dyDescent="0.3">
      <c r="W2993" s="85">
        <v>51247</v>
      </c>
    </row>
    <row r="2994" spans="23:23" x14ac:dyDescent="0.3">
      <c r="W2994" s="85">
        <v>51248</v>
      </c>
    </row>
    <row r="2995" spans="23:23" x14ac:dyDescent="0.3">
      <c r="W2995" s="85">
        <v>51254</v>
      </c>
    </row>
    <row r="2996" spans="23:23" x14ac:dyDescent="0.3">
      <c r="W2996" s="85">
        <v>51255</v>
      </c>
    </row>
    <row r="2997" spans="23:23" x14ac:dyDescent="0.3">
      <c r="W2997" s="85">
        <v>51257</v>
      </c>
    </row>
    <row r="2998" spans="23:23" x14ac:dyDescent="0.3">
      <c r="W2998" s="85">
        <v>51261</v>
      </c>
    </row>
    <row r="2999" spans="23:23" x14ac:dyDescent="0.3">
      <c r="W2999" s="85">
        <v>51262</v>
      </c>
    </row>
    <row r="3000" spans="23:23" x14ac:dyDescent="0.3">
      <c r="W3000" s="85">
        <v>51268</v>
      </c>
    </row>
    <row r="3001" spans="23:23" x14ac:dyDescent="0.3">
      <c r="W3001" s="85">
        <v>51269</v>
      </c>
    </row>
    <row r="3002" spans="23:23" x14ac:dyDescent="0.3">
      <c r="W3002" s="85">
        <v>51275</v>
      </c>
    </row>
    <row r="3003" spans="23:23" x14ac:dyDescent="0.3">
      <c r="W3003" s="85">
        <v>51276</v>
      </c>
    </row>
    <row r="3004" spans="23:23" x14ac:dyDescent="0.3">
      <c r="W3004" s="85">
        <v>51282</v>
      </c>
    </row>
    <row r="3005" spans="23:23" x14ac:dyDescent="0.3">
      <c r="W3005" s="85">
        <v>51283</v>
      </c>
    </row>
    <row r="3006" spans="23:23" x14ac:dyDescent="0.3">
      <c r="W3006" s="85">
        <v>51289</v>
      </c>
    </row>
    <row r="3007" spans="23:23" x14ac:dyDescent="0.3">
      <c r="W3007" s="85">
        <v>51290</v>
      </c>
    </row>
    <row r="3008" spans="23:23" x14ac:dyDescent="0.3">
      <c r="W3008" s="85">
        <v>51296</v>
      </c>
    </row>
    <row r="3009" spans="23:23" x14ac:dyDescent="0.3">
      <c r="W3009" s="85">
        <v>51297</v>
      </c>
    </row>
    <row r="3010" spans="23:23" x14ac:dyDescent="0.3">
      <c r="W3010" s="85">
        <v>51303</v>
      </c>
    </row>
    <row r="3011" spans="23:23" x14ac:dyDescent="0.3">
      <c r="W3011" s="85">
        <v>51304</v>
      </c>
    </row>
    <row r="3012" spans="23:23" x14ac:dyDescent="0.3">
      <c r="W3012" s="85">
        <v>51310</v>
      </c>
    </row>
    <row r="3013" spans="23:23" x14ac:dyDescent="0.3">
      <c r="W3013" s="85">
        <v>51311</v>
      </c>
    </row>
    <row r="3014" spans="23:23" x14ac:dyDescent="0.3">
      <c r="W3014" s="85">
        <v>51317</v>
      </c>
    </row>
    <row r="3015" spans="23:23" x14ac:dyDescent="0.3">
      <c r="W3015" s="85">
        <v>51318</v>
      </c>
    </row>
    <row r="3016" spans="23:23" x14ac:dyDescent="0.3">
      <c r="W3016" s="85">
        <v>51324</v>
      </c>
    </row>
    <row r="3017" spans="23:23" x14ac:dyDescent="0.3">
      <c r="W3017" s="85">
        <v>51325</v>
      </c>
    </row>
    <row r="3018" spans="23:23" x14ac:dyDescent="0.3">
      <c r="W3018" s="85">
        <v>51331</v>
      </c>
    </row>
    <row r="3019" spans="23:23" x14ac:dyDescent="0.3">
      <c r="W3019" s="85">
        <v>51332</v>
      </c>
    </row>
    <row r="3020" spans="23:23" x14ac:dyDescent="0.3">
      <c r="W3020" s="85">
        <v>51338</v>
      </c>
    </row>
    <row r="3021" spans="23:23" x14ac:dyDescent="0.3">
      <c r="W3021" s="85">
        <v>51339</v>
      </c>
    </row>
    <row r="3022" spans="23:23" x14ac:dyDescent="0.3">
      <c r="W3022" s="85">
        <v>51345</v>
      </c>
    </row>
    <row r="3023" spans="23:23" x14ac:dyDescent="0.3">
      <c r="W3023" s="85">
        <v>51346</v>
      </c>
    </row>
    <row r="3024" spans="23:23" x14ac:dyDescent="0.3">
      <c r="W3024" s="85">
        <v>51352</v>
      </c>
    </row>
    <row r="3025" spans="23:23" x14ac:dyDescent="0.3">
      <c r="W3025" s="85">
        <v>51353</v>
      </c>
    </row>
    <row r="3026" spans="23:23" x14ac:dyDescent="0.3">
      <c r="W3026" s="85">
        <v>51359</v>
      </c>
    </row>
    <row r="3027" spans="23:23" x14ac:dyDescent="0.3">
      <c r="W3027" s="85">
        <v>51360</v>
      </c>
    </row>
    <row r="3028" spans="23:23" x14ac:dyDescent="0.3">
      <c r="W3028" s="85">
        <v>51366</v>
      </c>
    </row>
    <row r="3029" spans="23:23" x14ac:dyDescent="0.3">
      <c r="W3029" s="85">
        <v>51367</v>
      </c>
    </row>
    <row r="3030" spans="23:23" x14ac:dyDescent="0.3">
      <c r="W3030" s="85">
        <v>51373</v>
      </c>
    </row>
    <row r="3031" spans="23:23" x14ac:dyDescent="0.3">
      <c r="W3031" s="85">
        <v>51374</v>
      </c>
    </row>
    <row r="3032" spans="23:23" x14ac:dyDescent="0.3">
      <c r="W3032" s="85">
        <v>51380</v>
      </c>
    </row>
    <row r="3033" spans="23:23" x14ac:dyDescent="0.3">
      <c r="W3033" s="85">
        <v>51381</v>
      </c>
    </row>
    <row r="3034" spans="23:23" x14ac:dyDescent="0.3">
      <c r="W3034" s="85">
        <v>51387</v>
      </c>
    </row>
    <row r="3035" spans="23:23" x14ac:dyDescent="0.3">
      <c r="W3035" s="85">
        <v>51388</v>
      </c>
    </row>
    <row r="3036" spans="23:23" x14ac:dyDescent="0.3">
      <c r="W3036" s="85">
        <v>51394</v>
      </c>
    </row>
    <row r="3037" spans="23:23" x14ac:dyDescent="0.3">
      <c r="W3037" s="85">
        <v>51395</v>
      </c>
    </row>
    <row r="3038" spans="23:23" x14ac:dyDescent="0.3">
      <c r="W3038" s="85">
        <v>51401</v>
      </c>
    </row>
    <row r="3039" spans="23:23" x14ac:dyDescent="0.3">
      <c r="W3039" s="85">
        <v>51402</v>
      </c>
    </row>
    <row r="3040" spans="23:23" x14ac:dyDescent="0.3">
      <c r="W3040" s="85">
        <v>51408</v>
      </c>
    </row>
    <row r="3041" spans="23:23" x14ac:dyDescent="0.3">
      <c r="W3041" s="85">
        <v>51409</v>
      </c>
    </row>
    <row r="3042" spans="23:23" x14ac:dyDescent="0.3">
      <c r="W3042" s="85">
        <v>51415</v>
      </c>
    </row>
    <row r="3043" spans="23:23" x14ac:dyDescent="0.3">
      <c r="W3043" s="85">
        <v>51416</v>
      </c>
    </row>
    <row r="3044" spans="23:23" x14ac:dyDescent="0.3">
      <c r="W3044" s="85">
        <v>51422</v>
      </c>
    </row>
    <row r="3045" spans="23:23" x14ac:dyDescent="0.3">
      <c r="W3045" s="85">
        <v>51423</v>
      </c>
    </row>
    <row r="3046" spans="23:23" x14ac:dyDescent="0.3">
      <c r="W3046" s="85">
        <v>51429</v>
      </c>
    </row>
    <row r="3047" spans="23:23" x14ac:dyDescent="0.3">
      <c r="W3047" s="85">
        <v>51430</v>
      </c>
    </row>
    <row r="3048" spans="23:23" x14ac:dyDescent="0.3">
      <c r="W3048" s="85">
        <v>51436</v>
      </c>
    </row>
    <row r="3049" spans="23:23" x14ac:dyDescent="0.3">
      <c r="W3049" s="85">
        <v>51437</v>
      </c>
    </row>
    <row r="3050" spans="23:23" x14ac:dyDescent="0.3">
      <c r="W3050" s="85">
        <v>51443</v>
      </c>
    </row>
    <row r="3051" spans="23:23" x14ac:dyDescent="0.3">
      <c r="W3051" s="85">
        <v>51444</v>
      </c>
    </row>
    <row r="3052" spans="23:23" x14ac:dyDescent="0.3">
      <c r="W3052" s="85">
        <v>51450</v>
      </c>
    </row>
    <row r="3053" spans="23:23" x14ac:dyDescent="0.3">
      <c r="W3053" s="85">
        <v>51451</v>
      </c>
    </row>
    <row r="3054" spans="23:23" x14ac:dyDescent="0.3">
      <c r="W3054" s="85">
        <v>51457</v>
      </c>
    </row>
    <row r="3055" spans="23:23" x14ac:dyDescent="0.3">
      <c r="W3055" s="85">
        <v>51458</v>
      </c>
    </row>
    <row r="3056" spans="23:23" x14ac:dyDescent="0.3">
      <c r="W3056" s="85">
        <v>51464</v>
      </c>
    </row>
    <row r="3057" spans="23:23" x14ac:dyDescent="0.3">
      <c r="W3057" s="85">
        <v>51465</v>
      </c>
    </row>
    <row r="3058" spans="23:23" x14ac:dyDescent="0.3">
      <c r="W3058" s="85">
        <v>51471</v>
      </c>
    </row>
    <row r="3059" spans="23:23" x14ac:dyDescent="0.3">
      <c r="W3059" s="85">
        <v>51472</v>
      </c>
    </row>
    <row r="3060" spans="23:23" x14ac:dyDescent="0.3">
      <c r="W3060" s="85">
        <v>51478</v>
      </c>
    </row>
    <row r="3061" spans="23:23" x14ac:dyDescent="0.3">
      <c r="W3061" s="85">
        <v>51479</v>
      </c>
    </row>
    <row r="3062" spans="23:23" x14ac:dyDescent="0.3">
      <c r="W3062" s="85">
        <v>51485</v>
      </c>
    </row>
    <row r="3063" spans="23:23" x14ac:dyDescent="0.3">
      <c r="W3063" s="85">
        <v>51486</v>
      </c>
    </row>
    <row r="3064" spans="23:23" x14ac:dyDescent="0.3">
      <c r="W3064" s="85">
        <v>51492</v>
      </c>
    </row>
    <row r="3065" spans="23:23" x14ac:dyDescent="0.3">
      <c r="W3065" s="85">
        <v>51493</v>
      </c>
    </row>
    <row r="3066" spans="23:23" x14ac:dyDescent="0.3">
      <c r="W3066" s="85">
        <v>51495</v>
      </c>
    </row>
    <row r="3067" spans="23:23" x14ac:dyDescent="0.3">
      <c r="W3067" s="85">
        <v>51496</v>
      </c>
    </row>
    <row r="3068" spans="23:23" x14ac:dyDescent="0.3">
      <c r="W3068" s="85">
        <v>51499</v>
      </c>
    </row>
    <row r="3069" spans="23:23" x14ac:dyDescent="0.3">
      <c r="W3069" s="85">
        <v>51500</v>
      </c>
    </row>
    <row r="3070" spans="23:23" x14ac:dyDescent="0.3">
      <c r="W3070" s="85">
        <v>51502</v>
      </c>
    </row>
    <row r="3071" spans="23:23" x14ac:dyDescent="0.3">
      <c r="W3071" s="85">
        <v>51506</v>
      </c>
    </row>
    <row r="3072" spans="23:23" x14ac:dyDescent="0.3">
      <c r="W3072" s="85">
        <v>51507</v>
      </c>
    </row>
    <row r="3073" spans="23:23" x14ac:dyDescent="0.3">
      <c r="W3073" s="85">
        <v>51513</v>
      </c>
    </row>
    <row r="3074" spans="23:23" x14ac:dyDescent="0.3">
      <c r="W3074" s="85">
        <v>51514</v>
      </c>
    </row>
    <row r="3075" spans="23:23" x14ac:dyDescent="0.3">
      <c r="W3075" s="85">
        <v>51520</v>
      </c>
    </row>
    <row r="3076" spans="23:23" x14ac:dyDescent="0.3">
      <c r="W3076" s="85">
        <v>51521</v>
      </c>
    </row>
    <row r="3077" spans="23:23" x14ac:dyDescent="0.3">
      <c r="W3077" s="85">
        <v>51527</v>
      </c>
    </row>
    <row r="3078" spans="23:23" x14ac:dyDescent="0.3">
      <c r="W3078" s="85">
        <v>51528</v>
      </c>
    </row>
    <row r="3079" spans="23:23" x14ac:dyDescent="0.3">
      <c r="W3079" s="85">
        <v>51534</v>
      </c>
    </row>
    <row r="3080" spans="23:23" x14ac:dyDescent="0.3">
      <c r="W3080" s="85">
        <v>51535</v>
      </c>
    </row>
    <row r="3081" spans="23:23" x14ac:dyDescent="0.3">
      <c r="W3081" s="85">
        <v>51541</v>
      </c>
    </row>
    <row r="3082" spans="23:23" x14ac:dyDescent="0.3">
      <c r="W3082" s="85">
        <v>51542</v>
      </c>
    </row>
    <row r="3083" spans="23:23" x14ac:dyDescent="0.3">
      <c r="W3083" s="85">
        <v>51548</v>
      </c>
    </row>
    <row r="3084" spans="23:23" x14ac:dyDescent="0.3">
      <c r="W3084" s="85">
        <v>51549</v>
      </c>
    </row>
    <row r="3085" spans="23:23" x14ac:dyDescent="0.3">
      <c r="W3085" s="85">
        <v>51555</v>
      </c>
    </row>
    <row r="3086" spans="23:23" x14ac:dyDescent="0.3">
      <c r="W3086" s="85">
        <v>51556</v>
      </c>
    </row>
    <row r="3087" spans="23:23" x14ac:dyDescent="0.3">
      <c r="W3087" s="85">
        <v>51562</v>
      </c>
    </row>
    <row r="3088" spans="23:23" x14ac:dyDescent="0.3">
      <c r="W3088" s="85">
        <v>51563</v>
      </c>
    </row>
    <row r="3089" spans="23:23" x14ac:dyDescent="0.3">
      <c r="W3089" s="85">
        <v>51569</v>
      </c>
    </row>
    <row r="3090" spans="23:23" x14ac:dyDescent="0.3">
      <c r="W3090" s="85">
        <v>51570</v>
      </c>
    </row>
    <row r="3091" spans="23:23" x14ac:dyDescent="0.3">
      <c r="W3091" s="85">
        <v>51576</v>
      </c>
    </row>
    <row r="3092" spans="23:23" x14ac:dyDescent="0.3">
      <c r="W3092" s="85">
        <v>51577</v>
      </c>
    </row>
    <row r="3093" spans="23:23" x14ac:dyDescent="0.3">
      <c r="W3093" s="85">
        <v>51583</v>
      </c>
    </row>
    <row r="3094" spans="23:23" x14ac:dyDescent="0.3">
      <c r="W3094" s="85">
        <v>51584</v>
      </c>
    </row>
    <row r="3095" spans="23:23" x14ac:dyDescent="0.3">
      <c r="W3095" s="85">
        <v>51590</v>
      </c>
    </row>
    <row r="3096" spans="23:23" x14ac:dyDescent="0.3">
      <c r="W3096" s="85">
        <v>51591</v>
      </c>
    </row>
    <row r="3097" spans="23:23" x14ac:dyDescent="0.3">
      <c r="W3097" s="85">
        <v>51597</v>
      </c>
    </row>
    <row r="3098" spans="23:23" x14ac:dyDescent="0.3">
      <c r="W3098" s="85">
        <v>51598</v>
      </c>
    </row>
    <row r="3099" spans="23:23" x14ac:dyDescent="0.3">
      <c r="W3099" s="85">
        <v>51604</v>
      </c>
    </row>
    <row r="3100" spans="23:23" x14ac:dyDescent="0.3">
      <c r="W3100" s="85">
        <v>51605</v>
      </c>
    </row>
    <row r="3101" spans="23:23" x14ac:dyDescent="0.3">
      <c r="W3101" s="85">
        <v>51610</v>
      </c>
    </row>
    <row r="3102" spans="23:23" x14ac:dyDescent="0.3">
      <c r="W3102" s="85">
        <v>51611</v>
      </c>
    </row>
    <row r="3103" spans="23:23" x14ac:dyDescent="0.3">
      <c r="W3103" s="85">
        <v>51612</v>
      </c>
    </row>
    <row r="3104" spans="23:23" x14ac:dyDescent="0.3">
      <c r="W3104" s="85">
        <v>51613</v>
      </c>
    </row>
    <row r="3105" spans="23:23" x14ac:dyDescent="0.3">
      <c r="W3105" s="85">
        <v>51618</v>
      </c>
    </row>
    <row r="3106" spans="23:23" x14ac:dyDescent="0.3">
      <c r="W3106" s="85">
        <v>51619</v>
      </c>
    </row>
    <row r="3107" spans="23:23" x14ac:dyDescent="0.3">
      <c r="W3107" s="85">
        <v>51622</v>
      </c>
    </row>
    <row r="3108" spans="23:23" x14ac:dyDescent="0.3">
      <c r="W3108" s="85">
        <v>51625</v>
      </c>
    </row>
    <row r="3109" spans="23:23" x14ac:dyDescent="0.3">
      <c r="W3109" s="85">
        <v>51626</v>
      </c>
    </row>
    <row r="3110" spans="23:23" x14ac:dyDescent="0.3">
      <c r="W3110" s="85">
        <v>51632</v>
      </c>
    </row>
    <row r="3111" spans="23:23" x14ac:dyDescent="0.3">
      <c r="W3111" s="85">
        <v>51633</v>
      </c>
    </row>
    <row r="3112" spans="23:23" x14ac:dyDescent="0.3">
      <c r="W3112" s="85">
        <v>51639</v>
      </c>
    </row>
    <row r="3113" spans="23:23" x14ac:dyDescent="0.3">
      <c r="W3113" s="85">
        <v>51640</v>
      </c>
    </row>
    <row r="3114" spans="23:23" x14ac:dyDescent="0.3">
      <c r="W3114" s="85">
        <v>51646</v>
      </c>
    </row>
    <row r="3115" spans="23:23" x14ac:dyDescent="0.3">
      <c r="W3115" s="85">
        <v>51647</v>
      </c>
    </row>
    <row r="3116" spans="23:23" x14ac:dyDescent="0.3">
      <c r="W3116" s="85">
        <v>51653</v>
      </c>
    </row>
    <row r="3117" spans="23:23" x14ac:dyDescent="0.3">
      <c r="W3117" s="85">
        <v>51654</v>
      </c>
    </row>
    <row r="3118" spans="23:23" x14ac:dyDescent="0.3">
      <c r="W3118" s="85">
        <v>51660</v>
      </c>
    </row>
    <row r="3119" spans="23:23" x14ac:dyDescent="0.3">
      <c r="W3119" s="85">
        <v>51661</v>
      </c>
    </row>
    <row r="3120" spans="23:23" x14ac:dyDescent="0.3">
      <c r="W3120" s="85">
        <v>51667</v>
      </c>
    </row>
    <row r="3121" spans="23:23" x14ac:dyDescent="0.3">
      <c r="W3121" s="85">
        <v>51668</v>
      </c>
    </row>
    <row r="3122" spans="23:23" x14ac:dyDescent="0.3">
      <c r="W3122" s="85">
        <v>51674</v>
      </c>
    </row>
    <row r="3123" spans="23:23" x14ac:dyDescent="0.3">
      <c r="W3123" s="85">
        <v>51675</v>
      </c>
    </row>
    <row r="3124" spans="23:23" x14ac:dyDescent="0.3">
      <c r="W3124" s="85">
        <v>51681</v>
      </c>
    </row>
    <row r="3125" spans="23:23" x14ac:dyDescent="0.3">
      <c r="W3125" s="85">
        <v>51682</v>
      </c>
    </row>
    <row r="3126" spans="23:23" x14ac:dyDescent="0.3">
      <c r="W3126" s="85">
        <v>51688</v>
      </c>
    </row>
    <row r="3127" spans="23:23" x14ac:dyDescent="0.3">
      <c r="W3127" s="85">
        <v>51689</v>
      </c>
    </row>
    <row r="3128" spans="23:23" x14ac:dyDescent="0.3">
      <c r="W3128" s="85">
        <v>51695</v>
      </c>
    </row>
    <row r="3129" spans="23:23" x14ac:dyDescent="0.3">
      <c r="W3129" s="85">
        <v>51696</v>
      </c>
    </row>
    <row r="3130" spans="23:23" x14ac:dyDescent="0.3">
      <c r="W3130" s="85">
        <v>51702</v>
      </c>
    </row>
    <row r="3131" spans="23:23" x14ac:dyDescent="0.3">
      <c r="W3131" s="85">
        <v>51703</v>
      </c>
    </row>
    <row r="3132" spans="23:23" x14ac:dyDescent="0.3">
      <c r="W3132" s="85">
        <v>51709</v>
      </c>
    </row>
    <row r="3133" spans="23:23" x14ac:dyDescent="0.3">
      <c r="W3133" s="85">
        <v>51710</v>
      </c>
    </row>
    <row r="3134" spans="23:23" x14ac:dyDescent="0.3">
      <c r="W3134" s="85">
        <v>51716</v>
      </c>
    </row>
    <row r="3135" spans="23:23" x14ac:dyDescent="0.3">
      <c r="W3135" s="85">
        <v>51717</v>
      </c>
    </row>
    <row r="3136" spans="23:23" x14ac:dyDescent="0.3">
      <c r="W3136" s="85">
        <v>51723</v>
      </c>
    </row>
    <row r="3137" spans="23:23" x14ac:dyDescent="0.3">
      <c r="W3137" s="85">
        <v>51724</v>
      </c>
    </row>
    <row r="3138" spans="23:23" x14ac:dyDescent="0.3">
      <c r="W3138" s="85">
        <v>51730</v>
      </c>
    </row>
    <row r="3139" spans="23:23" x14ac:dyDescent="0.3">
      <c r="W3139" s="85">
        <v>51731</v>
      </c>
    </row>
    <row r="3140" spans="23:23" x14ac:dyDescent="0.3">
      <c r="W3140" s="85">
        <v>51737</v>
      </c>
    </row>
    <row r="3141" spans="23:23" x14ac:dyDescent="0.3">
      <c r="W3141" s="85">
        <v>51738</v>
      </c>
    </row>
    <row r="3142" spans="23:23" x14ac:dyDescent="0.3">
      <c r="W3142" s="85">
        <v>51744</v>
      </c>
    </row>
    <row r="3143" spans="23:23" x14ac:dyDescent="0.3">
      <c r="W3143" s="85">
        <v>51745</v>
      </c>
    </row>
    <row r="3144" spans="23:23" x14ac:dyDescent="0.3">
      <c r="W3144" s="85">
        <v>51751</v>
      </c>
    </row>
    <row r="3145" spans="23:23" x14ac:dyDescent="0.3">
      <c r="W3145" s="85">
        <v>51752</v>
      </c>
    </row>
    <row r="3146" spans="23:23" x14ac:dyDescent="0.3">
      <c r="W3146" s="85">
        <v>51758</v>
      </c>
    </row>
    <row r="3147" spans="23:23" x14ac:dyDescent="0.3">
      <c r="W3147" s="85">
        <v>51759</v>
      </c>
    </row>
    <row r="3148" spans="23:23" x14ac:dyDescent="0.3">
      <c r="W3148" s="85">
        <v>51765</v>
      </c>
    </row>
    <row r="3149" spans="23:23" x14ac:dyDescent="0.3">
      <c r="W3149" s="85">
        <v>51766</v>
      </c>
    </row>
    <row r="3150" spans="23:23" x14ac:dyDescent="0.3">
      <c r="W3150" s="85">
        <v>51772</v>
      </c>
    </row>
    <row r="3151" spans="23:23" x14ac:dyDescent="0.3">
      <c r="W3151" s="85">
        <v>51773</v>
      </c>
    </row>
    <row r="3152" spans="23:23" x14ac:dyDescent="0.3">
      <c r="W3152" s="85">
        <v>51779</v>
      </c>
    </row>
    <row r="3153" spans="23:23" x14ac:dyDescent="0.3">
      <c r="W3153" s="85">
        <v>51780</v>
      </c>
    </row>
    <row r="3154" spans="23:23" x14ac:dyDescent="0.3">
      <c r="W3154" s="85">
        <v>51786</v>
      </c>
    </row>
    <row r="3155" spans="23:23" x14ac:dyDescent="0.3">
      <c r="W3155" s="85">
        <v>51787</v>
      </c>
    </row>
    <row r="3156" spans="23:23" x14ac:dyDescent="0.3">
      <c r="W3156" s="85">
        <v>51793</v>
      </c>
    </row>
    <row r="3157" spans="23:23" x14ac:dyDescent="0.3">
      <c r="W3157" s="85">
        <v>51794</v>
      </c>
    </row>
    <row r="3158" spans="23:23" x14ac:dyDescent="0.3">
      <c r="W3158" s="85">
        <v>51800</v>
      </c>
    </row>
    <row r="3159" spans="23:23" x14ac:dyDescent="0.3">
      <c r="W3159" s="85">
        <v>51801</v>
      </c>
    </row>
    <row r="3160" spans="23:23" x14ac:dyDescent="0.3">
      <c r="W3160" s="85">
        <v>51807</v>
      </c>
    </row>
    <row r="3161" spans="23:23" x14ac:dyDescent="0.3">
      <c r="W3161" s="85">
        <v>51808</v>
      </c>
    </row>
    <row r="3162" spans="23:23" x14ac:dyDescent="0.3">
      <c r="W3162" s="85">
        <v>51814</v>
      </c>
    </row>
    <row r="3163" spans="23:23" x14ac:dyDescent="0.3">
      <c r="W3163" s="85">
        <v>51815</v>
      </c>
    </row>
    <row r="3164" spans="23:23" x14ac:dyDescent="0.3">
      <c r="W3164" s="85">
        <v>51821</v>
      </c>
    </row>
    <row r="3165" spans="23:23" x14ac:dyDescent="0.3">
      <c r="W3165" s="85">
        <v>51822</v>
      </c>
    </row>
    <row r="3166" spans="23:23" x14ac:dyDescent="0.3">
      <c r="W3166" s="85">
        <v>51828</v>
      </c>
    </row>
    <row r="3167" spans="23:23" x14ac:dyDescent="0.3">
      <c r="W3167" s="85">
        <v>51829</v>
      </c>
    </row>
    <row r="3168" spans="23:23" x14ac:dyDescent="0.3">
      <c r="W3168" s="85">
        <v>51835</v>
      </c>
    </row>
    <row r="3169" spans="23:23" x14ac:dyDescent="0.3">
      <c r="W3169" s="85">
        <v>51836</v>
      </c>
    </row>
    <row r="3170" spans="23:23" x14ac:dyDescent="0.3">
      <c r="W3170" s="85">
        <v>51842</v>
      </c>
    </row>
    <row r="3171" spans="23:23" x14ac:dyDescent="0.3">
      <c r="W3171" s="85">
        <v>51843</v>
      </c>
    </row>
    <row r="3172" spans="23:23" x14ac:dyDescent="0.3">
      <c r="W3172" s="85">
        <v>51849</v>
      </c>
    </row>
    <row r="3173" spans="23:23" x14ac:dyDescent="0.3">
      <c r="W3173" s="85">
        <v>51850</v>
      </c>
    </row>
    <row r="3174" spans="23:23" x14ac:dyDescent="0.3">
      <c r="W3174" s="85">
        <v>51856</v>
      </c>
    </row>
    <row r="3175" spans="23:23" x14ac:dyDescent="0.3">
      <c r="W3175" s="85">
        <v>51857</v>
      </c>
    </row>
    <row r="3176" spans="23:23" x14ac:dyDescent="0.3">
      <c r="W3176" s="85">
        <v>51860</v>
      </c>
    </row>
    <row r="3177" spans="23:23" x14ac:dyDescent="0.3">
      <c r="W3177" s="85">
        <v>51861</v>
      </c>
    </row>
    <row r="3178" spans="23:23" x14ac:dyDescent="0.3">
      <c r="W3178" s="85">
        <v>51863</v>
      </c>
    </row>
    <row r="3179" spans="23:23" x14ac:dyDescent="0.3">
      <c r="W3179" s="85">
        <v>51864</v>
      </c>
    </row>
    <row r="3180" spans="23:23" x14ac:dyDescent="0.3">
      <c r="W3180" s="85">
        <v>51867</v>
      </c>
    </row>
    <row r="3181" spans="23:23" x14ac:dyDescent="0.3">
      <c r="W3181" s="85">
        <v>51870</v>
      </c>
    </row>
    <row r="3182" spans="23:23" x14ac:dyDescent="0.3">
      <c r="W3182" s="85">
        <v>51871</v>
      </c>
    </row>
    <row r="3183" spans="23:23" x14ac:dyDescent="0.3">
      <c r="W3183" s="85">
        <v>51877</v>
      </c>
    </row>
    <row r="3184" spans="23:23" x14ac:dyDescent="0.3">
      <c r="W3184" s="85">
        <v>51878</v>
      </c>
    </row>
    <row r="3185" spans="23:23" x14ac:dyDescent="0.3">
      <c r="W3185" s="85">
        <v>51884</v>
      </c>
    </row>
    <row r="3186" spans="23:23" x14ac:dyDescent="0.3">
      <c r="W3186" s="85">
        <v>51885</v>
      </c>
    </row>
    <row r="3187" spans="23:23" x14ac:dyDescent="0.3">
      <c r="W3187" s="85">
        <v>51891</v>
      </c>
    </row>
    <row r="3188" spans="23:23" x14ac:dyDescent="0.3">
      <c r="W3188" s="85">
        <v>51892</v>
      </c>
    </row>
    <row r="3189" spans="23:23" x14ac:dyDescent="0.3">
      <c r="W3189" s="85">
        <v>51898</v>
      </c>
    </row>
    <row r="3190" spans="23:23" x14ac:dyDescent="0.3">
      <c r="W3190" s="85">
        <v>51899</v>
      </c>
    </row>
    <row r="3191" spans="23:23" x14ac:dyDescent="0.3">
      <c r="W3191" s="85">
        <v>51905</v>
      </c>
    </row>
    <row r="3192" spans="23:23" x14ac:dyDescent="0.3">
      <c r="W3192" s="85">
        <v>51906</v>
      </c>
    </row>
    <row r="3193" spans="23:23" x14ac:dyDescent="0.3">
      <c r="W3193" s="85">
        <v>51912</v>
      </c>
    </row>
    <row r="3194" spans="23:23" x14ac:dyDescent="0.3">
      <c r="W3194" s="85">
        <v>51913</v>
      </c>
    </row>
    <row r="3195" spans="23:23" x14ac:dyDescent="0.3">
      <c r="W3195" s="85">
        <v>51919</v>
      </c>
    </row>
    <row r="3196" spans="23:23" x14ac:dyDescent="0.3">
      <c r="W3196" s="85">
        <v>51920</v>
      </c>
    </row>
    <row r="3197" spans="23:23" x14ac:dyDescent="0.3">
      <c r="W3197" s="85">
        <v>51926</v>
      </c>
    </row>
    <row r="3198" spans="23:23" x14ac:dyDescent="0.3">
      <c r="W3198" s="85">
        <v>51927</v>
      </c>
    </row>
    <row r="3199" spans="23:23" x14ac:dyDescent="0.3">
      <c r="W3199" s="85">
        <v>51933</v>
      </c>
    </row>
    <row r="3200" spans="23:23" x14ac:dyDescent="0.3">
      <c r="W3200" s="85">
        <v>51934</v>
      </c>
    </row>
    <row r="3201" spans="23:23" x14ac:dyDescent="0.3">
      <c r="W3201" s="85">
        <v>51940</v>
      </c>
    </row>
    <row r="3202" spans="23:23" x14ac:dyDescent="0.3">
      <c r="W3202" s="85">
        <v>51941</v>
      </c>
    </row>
    <row r="3203" spans="23:23" x14ac:dyDescent="0.3">
      <c r="W3203" s="85">
        <v>51947</v>
      </c>
    </row>
    <row r="3204" spans="23:23" x14ac:dyDescent="0.3">
      <c r="W3204" s="85">
        <v>51948</v>
      </c>
    </row>
    <row r="3205" spans="23:23" x14ac:dyDescent="0.3">
      <c r="W3205" s="85">
        <v>51954</v>
      </c>
    </row>
    <row r="3206" spans="23:23" x14ac:dyDescent="0.3">
      <c r="W3206" s="85">
        <v>51955</v>
      </c>
    </row>
    <row r="3207" spans="23:23" x14ac:dyDescent="0.3">
      <c r="W3207" s="85">
        <v>51960</v>
      </c>
    </row>
    <row r="3208" spans="23:23" x14ac:dyDescent="0.3">
      <c r="W3208" s="85">
        <v>51961</v>
      </c>
    </row>
    <row r="3209" spans="23:23" x14ac:dyDescent="0.3">
      <c r="W3209" s="85">
        <v>51962</v>
      </c>
    </row>
    <row r="3210" spans="23:23" x14ac:dyDescent="0.3">
      <c r="W3210" s="85">
        <v>51963</v>
      </c>
    </row>
    <row r="3211" spans="23:23" x14ac:dyDescent="0.3">
      <c r="W3211" s="85">
        <v>51968</v>
      </c>
    </row>
    <row r="3212" spans="23:23" x14ac:dyDescent="0.3">
      <c r="W3212" s="85">
        <v>51969</v>
      </c>
    </row>
    <row r="3213" spans="23:23" x14ac:dyDescent="0.3">
      <c r="W3213" s="85">
        <v>51975</v>
      </c>
    </row>
    <row r="3214" spans="23:23" x14ac:dyDescent="0.3">
      <c r="W3214" s="85">
        <v>51976</v>
      </c>
    </row>
    <row r="3215" spans="23:23" x14ac:dyDescent="0.3">
      <c r="W3215" s="85">
        <v>51982</v>
      </c>
    </row>
    <row r="3216" spans="23:23" x14ac:dyDescent="0.3">
      <c r="W3216" s="85">
        <v>51983</v>
      </c>
    </row>
    <row r="3217" spans="23:23" x14ac:dyDescent="0.3">
      <c r="W3217" s="85">
        <v>51987</v>
      </c>
    </row>
    <row r="3218" spans="23:23" x14ac:dyDescent="0.3">
      <c r="W3218" s="85">
        <v>51989</v>
      </c>
    </row>
    <row r="3219" spans="23:23" x14ac:dyDescent="0.3">
      <c r="W3219" s="85">
        <v>51990</v>
      </c>
    </row>
    <row r="3220" spans="23:23" x14ac:dyDescent="0.3">
      <c r="W3220" s="85">
        <v>51996</v>
      </c>
    </row>
    <row r="3221" spans="23:23" x14ac:dyDescent="0.3">
      <c r="W3221" s="85">
        <v>51997</v>
      </c>
    </row>
    <row r="3222" spans="23:23" x14ac:dyDescent="0.3">
      <c r="W3222" s="85">
        <v>52003</v>
      </c>
    </row>
    <row r="3223" spans="23:23" x14ac:dyDescent="0.3">
      <c r="W3223" s="85">
        <v>52004</v>
      </c>
    </row>
    <row r="3224" spans="23:23" x14ac:dyDescent="0.3">
      <c r="W3224" s="85">
        <v>52010</v>
      </c>
    </row>
    <row r="3225" spans="23:23" x14ac:dyDescent="0.3">
      <c r="W3225" s="85">
        <v>52011</v>
      </c>
    </row>
    <row r="3226" spans="23:23" x14ac:dyDescent="0.3">
      <c r="W3226" s="85">
        <v>52017</v>
      </c>
    </row>
    <row r="3227" spans="23:23" x14ac:dyDescent="0.3">
      <c r="W3227" s="85">
        <v>52018</v>
      </c>
    </row>
    <row r="3228" spans="23:23" x14ac:dyDescent="0.3">
      <c r="W3228" s="85">
        <v>52024</v>
      </c>
    </row>
    <row r="3229" spans="23:23" x14ac:dyDescent="0.3">
      <c r="W3229" s="85">
        <v>52025</v>
      </c>
    </row>
    <row r="3230" spans="23:23" x14ac:dyDescent="0.3">
      <c r="W3230" s="85">
        <v>52031</v>
      </c>
    </row>
    <row r="3231" spans="23:23" x14ac:dyDescent="0.3">
      <c r="W3231" s="85">
        <v>52032</v>
      </c>
    </row>
    <row r="3232" spans="23:23" x14ac:dyDescent="0.3">
      <c r="W3232" s="85">
        <v>52038</v>
      </c>
    </row>
    <row r="3233" spans="23:23" x14ac:dyDescent="0.3">
      <c r="W3233" s="85">
        <v>52039</v>
      </c>
    </row>
    <row r="3234" spans="23:23" x14ac:dyDescent="0.3">
      <c r="W3234" s="85">
        <v>52045</v>
      </c>
    </row>
    <row r="3235" spans="23:23" x14ac:dyDescent="0.3">
      <c r="W3235" s="85">
        <v>52046</v>
      </c>
    </row>
    <row r="3236" spans="23:23" x14ac:dyDescent="0.3">
      <c r="W3236" s="85">
        <v>52052</v>
      </c>
    </row>
    <row r="3237" spans="23:23" x14ac:dyDescent="0.3">
      <c r="W3237" s="85">
        <v>52053</v>
      </c>
    </row>
    <row r="3238" spans="23:23" x14ac:dyDescent="0.3">
      <c r="W3238" s="85">
        <v>52059</v>
      </c>
    </row>
    <row r="3239" spans="23:23" x14ac:dyDescent="0.3">
      <c r="W3239" s="85">
        <v>52060</v>
      </c>
    </row>
    <row r="3240" spans="23:23" x14ac:dyDescent="0.3">
      <c r="W3240" s="85">
        <v>52066</v>
      </c>
    </row>
    <row r="3241" spans="23:23" x14ac:dyDescent="0.3">
      <c r="W3241" s="85">
        <v>52067</v>
      </c>
    </row>
    <row r="3242" spans="23:23" x14ac:dyDescent="0.3">
      <c r="W3242" s="85">
        <v>52073</v>
      </c>
    </row>
    <row r="3243" spans="23:23" x14ac:dyDescent="0.3">
      <c r="W3243" s="85">
        <v>52074</v>
      </c>
    </row>
    <row r="3244" spans="23:23" x14ac:dyDescent="0.3">
      <c r="W3244" s="85">
        <v>52080</v>
      </c>
    </row>
    <row r="3245" spans="23:23" x14ac:dyDescent="0.3">
      <c r="W3245" s="85">
        <v>52081</v>
      </c>
    </row>
    <row r="3246" spans="23:23" x14ac:dyDescent="0.3">
      <c r="W3246" s="85">
        <v>52087</v>
      </c>
    </row>
    <row r="3247" spans="23:23" x14ac:dyDescent="0.3">
      <c r="W3247" s="85">
        <v>52088</v>
      </c>
    </row>
    <row r="3248" spans="23:23" x14ac:dyDescent="0.3">
      <c r="W3248" s="85">
        <v>52094</v>
      </c>
    </row>
    <row r="3249" spans="23:23" x14ac:dyDescent="0.3">
      <c r="W3249" s="85">
        <v>52095</v>
      </c>
    </row>
    <row r="3250" spans="23:23" x14ac:dyDescent="0.3">
      <c r="W3250" s="85">
        <v>52101</v>
      </c>
    </row>
    <row r="3251" spans="23:23" x14ac:dyDescent="0.3">
      <c r="W3251" s="85">
        <v>52102</v>
      </c>
    </row>
    <row r="3252" spans="23:23" x14ac:dyDescent="0.3">
      <c r="W3252" s="85">
        <v>52108</v>
      </c>
    </row>
    <row r="3253" spans="23:23" x14ac:dyDescent="0.3">
      <c r="W3253" s="85">
        <v>52109</v>
      </c>
    </row>
    <row r="3254" spans="23:23" x14ac:dyDescent="0.3">
      <c r="W3254" s="85">
        <v>52115</v>
      </c>
    </row>
    <row r="3255" spans="23:23" x14ac:dyDescent="0.3">
      <c r="W3255" s="85">
        <v>52116</v>
      </c>
    </row>
    <row r="3256" spans="23:23" x14ac:dyDescent="0.3">
      <c r="W3256" s="85">
        <v>52122</v>
      </c>
    </row>
    <row r="3257" spans="23:23" x14ac:dyDescent="0.3">
      <c r="W3257" s="85">
        <v>52123</v>
      </c>
    </row>
    <row r="3258" spans="23:23" x14ac:dyDescent="0.3">
      <c r="W3258" s="85">
        <v>52129</v>
      </c>
    </row>
    <row r="3259" spans="23:23" x14ac:dyDescent="0.3">
      <c r="W3259" s="85">
        <v>52130</v>
      </c>
    </row>
    <row r="3260" spans="23:23" x14ac:dyDescent="0.3">
      <c r="W3260" s="85">
        <v>52136</v>
      </c>
    </row>
    <row r="3261" spans="23:23" x14ac:dyDescent="0.3">
      <c r="W3261" s="85">
        <v>52137</v>
      </c>
    </row>
    <row r="3262" spans="23:23" x14ac:dyDescent="0.3">
      <c r="W3262" s="85">
        <v>52143</v>
      </c>
    </row>
    <row r="3263" spans="23:23" x14ac:dyDescent="0.3">
      <c r="W3263" s="85">
        <v>52144</v>
      </c>
    </row>
    <row r="3264" spans="23:23" x14ac:dyDescent="0.3">
      <c r="W3264" s="85">
        <v>52150</v>
      </c>
    </row>
    <row r="3265" spans="23:23" x14ac:dyDescent="0.3">
      <c r="W3265" s="85">
        <v>52151</v>
      </c>
    </row>
    <row r="3266" spans="23:23" x14ac:dyDescent="0.3">
      <c r="W3266" s="85">
        <v>52157</v>
      </c>
    </row>
    <row r="3267" spans="23:23" x14ac:dyDescent="0.3">
      <c r="W3267" s="85">
        <v>52158</v>
      </c>
    </row>
    <row r="3268" spans="23:23" x14ac:dyDescent="0.3">
      <c r="W3268" s="85">
        <v>52164</v>
      </c>
    </row>
    <row r="3269" spans="23:23" x14ac:dyDescent="0.3">
      <c r="W3269" s="85">
        <v>52165</v>
      </c>
    </row>
    <row r="3270" spans="23:23" x14ac:dyDescent="0.3">
      <c r="W3270" s="85">
        <v>52171</v>
      </c>
    </row>
    <row r="3271" spans="23:23" x14ac:dyDescent="0.3">
      <c r="W3271" s="85">
        <v>52172</v>
      </c>
    </row>
    <row r="3272" spans="23:23" x14ac:dyDescent="0.3">
      <c r="W3272" s="85">
        <v>52178</v>
      </c>
    </row>
    <row r="3273" spans="23:23" x14ac:dyDescent="0.3">
      <c r="W3273" s="85">
        <v>52179</v>
      </c>
    </row>
    <row r="3274" spans="23:23" x14ac:dyDescent="0.3">
      <c r="W3274" s="85">
        <v>52185</v>
      </c>
    </row>
    <row r="3275" spans="23:23" x14ac:dyDescent="0.3">
      <c r="W3275" s="85">
        <v>52186</v>
      </c>
    </row>
    <row r="3276" spans="23:23" x14ac:dyDescent="0.3">
      <c r="W3276" s="85">
        <v>52192</v>
      </c>
    </row>
    <row r="3277" spans="23:23" x14ac:dyDescent="0.3">
      <c r="W3277" s="85">
        <v>52193</v>
      </c>
    </row>
    <row r="3278" spans="23:23" x14ac:dyDescent="0.3">
      <c r="W3278" s="85">
        <v>52199</v>
      </c>
    </row>
    <row r="3279" spans="23:23" x14ac:dyDescent="0.3">
      <c r="W3279" s="85">
        <v>52200</v>
      </c>
    </row>
    <row r="3280" spans="23:23" x14ac:dyDescent="0.3">
      <c r="W3280" s="85">
        <v>52206</v>
      </c>
    </row>
    <row r="3281" spans="23:23" x14ac:dyDescent="0.3">
      <c r="W3281" s="85">
        <v>52207</v>
      </c>
    </row>
    <row r="3282" spans="23:23" x14ac:dyDescent="0.3">
      <c r="W3282" s="85">
        <v>52213</v>
      </c>
    </row>
    <row r="3283" spans="23:23" x14ac:dyDescent="0.3">
      <c r="W3283" s="85">
        <v>52214</v>
      </c>
    </row>
    <row r="3284" spans="23:23" x14ac:dyDescent="0.3">
      <c r="W3284" s="85">
        <v>52220</v>
      </c>
    </row>
    <row r="3285" spans="23:23" x14ac:dyDescent="0.3">
      <c r="W3285" s="85">
        <v>52221</v>
      </c>
    </row>
    <row r="3286" spans="23:23" x14ac:dyDescent="0.3">
      <c r="W3286" s="85">
        <v>52225</v>
      </c>
    </row>
    <row r="3287" spans="23:23" x14ac:dyDescent="0.3">
      <c r="W3287" s="85">
        <v>52226</v>
      </c>
    </row>
    <row r="3288" spans="23:23" x14ac:dyDescent="0.3">
      <c r="W3288" s="85">
        <v>52227</v>
      </c>
    </row>
    <row r="3289" spans="23:23" x14ac:dyDescent="0.3">
      <c r="W3289" s="85">
        <v>52228</v>
      </c>
    </row>
    <row r="3290" spans="23:23" x14ac:dyDescent="0.3">
      <c r="W3290" s="85">
        <v>52232</v>
      </c>
    </row>
    <row r="3291" spans="23:23" x14ac:dyDescent="0.3">
      <c r="W3291" s="85">
        <v>52234</v>
      </c>
    </row>
    <row r="3292" spans="23:23" x14ac:dyDescent="0.3">
      <c r="W3292" s="85">
        <v>52235</v>
      </c>
    </row>
    <row r="3293" spans="23:23" x14ac:dyDescent="0.3">
      <c r="W3293" s="85">
        <v>52241</v>
      </c>
    </row>
    <row r="3294" spans="23:23" x14ac:dyDescent="0.3">
      <c r="W3294" s="85">
        <v>52242</v>
      </c>
    </row>
    <row r="3295" spans="23:23" x14ac:dyDescent="0.3">
      <c r="W3295" s="85">
        <v>52248</v>
      </c>
    </row>
    <row r="3296" spans="23:23" x14ac:dyDescent="0.3">
      <c r="W3296" s="85">
        <v>52249</v>
      </c>
    </row>
    <row r="3297" spans="23:23" x14ac:dyDescent="0.3">
      <c r="W3297" s="85">
        <v>52255</v>
      </c>
    </row>
    <row r="3298" spans="23:23" x14ac:dyDescent="0.3">
      <c r="W3298" s="85">
        <v>52256</v>
      </c>
    </row>
    <row r="3299" spans="23:23" x14ac:dyDescent="0.3">
      <c r="W3299" s="85">
        <v>52262</v>
      </c>
    </row>
    <row r="3300" spans="23:23" x14ac:dyDescent="0.3">
      <c r="W3300" s="85">
        <v>52263</v>
      </c>
    </row>
    <row r="3301" spans="23:23" x14ac:dyDescent="0.3">
      <c r="W3301" s="85">
        <v>52269</v>
      </c>
    </row>
    <row r="3302" spans="23:23" x14ac:dyDescent="0.3">
      <c r="W3302" s="85">
        <v>52270</v>
      </c>
    </row>
    <row r="3303" spans="23:23" x14ac:dyDescent="0.3">
      <c r="W3303" s="85">
        <v>52276</v>
      </c>
    </row>
    <row r="3304" spans="23:23" x14ac:dyDescent="0.3">
      <c r="W3304" s="85">
        <v>52277</v>
      </c>
    </row>
    <row r="3305" spans="23:23" x14ac:dyDescent="0.3">
      <c r="W3305" s="85">
        <v>52283</v>
      </c>
    </row>
    <row r="3306" spans="23:23" x14ac:dyDescent="0.3">
      <c r="W3306" s="85">
        <v>52284</v>
      </c>
    </row>
    <row r="3307" spans="23:23" x14ac:dyDescent="0.3">
      <c r="W3307" s="85">
        <v>52290</v>
      </c>
    </row>
    <row r="3308" spans="23:23" x14ac:dyDescent="0.3">
      <c r="W3308" s="85">
        <v>52291</v>
      </c>
    </row>
    <row r="3309" spans="23:23" x14ac:dyDescent="0.3">
      <c r="W3309" s="85">
        <v>52297</v>
      </c>
    </row>
    <row r="3310" spans="23:23" x14ac:dyDescent="0.3">
      <c r="W3310" s="85">
        <v>52298</v>
      </c>
    </row>
    <row r="3311" spans="23:23" x14ac:dyDescent="0.3">
      <c r="W3311" s="85">
        <v>52304</v>
      </c>
    </row>
    <row r="3312" spans="23:23" x14ac:dyDescent="0.3">
      <c r="W3312" s="85">
        <v>52305</v>
      </c>
    </row>
    <row r="3313" spans="23:23" x14ac:dyDescent="0.3">
      <c r="W3313" s="85">
        <v>52311</v>
      </c>
    </row>
    <row r="3314" spans="23:23" x14ac:dyDescent="0.3">
      <c r="W3314" s="85">
        <v>52312</v>
      </c>
    </row>
    <row r="3315" spans="23:23" x14ac:dyDescent="0.3">
      <c r="W3315" s="85">
        <v>52317</v>
      </c>
    </row>
    <row r="3316" spans="23:23" x14ac:dyDescent="0.3">
      <c r="W3316" s="85">
        <v>52318</v>
      </c>
    </row>
    <row r="3317" spans="23:23" x14ac:dyDescent="0.3">
      <c r="W3317" s="85">
        <v>52319</v>
      </c>
    </row>
    <row r="3318" spans="23:23" x14ac:dyDescent="0.3">
      <c r="W3318" s="85">
        <v>52320</v>
      </c>
    </row>
    <row r="3319" spans="23:23" x14ac:dyDescent="0.3">
      <c r="W3319" s="85">
        <v>52325</v>
      </c>
    </row>
    <row r="3320" spans="23:23" x14ac:dyDescent="0.3">
      <c r="W3320" s="85">
        <v>52326</v>
      </c>
    </row>
    <row r="3321" spans="23:23" x14ac:dyDescent="0.3">
      <c r="W3321" s="85">
        <v>52332</v>
      </c>
    </row>
    <row r="3322" spans="23:23" x14ac:dyDescent="0.3">
      <c r="W3322" s="85">
        <v>52333</v>
      </c>
    </row>
    <row r="3323" spans="23:23" x14ac:dyDescent="0.3">
      <c r="W3323" s="85">
        <v>52339</v>
      </c>
    </row>
    <row r="3324" spans="23:23" x14ac:dyDescent="0.3">
      <c r="W3324" s="85">
        <v>52340</v>
      </c>
    </row>
    <row r="3325" spans="23:23" x14ac:dyDescent="0.3">
      <c r="W3325" s="85">
        <v>52346</v>
      </c>
    </row>
    <row r="3326" spans="23:23" x14ac:dyDescent="0.3">
      <c r="W3326" s="85">
        <v>52347</v>
      </c>
    </row>
    <row r="3327" spans="23:23" x14ac:dyDescent="0.3">
      <c r="W3327" s="85">
        <v>52352</v>
      </c>
    </row>
    <row r="3328" spans="23:23" x14ac:dyDescent="0.3">
      <c r="W3328" s="85">
        <v>52353</v>
      </c>
    </row>
    <row r="3329" spans="23:23" x14ac:dyDescent="0.3">
      <c r="W3329" s="85">
        <v>52354</v>
      </c>
    </row>
    <row r="3330" spans="23:23" x14ac:dyDescent="0.3">
      <c r="W3330" s="85">
        <v>52360</v>
      </c>
    </row>
    <row r="3331" spans="23:23" x14ac:dyDescent="0.3">
      <c r="W3331" s="85">
        <v>52361</v>
      </c>
    </row>
    <row r="3332" spans="23:23" x14ac:dyDescent="0.3">
      <c r="W3332" s="85">
        <v>52367</v>
      </c>
    </row>
    <row r="3333" spans="23:23" x14ac:dyDescent="0.3">
      <c r="W3333" s="85">
        <v>52368</v>
      </c>
    </row>
    <row r="3334" spans="23:23" x14ac:dyDescent="0.3">
      <c r="W3334" s="85">
        <v>52374</v>
      </c>
    </row>
    <row r="3335" spans="23:23" x14ac:dyDescent="0.3">
      <c r="W3335" s="85">
        <v>52375</v>
      </c>
    </row>
    <row r="3336" spans="23:23" x14ac:dyDescent="0.3">
      <c r="W3336" s="85">
        <v>52381</v>
      </c>
    </row>
    <row r="3337" spans="23:23" x14ac:dyDescent="0.3">
      <c r="W3337" s="85">
        <v>52382</v>
      </c>
    </row>
    <row r="3338" spans="23:23" x14ac:dyDescent="0.3">
      <c r="W3338" s="85">
        <v>52388</v>
      </c>
    </row>
    <row r="3339" spans="23:23" x14ac:dyDescent="0.3">
      <c r="W3339" s="85">
        <v>52389</v>
      </c>
    </row>
    <row r="3340" spans="23:23" x14ac:dyDescent="0.3">
      <c r="W3340" s="85">
        <v>52395</v>
      </c>
    </row>
    <row r="3341" spans="23:23" x14ac:dyDescent="0.3">
      <c r="W3341" s="85">
        <v>52396</v>
      </c>
    </row>
    <row r="3342" spans="23:23" x14ac:dyDescent="0.3">
      <c r="W3342" s="85">
        <v>52402</v>
      </c>
    </row>
    <row r="3343" spans="23:23" x14ac:dyDescent="0.3">
      <c r="W3343" s="85">
        <v>52403</v>
      </c>
    </row>
    <row r="3344" spans="23:23" x14ac:dyDescent="0.3">
      <c r="W3344" s="85">
        <v>52409</v>
      </c>
    </row>
    <row r="3345" spans="23:23" x14ac:dyDescent="0.3">
      <c r="W3345" s="85">
        <v>52410</v>
      </c>
    </row>
    <row r="3346" spans="23:23" x14ac:dyDescent="0.3">
      <c r="W3346" s="85">
        <v>52416</v>
      </c>
    </row>
    <row r="3347" spans="23:23" x14ac:dyDescent="0.3">
      <c r="W3347" s="85">
        <v>52417</v>
      </c>
    </row>
    <row r="3348" spans="23:23" x14ac:dyDescent="0.3">
      <c r="W3348" s="85">
        <v>52423</v>
      </c>
    </row>
    <row r="3349" spans="23:23" x14ac:dyDescent="0.3">
      <c r="W3349" s="85">
        <v>52424</v>
      </c>
    </row>
    <row r="3350" spans="23:23" x14ac:dyDescent="0.3">
      <c r="W3350" s="85">
        <v>52430</v>
      </c>
    </row>
    <row r="3351" spans="23:23" x14ac:dyDescent="0.3">
      <c r="W3351" s="85">
        <v>52431</v>
      </c>
    </row>
    <row r="3352" spans="23:23" x14ac:dyDescent="0.3">
      <c r="W3352" s="85">
        <v>52437</v>
      </c>
    </row>
    <row r="3353" spans="23:23" x14ac:dyDescent="0.3">
      <c r="W3353" s="85">
        <v>52438</v>
      </c>
    </row>
    <row r="3354" spans="23:23" x14ac:dyDescent="0.3">
      <c r="W3354" s="85">
        <v>52444</v>
      </c>
    </row>
    <row r="3355" spans="23:23" x14ac:dyDescent="0.3">
      <c r="W3355" s="85">
        <v>52445</v>
      </c>
    </row>
    <row r="3356" spans="23:23" x14ac:dyDescent="0.3">
      <c r="W3356" s="85">
        <v>52451</v>
      </c>
    </row>
    <row r="3357" spans="23:23" x14ac:dyDescent="0.3">
      <c r="W3357" s="85">
        <v>52452</v>
      </c>
    </row>
    <row r="3358" spans="23:23" x14ac:dyDescent="0.3">
      <c r="W3358" s="85">
        <v>52458</v>
      </c>
    </row>
    <row r="3359" spans="23:23" x14ac:dyDescent="0.3">
      <c r="W3359" s="85">
        <v>52459</v>
      </c>
    </row>
    <row r="3360" spans="23:23" x14ac:dyDescent="0.3">
      <c r="W3360" s="85">
        <v>52465</v>
      </c>
    </row>
    <row r="3361" spans="23:23" x14ac:dyDescent="0.3">
      <c r="W3361" s="85">
        <v>52466</v>
      </c>
    </row>
    <row r="3362" spans="23:23" x14ac:dyDescent="0.3">
      <c r="W3362" s="85">
        <v>52472</v>
      </c>
    </row>
    <row r="3363" spans="23:23" x14ac:dyDescent="0.3">
      <c r="W3363" s="85">
        <v>52473</v>
      </c>
    </row>
    <row r="3364" spans="23:23" x14ac:dyDescent="0.3">
      <c r="W3364" s="85">
        <v>52479</v>
      </c>
    </row>
    <row r="3365" spans="23:23" x14ac:dyDescent="0.3">
      <c r="W3365" s="85">
        <v>52480</v>
      </c>
    </row>
    <row r="3366" spans="23:23" x14ac:dyDescent="0.3">
      <c r="W3366" s="85">
        <v>52486</v>
      </c>
    </row>
    <row r="3367" spans="23:23" x14ac:dyDescent="0.3">
      <c r="W3367" s="85">
        <v>52487</v>
      </c>
    </row>
    <row r="3368" spans="23:23" x14ac:dyDescent="0.3">
      <c r="W3368" s="85">
        <v>52493</v>
      </c>
    </row>
    <row r="3369" spans="23:23" x14ac:dyDescent="0.3">
      <c r="W3369" s="85">
        <v>52494</v>
      </c>
    </row>
    <row r="3370" spans="23:23" x14ac:dyDescent="0.3">
      <c r="W3370" s="85">
        <v>52500</v>
      </c>
    </row>
    <row r="3371" spans="23:23" x14ac:dyDescent="0.3">
      <c r="W3371" s="85">
        <v>52501</v>
      </c>
    </row>
    <row r="3372" spans="23:23" x14ac:dyDescent="0.3">
      <c r="W3372" s="85">
        <v>52507</v>
      </c>
    </row>
    <row r="3373" spans="23:23" x14ac:dyDescent="0.3">
      <c r="W3373" s="85">
        <v>52508</v>
      </c>
    </row>
    <row r="3374" spans="23:23" x14ac:dyDescent="0.3">
      <c r="W3374" s="85">
        <v>52514</v>
      </c>
    </row>
    <row r="3375" spans="23:23" x14ac:dyDescent="0.3">
      <c r="W3375" s="85">
        <v>52515</v>
      </c>
    </row>
    <row r="3376" spans="23:23" x14ac:dyDescent="0.3">
      <c r="W3376" s="85">
        <v>52521</v>
      </c>
    </row>
    <row r="3377" spans="23:23" x14ac:dyDescent="0.3">
      <c r="W3377" s="85">
        <v>52522</v>
      </c>
    </row>
    <row r="3378" spans="23:23" x14ac:dyDescent="0.3">
      <c r="W3378" s="85">
        <v>52528</v>
      </c>
    </row>
    <row r="3379" spans="23:23" x14ac:dyDescent="0.3">
      <c r="W3379" s="85">
        <v>52529</v>
      </c>
    </row>
    <row r="3380" spans="23:23" x14ac:dyDescent="0.3">
      <c r="W3380" s="85">
        <v>52535</v>
      </c>
    </row>
    <row r="3381" spans="23:23" x14ac:dyDescent="0.3">
      <c r="W3381" s="85">
        <v>52536</v>
      </c>
    </row>
    <row r="3382" spans="23:23" x14ac:dyDescent="0.3">
      <c r="W3382" s="85">
        <v>52542</v>
      </c>
    </row>
    <row r="3383" spans="23:23" x14ac:dyDescent="0.3">
      <c r="W3383" s="85">
        <v>52543</v>
      </c>
    </row>
    <row r="3384" spans="23:23" x14ac:dyDescent="0.3">
      <c r="W3384" s="85">
        <v>52549</v>
      </c>
    </row>
    <row r="3385" spans="23:23" x14ac:dyDescent="0.3">
      <c r="W3385" s="85">
        <v>52550</v>
      </c>
    </row>
    <row r="3386" spans="23:23" x14ac:dyDescent="0.3">
      <c r="W3386" s="85">
        <v>52556</v>
      </c>
    </row>
    <row r="3387" spans="23:23" x14ac:dyDescent="0.3">
      <c r="W3387" s="85">
        <v>52557</v>
      </c>
    </row>
    <row r="3388" spans="23:23" x14ac:dyDescent="0.3">
      <c r="W3388" s="85">
        <v>52563</v>
      </c>
    </row>
    <row r="3389" spans="23:23" x14ac:dyDescent="0.3">
      <c r="W3389" s="85">
        <v>52564</v>
      </c>
    </row>
    <row r="3390" spans="23:23" x14ac:dyDescent="0.3">
      <c r="W3390" s="85">
        <v>52570</v>
      </c>
    </row>
    <row r="3391" spans="23:23" x14ac:dyDescent="0.3">
      <c r="W3391" s="85">
        <v>52571</v>
      </c>
    </row>
    <row r="3392" spans="23:23" x14ac:dyDescent="0.3">
      <c r="W3392" s="85">
        <v>52577</v>
      </c>
    </row>
    <row r="3393" spans="23:23" x14ac:dyDescent="0.3">
      <c r="W3393" s="85">
        <v>52578</v>
      </c>
    </row>
    <row r="3394" spans="23:23" x14ac:dyDescent="0.3">
      <c r="W3394" s="85">
        <v>52584</v>
      </c>
    </row>
    <row r="3395" spans="23:23" x14ac:dyDescent="0.3">
      <c r="W3395" s="85">
        <v>52585</v>
      </c>
    </row>
    <row r="3396" spans="23:23" x14ac:dyDescent="0.3">
      <c r="W3396" s="85">
        <v>52590</v>
      </c>
    </row>
    <row r="3397" spans="23:23" x14ac:dyDescent="0.3">
      <c r="W3397" s="85">
        <v>52591</v>
      </c>
    </row>
    <row r="3398" spans="23:23" x14ac:dyDescent="0.3">
      <c r="W3398" s="85">
        <v>52592</v>
      </c>
    </row>
    <row r="3399" spans="23:23" x14ac:dyDescent="0.3">
      <c r="W3399" s="85">
        <v>52597</v>
      </c>
    </row>
    <row r="3400" spans="23:23" x14ac:dyDescent="0.3">
      <c r="W3400" s="85">
        <v>52598</v>
      </c>
    </row>
    <row r="3401" spans="23:23" x14ac:dyDescent="0.3">
      <c r="W3401" s="85">
        <v>52599</v>
      </c>
    </row>
    <row r="3402" spans="23:23" x14ac:dyDescent="0.3">
      <c r="W3402" s="85">
        <v>52605</v>
      </c>
    </row>
    <row r="3403" spans="23:23" x14ac:dyDescent="0.3">
      <c r="W3403" s="85">
        <v>52606</v>
      </c>
    </row>
    <row r="3404" spans="23:23" x14ac:dyDescent="0.3">
      <c r="W3404" s="85">
        <v>52612</v>
      </c>
    </row>
    <row r="3405" spans="23:23" x14ac:dyDescent="0.3">
      <c r="W3405" s="85">
        <v>52613</v>
      </c>
    </row>
    <row r="3406" spans="23:23" x14ac:dyDescent="0.3">
      <c r="W3406" s="85">
        <v>52619</v>
      </c>
    </row>
    <row r="3407" spans="23:23" x14ac:dyDescent="0.3">
      <c r="W3407" s="85">
        <v>52620</v>
      </c>
    </row>
    <row r="3408" spans="23:23" x14ac:dyDescent="0.3">
      <c r="W3408" s="85">
        <v>52626</v>
      </c>
    </row>
    <row r="3409" spans="23:23" x14ac:dyDescent="0.3">
      <c r="W3409" s="85">
        <v>52627</v>
      </c>
    </row>
    <row r="3410" spans="23:23" x14ac:dyDescent="0.3">
      <c r="W3410" s="85">
        <v>52633</v>
      </c>
    </row>
    <row r="3411" spans="23:23" x14ac:dyDescent="0.3">
      <c r="W3411" s="85">
        <v>52634</v>
      </c>
    </row>
    <row r="3412" spans="23:23" x14ac:dyDescent="0.3">
      <c r="W3412" s="85">
        <v>52640</v>
      </c>
    </row>
    <row r="3413" spans="23:23" x14ac:dyDescent="0.3">
      <c r="W3413" s="85">
        <v>52641</v>
      </c>
    </row>
    <row r="3414" spans="23:23" x14ac:dyDescent="0.3">
      <c r="W3414" s="85">
        <v>52647</v>
      </c>
    </row>
    <row r="3415" spans="23:23" x14ac:dyDescent="0.3">
      <c r="W3415" s="85">
        <v>52648</v>
      </c>
    </row>
    <row r="3416" spans="23:23" x14ac:dyDescent="0.3">
      <c r="W3416" s="85">
        <v>52654</v>
      </c>
    </row>
    <row r="3417" spans="23:23" x14ac:dyDescent="0.3">
      <c r="W3417" s="85">
        <v>52655</v>
      </c>
    </row>
    <row r="3418" spans="23:23" x14ac:dyDescent="0.3">
      <c r="W3418" s="85">
        <v>52661</v>
      </c>
    </row>
    <row r="3419" spans="23:23" x14ac:dyDescent="0.3">
      <c r="W3419" s="85">
        <v>52662</v>
      </c>
    </row>
    <row r="3420" spans="23:23" x14ac:dyDescent="0.3">
      <c r="W3420" s="85">
        <v>52668</v>
      </c>
    </row>
    <row r="3421" spans="23:23" x14ac:dyDescent="0.3">
      <c r="W3421" s="85">
        <v>52669</v>
      </c>
    </row>
  </sheetData>
  <mergeCells count="1">
    <mergeCell ref="AK5:AO5"/>
  </mergeCells>
  <dataValidations disablePrompts="1" count="1">
    <dataValidation type="list" allowBlank="1" showInputMessage="1" showErrorMessage="1" sqref="E6" xr:uid="{CE57897E-B62D-4015-B433-23277642AA5C}">
      <formula1>"TAB,CSV"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19</vt:i4>
      </vt:variant>
      <vt:variant>
        <vt:lpstr>Plages nommées</vt:lpstr>
      </vt:variant>
      <vt:variant>
        <vt:i4>200</vt:i4>
      </vt:variant>
    </vt:vector>
  </HeadingPairs>
  <TitlesOfParts>
    <vt:vector size="219" baseType="lpstr">
      <vt:lpstr>MODE</vt:lpstr>
      <vt:lpstr>ALIM_MAIN</vt:lpstr>
      <vt:lpstr>MOTEUR_Param_General</vt:lpstr>
      <vt:lpstr>MOTEUR_Param_Sortie</vt:lpstr>
      <vt:lpstr>MOTEUR_Param_Autres</vt:lpstr>
      <vt:lpstr>MOTEUR_Global_Params</vt:lpstr>
      <vt:lpstr>ALIM_Params</vt:lpstr>
      <vt:lpstr>PARAMETRES</vt:lpstr>
      <vt:lpstr>CHOC TAUX</vt:lpstr>
      <vt:lpstr>STRESS PN</vt:lpstr>
      <vt:lpstr>AJOUT PN</vt:lpstr>
      <vt:lpstr>TEMPLATES</vt:lpstr>
      <vt:lpstr>RETRO PN BPCE</vt:lpstr>
      <vt:lpstr>SC CALCULATEUR</vt:lpstr>
      <vt:lpstr>SC MODELES</vt:lpstr>
      <vt:lpstr>SCENARIO SURCOUCHE DAV</vt:lpstr>
      <vt:lpstr>Axes Stress</vt:lpstr>
      <vt:lpstr>Bootsrapped_curves</vt:lpstr>
      <vt:lpstr>Configuration</vt:lpstr>
      <vt:lpstr>_ADD_PN_BASE_CALC</vt:lpstr>
      <vt:lpstr>_ADD_PN_BASSIN</vt:lpstr>
      <vt:lpstr>_ADD_PN_CONTRAT</vt:lpstr>
      <vt:lpstr>_ADD_PN_DEBLO</vt:lpstr>
      <vt:lpstr>_ADD_PN_DEVISE</vt:lpstr>
      <vt:lpstr>_ADD_PN_ETAB</vt:lpstr>
      <vt:lpstr>_ADD_PN_INDEX</vt:lpstr>
      <vt:lpstr>_ADD_PN_JRPN</vt:lpstr>
      <vt:lpstr>_ADD_PN_MARCHE</vt:lpstr>
      <vt:lpstr>_ADD_PN_MATUR</vt:lpstr>
      <vt:lpstr>_ADD_PN_PERIODE_CAPI</vt:lpstr>
      <vt:lpstr>_ADD_PN_PERIODE_FIXING</vt:lpstr>
      <vt:lpstr>_ADD_PN_PERIODE_INTERETS</vt:lpstr>
      <vt:lpstr>_ADD_PN_PERIODE_PROFIL</vt:lpstr>
      <vt:lpstr>_ADD_PN_PROFIL_EC</vt:lpstr>
      <vt:lpstr>_ADD_PN_SC</vt:lpstr>
      <vt:lpstr>_ADD_PN_TYPE</vt:lpstr>
      <vt:lpstr>_AJOUT_PN</vt:lpstr>
      <vt:lpstr>_ALL_ETAB</vt:lpstr>
      <vt:lpstr>_aplatissement_shock_items</vt:lpstr>
      <vt:lpstr>_BASSINS</vt:lpstr>
      <vt:lpstr>_CHEMIN_COMPILS</vt:lpstr>
      <vt:lpstr>_CHOC_NAME_PARAM</vt:lpstr>
      <vt:lpstr>_codification_etab</vt:lpstr>
      <vt:lpstr>_col_sortie</vt:lpstr>
      <vt:lpstr>_Comm</vt:lpstr>
      <vt:lpstr>_COMPIL_SEP</vt:lpstr>
      <vt:lpstr>_COURBE_CHOC_TAUX</vt:lpstr>
      <vt:lpstr>_COURBES_A_BOOSTRAPPER</vt:lpstr>
      <vt:lpstr>_COURBES_AJUST</vt:lpstr>
      <vt:lpstr>_COURBES_RG</vt:lpstr>
      <vt:lpstr>_DAR</vt:lpstr>
      <vt:lpstr>_DAR_ALIM</vt:lpstr>
      <vt:lpstr>_DAR_MOTEUR</vt:lpstr>
      <vt:lpstr>_DAR_ZERO</vt:lpstr>
      <vt:lpstr>_DEPART_DECALE_NTX</vt:lpstr>
      <vt:lpstr>_DEVISE_CHOC_TAUX</vt:lpstr>
      <vt:lpstr>_Etab</vt:lpstr>
      <vt:lpstr>_ETABLISSEMENTS</vt:lpstr>
      <vt:lpstr>_euro_holidays</vt:lpstr>
      <vt:lpstr>_force_gap_liq</vt:lpstr>
      <vt:lpstr>_force_gaps_nmd</vt:lpstr>
      <vt:lpstr>_FREQ_REFIX_TLA</vt:lpstr>
      <vt:lpstr>_FUSIONNER_COMPILS</vt:lpstr>
      <vt:lpstr>_ind_sortie</vt:lpstr>
      <vt:lpstr>_ind_sortie_eve</vt:lpstr>
      <vt:lpstr>_INDIC_PN</vt:lpstr>
      <vt:lpstr>_INDIC_T</vt:lpstr>
      <vt:lpstr>_inf_cel</vt:lpstr>
      <vt:lpstr>_inf_tla</vt:lpstr>
      <vt:lpstr>_inf_tlb</vt:lpstr>
      <vt:lpstr>_INPUT_FOLDER</vt:lpstr>
      <vt:lpstr>_INPUT_PATH</vt:lpstr>
      <vt:lpstr>_LABEL_MODELE_DAV</vt:lpstr>
      <vt:lpstr>_LABEL_PATH_FICHIER_MODEL</vt:lpstr>
      <vt:lpstr>_LIQ_FILE_PATH</vt:lpstr>
      <vt:lpstr>_LISTE_ETAB</vt:lpstr>
      <vt:lpstr>_liste_etabs_visualisation_pn</vt:lpstr>
      <vt:lpstr>_MAIN_SC_EVE</vt:lpstr>
      <vt:lpstr>_MAPPER_RAY</vt:lpstr>
      <vt:lpstr>_MATURITE_CHOC_TAUX</vt:lpstr>
      <vt:lpstr>_MODE_IHM</vt:lpstr>
      <vt:lpstr>_MODELE_DAV</vt:lpstr>
      <vt:lpstr>_MODELE_NMD</vt:lpstr>
      <vt:lpstr>_MODELE_NMD_LABEL</vt:lpstr>
      <vt:lpstr>_MODELE_PEL</vt:lpstr>
      <vt:lpstr>_MODELE_PEL_LABEL</vt:lpstr>
      <vt:lpstr>_MODELE_SRC_DAV</vt:lpstr>
      <vt:lpstr>_MOIS_DEB_PN</vt:lpstr>
      <vt:lpstr>_MOIS_FIN_PN</vt:lpstr>
      <vt:lpstr>_MOIS_INTERTRIMESTRIEL</vt:lpstr>
      <vt:lpstr>_MULTI_BASSIN_PATH</vt:lpstr>
      <vt:lpstr>_MULTIBASSIN_SOURCES_PATH</vt:lpstr>
      <vt:lpstr>_NAME_SC_BPCE</vt:lpstr>
      <vt:lpstr>_NAME_SC_PN</vt:lpstr>
      <vt:lpstr>_NAME_SC_SCR_DAV</vt:lpstr>
      <vt:lpstr>_NAME_SC_TAUX</vt:lpstr>
      <vt:lpstr>_nb_mois_pn</vt:lpstr>
      <vt:lpstr>_NB_MOIS_PROJ</vt:lpstr>
      <vt:lpstr>_NOM_SC_BPCE</vt:lpstr>
      <vt:lpstr>_NOM_SC_MODELE</vt:lpstr>
      <vt:lpstr>_NOM_SC_REC_ST</vt:lpstr>
      <vt:lpstr>_onglet_choc_taux_audit</vt:lpstr>
      <vt:lpstr>_onglet_choc_taux_form</vt:lpstr>
      <vt:lpstr>_onglet_choc_taux_table_chocs</vt:lpstr>
      <vt:lpstr>_onglet_presentation_audit</vt:lpstr>
      <vt:lpstr>_onglet_presentation_input_forms</vt:lpstr>
      <vt:lpstr>_onglet_presentation_scenario_form</vt:lpstr>
      <vt:lpstr>_onglet_presentation_table</vt:lpstr>
      <vt:lpstr>_onglet_stress_pn_form</vt:lpstr>
      <vt:lpstr>_onglet_stress_pn_table</vt:lpstr>
      <vt:lpstr>_only_ajust</vt:lpstr>
      <vt:lpstr>_OTHER_ITEMS_CHOC_TAUX</vt:lpstr>
      <vt:lpstr>_OUTPUT_LABEL</vt:lpstr>
      <vt:lpstr>_output_path</vt:lpstr>
      <vt:lpstr>_OUTPUT_PATH_ALIM</vt:lpstr>
      <vt:lpstr>_PARAM1_AJOUT_PN</vt:lpstr>
      <vt:lpstr>_PARAM1_PN</vt:lpstr>
      <vt:lpstr>_PARAM2_AJOUT_PN</vt:lpstr>
      <vt:lpstr>_PARAM2_PN</vt:lpstr>
      <vt:lpstr>_PATH_AJUST_PN_BPCE</vt:lpstr>
      <vt:lpstr>_PATH_FICHIER_MODEL</vt:lpstr>
      <vt:lpstr>_PATH_SC_PN_BPCE</vt:lpstr>
      <vt:lpstr>_PathSauv</vt:lpstr>
      <vt:lpstr>_PathSauv_Lab</vt:lpstr>
      <vt:lpstr>_PCRT1</vt:lpstr>
      <vt:lpstr>_PERIM_NTX</vt:lpstr>
      <vt:lpstr>_personnel_shocks_items</vt:lpstr>
      <vt:lpstr>_PN_A_ACTIVER</vt:lpstr>
      <vt:lpstr>_PN_NAME_PARAM</vt:lpstr>
      <vt:lpstr>_PRCT2</vt:lpstr>
      <vt:lpstr>_progressif_shock_items</vt:lpstr>
      <vt:lpstr>_RANGE_TAB_SC</vt:lpstr>
      <vt:lpstr>_RANGE_TAB_SC2</vt:lpstr>
      <vt:lpstr>_RANGE_TAB_SC3</vt:lpstr>
      <vt:lpstr>_RANGE_TAB_SC4</vt:lpstr>
      <vt:lpstr>_RANGE_TAB_SC5</vt:lpstr>
      <vt:lpstr>_RANGE_TAB_SC7</vt:lpstr>
      <vt:lpstr>_RANGE_TAB_SC8</vt:lpstr>
      <vt:lpstr>_RATE_INPUT</vt:lpstr>
      <vt:lpstr>_RATE_INPUT_LABEL</vt:lpstr>
      <vt:lpstr>_reg_inf</vt:lpstr>
      <vt:lpstr>_reg_tf</vt:lpstr>
      <vt:lpstr>_REP_SOURCE</vt:lpstr>
      <vt:lpstr>_SC_AJ_PN</vt:lpstr>
      <vt:lpstr>_SC_BASELINE_TAUX</vt:lpstr>
      <vt:lpstr>_SC_BASELINE_VISUALISATION</vt:lpstr>
      <vt:lpstr>_SC_BPCE_ALL</vt:lpstr>
      <vt:lpstr>_SC_MOD</vt:lpstr>
      <vt:lpstr>_SC_MODELE_LIST</vt:lpstr>
      <vt:lpstr>_SC_NAME_PARAM</vt:lpstr>
      <vt:lpstr>_SC_RA_RN</vt:lpstr>
      <vt:lpstr>_SC_RC_ST</vt:lpstr>
      <vt:lpstr>_SC_RECALC_ST</vt:lpstr>
      <vt:lpstr>_SC_REF_NMD</vt:lpstr>
      <vt:lpstr>_sc_ref_par_default</vt:lpstr>
      <vt:lpstr>_SC_SRC_DAV</vt:lpstr>
      <vt:lpstr>_SCENARI_PATH</vt:lpstr>
      <vt:lpstr>_simple_shock_items</vt:lpstr>
      <vt:lpstr>_SOURCE_PATH</vt:lpstr>
      <vt:lpstr>_sources_dir_path</vt:lpstr>
      <vt:lpstr>_spread_ajust</vt:lpstr>
      <vt:lpstr>_Spread_C3M</vt:lpstr>
      <vt:lpstr>_Spread_E3M</vt:lpstr>
      <vt:lpstr>_Spread_G3M</vt:lpstr>
      <vt:lpstr>_Spread_J3M</vt:lpstr>
      <vt:lpstr>_Spread_U3M</vt:lpstr>
      <vt:lpstr>_Spread_Z3M</vt:lpstr>
      <vt:lpstr>_STRESS_ENCOURS</vt:lpstr>
      <vt:lpstr>_TAB_ADD_PN</vt:lpstr>
      <vt:lpstr>_table_des_scénario</vt:lpstr>
      <vt:lpstr>_table_src_dav</vt:lpstr>
      <vt:lpstr>_TCI_FILE_PATH</vt:lpstr>
      <vt:lpstr>_TEMPLATE_ECH_DEFAULT</vt:lpstr>
      <vt:lpstr>_TEMPLATE_ECH_IND</vt:lpstr>
      <vt:lpstr>_TEMPLATE_NMD_DEFAULT</vt:lpstr>
      <vt:lpstr>_TEMPLATE_NMD_IND</vt:lpstr>
      <vt:lpstr>_TEMPLATE_PN_ECH</vt:lpstr>
      <vt:lpstr>_TEMPLATE_PN_NMD</vt:lpstr>
      <vt:lpstr>_tf_cel</vt:lpstr>
      <vt:lpstr>_tf_tla</vt:lpstr>
      <vt:lpstr>_tf_tlb</vt:lpstr>
      <vt:lpstr>_TLA_IsRetraitement</vt:lpstr>
      <vt:lpstr>_TLA_NextRefix</vt:lpstr>
      <vt:lpstr>_TX_FILE_PATH</vt:lpstr>
      <vt:lpstr>_TYPE_CHOC_TAUX</vt:lpstr>
      <vt:lpstr>_TYPE_COURBE</vt:lpstr>
      <vt:lpstr>_type_eve</vt:lpstr>
      <vt:lpstr>_TYPE_MODELE</vt:lpstr>
      <vt:lpstr>_TYPE_PN_AJ_PN</vt:lpstr>
      <vt:lpstr>_TYPE_PN_ECH</vt:lpstr>
      <vt:lpstr>_TYPE_PN_NMD</vt:lpstr>
      <vt:lpstr>_TYPE_SC_REC_ST</vt:lpstr>
      <vt:lpstr>_TYPE_SC_ST</vt:lpstr>
      <vt:lpstr>_TYPE_SIMUL</vt:lpstr>
      <vt:lpstr>_type_source</vt:lpstr>
      <vt:lpstr>_type_sources</vt:lpstr>
      <vt:lpstr>_TYPE_STRESS</vt:lpstr>
      <vt:lpstr>_type_stress_pn_param</vt:lpstr>
      <vt:lpstr>_VAL_CHOC_S1</vt:lpstr>
      <vt:lpstr>_VAL_CHOC_S2</vt:lpstr>
      <vt:lpstr>_ZC_EVE_FILE_PATH</vt:lpstr>
      <vt:lpstr>addpn_fst_cell</vt:lpstr>
      <vt:lpstr>DET_IG</vt:lpstr>
      <vt:lpstr>global_fait_le</vt:lpstr>
      <vt:lpstr>global_heure_debut</vt:lpstr>
      <vt:lpstr>global_heure_fin</vt:lpstr>
      <vt:lpstr>LIQ_INPUT</vt:lpstr>
      <vt:lpstr>LIQ_INPUT_LABEL</vt:lpstr>
      <vt:lpstr>liste_ech</vt:lpstr>
      <vt:lpstr>liste_nmd</vt:lpstr>
      <vt:lpstr>pn_fait_le</vt:lpstr>
      <vt:lpstr>pn_heure_debut</vt:lpstr>
      <vt:lpstr>pn_heure_fin</vt:lpstr>
      <vt:lpstr>shocks_fst_cell</vt:lpstr>
      <vt:lpstr>stress_pn_fst_cell</vt:lpstr>
      <vt:lpstr>table_hors_rarn_pel</vt:lpstr>
      <vt:lpstr>tx_fait_le</vt:lpstr>
      <vt:lpstr>tx_heure_debut</vt:lpstr>
      <vt:lpstr>tx_heure_fin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LAKHDARI Badr (EXT)</dc:creator>
  <dc:description>6.4</dc:description>
  <cp:lastModifiedBy>Hossayne</cp:lastModifiedBy>
  <cp:lastPrinted>2021-06-28T18:56:38Z</cp:lastPrinted>
  <dcterms:created xsi:type="dcterms:W3CDTF">2021-01-12T14:23:00Z</dcterms:created>
  <dcterms:modified xsi:type="dcterms:W3CDTF">2025-02-18T10:35:58Z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8a19f0c-bea1-442e-a475-ed109d9ec508_Enabled">
    <vt:lpwstr>True</vt:lpwstr>
  </property>
  <property fmtid="{D5CDD505-2E9C-101B-9397-08002B2CF9AE}" pid="3" name="MSIP_Label_48a19f0c-bea1-442e-a475-ed109d9ec508_SiteId">
    <vt:lpwstr>d5bb6d35-8a82-4329-b49a-5030bd6497ab</vt:lpwstr>
  </property>
  <property fmtid="{D5CDD505-2E9C-101B-9397-08002B2CF9AE}" pid="4" name="MSIP_Label_48a19f0c-bea1-442e-a475-ed109d9ec508_Owner">
    <vt:lpwstr>Badr.LAKHDARI_ext@bpce.fr</vt:lpwstr>
  </property>
  <property fmtid="{D5CDD505-2E9C-101B-9397-08002B2CF9AE}" pid="5" name="MSIP_Label_48a19f0c-bea1-442e-a475-ed109d9ec508_SetDate">
    <vt:lpwstr>2021-01-18T14:21:46.4994405Z</vt:lpwstr>
  </property>
  <property fmtid="{D5CDD505-2E9C-101B-9397-08002B2CF9AE}" pid="6" name="MSIP_Label_48a19f0c-bea1-442e-a475-ed109d9ec508_Name">
    <vt:lpwstr>C2 - Interne BPCE</vt:lpwstr>
  </property>
  <property fmtid="{D5CDD505-2E9C-101B-9397-08002B2CF9AE}" pid="7" name="MSIP_Label_48a19f0c-bea1-442e-a475-ed109d9ec508_Application">
    <vt:lpwstr>Microsoft Azure Information Protection</vt:lpwstr>
  </property>
  <property fmtid="{D5CDD505-2E9C-101B-9397-08002B2CF9AE}" pid="8" name="MSIP_Label_48a19f0c-bea1-442e-a475-ed109d9ec508_Extended_MSFT_Method">
    <vt:lpwstr>Manual</vt:lpwstr>
  </property>
  <property fmtid="{D5CDD505-2E9C-101B-9397-08002B2CF9AE}" pid="9" name="Sensitivity">
    <vt:lpwstr>C2 - Interne BPCE</vt:lpwstr>
  </property>
</Properties>
</file>